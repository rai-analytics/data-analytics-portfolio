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ata Analytics 2_0\Done Labs\Lab_1\"/>
    </mc:Choice>
  </mc:AlternateContent>
  <xr:revisionPtr revIDLastSave="0" documentId="13_ncr:1_{B9922EF7-A9A5-4ED0-B563-ED83AF060862}" xr6:coauthVersionLast="47" xr6:coauthVersionMax="47" xr10:uidLastSave="{00000000-0000-0000-0000-000000000000}"/>
  <bookViews>
    <workbookView xWindow="-120" yWindow="-120" windowWidth="20730" windowHeight="11040" xr2:uid="{64B03C3B-4709-4C7A-8083-074D772D054B}"/>
  </bookViews>
  <sheets>
    <sheet name="Requirement_6" sheetId="7" r:id="rId1"/>
    <sheet name="Practice_lab_1" sheetId="1" r:id="rId2"/>
    <sheet name="Requirement_5" sheetId="6" r:id="rId3"/>
    <sheet name="Requirement_4" sheetId="5" r:id="rId4"/>
    <sheet name="Requirement_3" sheetId="4" r:id="rId5"/>
    <sheet name="Requirement_2" sheetId="3" r:id="rId6"/>
    <sheet name="Requirement_1" sheetId="2" r:id="rId7"/>
  </sheet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2" i="6"/>
  <c r="A2" i="6" a="1"/>
  <c r="A2" i="6" s="1"/>
  <c r="C2" i="5"/>
  <c r="B3" i="5"/>
  <c r="B4" i="5"/>
  <c r="B5" i="5"/>
  <c r="B6" i="5"/>
  <c r="B2" i="5"/>
  <c r="A2" i="5" a="1"/>
  <c r="A2" i="5" s="1"/>
  <c r="B3" i="4"/>
  <c r="B4" i="4"/>
  <c r="B5" i="4"/>
  <c r="B6" i="4"/>
  <c r="B2" i="4"/>
  <c r="A2" i="4" a="1"/>
  <c r="A2" i="4" s="1"/>
  <c r="B2" i="3"/>
  <c r="A2" i="3" a="1"/>
  <c r="A2" i="3" s="1"/>
  <c r="C2" i="2" a="1"/>
  <c r="C2" i="2" s="1"/>
  <c r="A2" i="2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<sst xmlns="http://schemas.openxmlformats.org/spreadsheetml/2006/main" count="107" uniqueCount="53">
  <si>
    <t>transaction_id</t>
  </si>
  <si>
    <t>employee_id</t>
  </si>
  <si>
    <t>employee_name</t>
  </si>
  <si>
    <t>product_category</t>
  </si>
  <si>
    <t>customer_rating</t>
  </si>
  <si>
    <t>order_value</t>
  </si>
  <si>
    <t>T001</t>
  </si>
  <si>
    <t>E101</t>
  </si>
  <si>
    <t>Ali</t>
  </si>
  <si>
    <t>Burgers</t>
  </si>
  <si>
    <t>T002</t>
  </si>
  <si>
    <t>E102</t>
  </si>
  <si>
    <t>Sara</t>
  </si>
  <si>
    <t>Pizzas</t>
  </si>
  <si>
    <t>T003</t>
  </si>
  <si>
    <t>Fries</t>
  </si>
  <si>
    <t>T004</t>
  </si>
  <si>
    <t>E103</t>
  </si>
  <si>
    <t>Zain</t>
  </si>
  <si>
    <t>T005</t>
  </si>
  <si>
    <t>Shakes</t>
  </si>
  <si>
    <t>T006</t>
  </si>
  <si>
    <t>T007</t>
  </si>
  <si>
    <t>E104</t>
  </si>
  <si>
    <t>Ayesha</t>
  </si>
  <si>
    <t>T008</t>
  </si>
  <si>
    <t>T009</t>
  </si>
  <si>
    <t>T010</t>
  </si>
  <si>
    <t>T011</t>
  </si>
  <si>
    <t>T012</t>
  </si>
  <si>
    <t>T013</t>
  </si>
  <si>
    <t>E105</t>
  </si>
  <si>
    <t>Bilal</t>
  </si>
  <si>
    <t>T014</t>
  </si>
  <si>
    <t>T015</t>
  </si>
  <si>
    <t>T016</t>
  </si>
  <si>
    <t>T017</t>
  </si>
  <si>
    <t>T018</t>
  </si>
  <si>
    <t>T019</t>
  </si>
  <si>
    <t>T020</t>
  </si>
  <si>
    <t>Emplyee_count</t>
  </si>
  <si>
    <t>Employee_Names</t>
  </si>
  <si>
    <t>Emplyee_ID</t>
  </si>
  <si>
    <r>
      <t xml:space="preserve">🍔 Practice Lab 1: The QSR Performance Audit
</t>
    </r>
    <r>
      <rPr>
        <b/>
        <sz val="11"/>
        <color theme="1"/>
        <rFont val="Aptos Narrow"/>
        <family val="2"/>
        <scheme val="minor"/>
      </rPr>
      <t xml:space="preserve">Requirement 1: </t>
    </r>
    <r>
      <rPr>
        <sz val="11"/>
        <color theme="1"/>
        <rFont val="Aptos Narrow"/>
        <family val="2"/>
        <scheme val="minor"/>
      </rPr>
      <t xml:space="preserve">How many unique employees rang up orders today? (Hint: Use UNIQUE and COUNTA on the employee_name or employee_id column).
</t>
    </r>
    <r>
      <rPr>
        <b/>
        <sz val="11"/>
        <color theme="1"/>
        <rFont val="Aptos Narrow"/>
        <family val="2"/>
        <scheme val="minor"/>
      </rPr>
      <t>Requirement 2</t>
    </r>
    <r>
      <rPr>
        <sz val="11"/>
        <color theme="1"/>
        <rFont val="Aptos Narrow"/>
        <family val="2"/>
        <scheme val="minor"/>
      </rPr>
      <t xml:space="preserve">: How many unique product categories did we sell today? (Hint: Same as above, but on the product_category column).
</t>
    </r>
    <r>
      <rPr>
        <b/>
        <sz val="11"/>
        <color theme="1"/>
        <rFont val="Aptos Narrow"/>
        <family val="2"/>
        <scheme val="minor"/>
      </rPr>
      <t>Requirement 3:</t>
    </r>
    <r>
      <rPr>
        <sz val="11"/>
        <color theme="1"/>
        <rFont val="Aptos Narrow"/>
        <family val="2"/>
        <scheme val="minor"/>
      </rPr>
      <t xml:space="preserve"> Create a clean list of all specific Employee IDs, and then use a formula to automatically pull in their matching Employee Names next to them. (Hint: Use XLOOKUP).
</t>
    </r>
    <r>
      <rPr>
        <b/>
        <sz val="11"/>
        <color theme="1"/>
        <rFont val="Aptos Narrow"/>
        <family val="2"/>
        <scheme val="minor"/>
      </rPr>
      <t xml:space="preserve">Requirement 4: </t>
    </r>
    <r>
      <rPr>
        <sz val="11"/>
        <color theme="1"/>
        <rFont val="Aptos Narrow"/>
        <family val="2"/>
        <scheme val="minor"/>
      </rPr>
      <t xml:space="preserve">How many total orders did "Ali" handle today? (Hint: Use COUNTIF).
</t>
    </r>
    <r>
      <rPr>
        <b/>
        <sz val="11"/>
        <color theme="1"/>
        <rFont val="Aptos Narrow"/>
        <family val="2"/>
        <scheme val="minor"/>
      </rPr>
      <t xml:space="preserve">Requirement 5: </t>
    </r>
    <r>
      <rPr>
        <sz val="11"/>
        <color theme="1"/>
        <rFont val="Aptos Narrow"/>
        <family val="2"/>
        <scheme val="minor"/>
      </rPr>
      <t xml:space="preserve">What is the Average Customer Rating for "Burgers"? (Hint: Use AVERAGEIF where the category is "Burgers" and the average range is the rating).
</t>
    </r>
    <r>
      <rPr>
        <b/>
        <sz val="11"/>
        <color theme="1"/>
        <rFont val="Aptos Narrow"/>
        <family val="2"/>
        <scheme val="minor"/>
      </rPr>
      <t xml:space="preserve">Requirement 6 </t>
    </r>
    <r>
      <rPr>
        <sz val="11"/>
        <color theme="1"/>
        <rFont val="Aptos Narrow"/>
        <family val="2"/>
        <scheme val="minor"/>
      </rPr>
      <t>(The Pivot Table Boss Level): Create a Pivot Table to find out which Employee brought in the most money (order_value).
Put the Employee Names in the Rows.
Put the Order Value in the Values.
Make sure the Values setting is set to SUM, not Average.
Filter for the Top 3 employees.
You've got this! Since you are flying solo, trust your notes in Obsidian. I'll be right here in standby mode whenever you need me again. Good luck!</t>
    </r>
  </si>
  <si>
    <t>Product_Categories_sold_today</t>
  </si>
  <si>
    <t>Product_count</t>
  </si>
  <si>
    <t>Emplyee_name</t>
  </si>
  <si>
    <t>Order_count_per_emplyee</t>
  </si>
  <si>
    <t>Total_Orders</t>
  </si>
  <si>
    <t>Average_rating</t>
  </si>
  <si>
    <t>Products</t>
  </si>
  <si>
    <t>Grand Total</t>
  </si>
  <si>
    <t>Sum of 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</si>
</sst>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 Khayyam Haider" refreshedDate="46127.435198148145" createdVersion="8" refreshedVersion="8" minRefreshableVersion="3" recordCount="20" xr:uid="{44ED909F-9FF5-42FD-AB96-4ED16C22D79E}">
  <cacheSource type="worksheet">
    <worksheetSource ref="A1:F21" sheet="Practice_lab_1"/>
  </cacheSource>
  <cacheFields count="6">
    <cacheField name="transaction_id" numFmtId="0">
      <sharedItems/>
    </cacheField>
    <cacheField name="employee_id" numFmtId="0">
      <sharedItems/>
    </cacheField>
    <cacheField name="employee_name" numFmtId="0">
      <sharedItems count="5">
        <s v="Ali"/>
        <s v="Sara"/>
        <s v="Zain"/>
        <s v="Ayesha"/>
        <s v="Bilal"/>
      </sharedItems>
    </cacheField>
    <cacheField name="product_category" numFmtId="0">
      <sharedItems/>
    </cacheField>
    <cacheField name="customer_rating" numFmtId="0">
      <sharedItems containsSemiMixedTypes="0" containsString="0" containsNumber="1" minValue="2.5" maxValue="5"/>
    </cacheField>
    <cacheField name="order_value" numFmtId="0">
      <sharedItems containsSemiMixedTypes="0" containsString="0" containsNumber="1" containsInteger="1" minValue="300" maxValue="2700" count="19">
        <n v="1200"/>
        <n v="2500"/>
        <n v="300"/>
        <n v="1500"/>
        <n v="800"/>
        <n v="1100"/>
        <n v="400"/>
        <n v="2200"/>
        <n v="900"/>
        <n v="2600"/>
        <n v="750"/>
        <n v="1300"/>
        <n v="350"/>
        <n v="1400"/>
        <n v="450"/>
        <n v="2700"/>
        <n v="850"/>
        <n v="2300"/>
        <n v="12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001"/>
    <s v="E101"/>
    <x v="0"/>
    <s v="Burgers"/>
    <n v="4.5"/>
    <x v="0"/>
  </r>
  <r>
    <s v="T002"/>
    <s v="E102"/>
    <x v="1"/>
    <s v="Pizzas"/>
    <n v="3"/>
    <x v="1"/>
  </r>
  <r>
    <s v="T003"/>
    <s v="E101"/>
    <x v="0"/>
    <s v="Fries"/>
    <n v="5"/>
    <x v="2"/>
  </r>
  <r>
    <s v="T004"/>
    <s v="E103"/>
    <x v="2"/>
    <s v="Burgers"/>
    <n v="4"/>
    <x v="3"/>
  </r>
  <r>
    <s v="T005"/>
    <s v="E101"/>
    <x v="0"/>
    <s v="Shakes"/>
    <n v="4.5"/>
    <x v="4"/>
  </r>
  <r>
    <s v="T006"/>
    <s v="E102"/>
    <x v="1"/>
    <s v="Burgers"/>
    <n v="2.5"/>
    <x v="5"/>
  </r>
  <r>
    <s v="T007"/>
    <s v="E104"/>
    <x v="3"/>
    <s v="Fries"/>
    <n v="4"/>
    <x v="6"/>
  </r>
  <r>
    <s v="T008"/>
    <s v="E103"/>
    <x v="2"/>
    <s v="Pizzas"/>
    <n v="5"/>
    <x v="7"/>
  </r>
  <r>
    <s v="T009"/>
    <s v="E104"/>
    <x v="3"/>
    <s v="Shakes"/>
    <n v="4.5"/>
    <x v="8"/>
  </r>
  <r>
    <s v="T010"/>
    <s v="E101"/>
    <x v="0"/>
    <s v="Pizzas"/>
    <n v="4"/>
    <x v="9"/>
  </r>
  <r>
    <s v="T011"/>
    <s v="E102"/>
    <x v="1"/>
    <s v="Shakes"/>
    <n v="3.5"/>
    <x v="10"/>
  </r>
  <r>
    <s v="T012"/>
    <s v="E103"/>
    <x v="2"/>
    <s v="Burgers"/>
    <n v="4.5"/>
    <x v="11"/>
  </r>
  <r>
    <s v="T013"/>
    <s v="E105"/>
    <x v="4"/>
    <s v="Fries"/>
    <n v="5"/>
    <x v="12"/>
  </r>
  <r>
    <s v="T014"/>
    <s v="E104"/>
    <x v="3"/>
    <s v="Burgers"/>
    <n v="3"/>
    <x v="13"/>
  </r>
  <r>
    <s v="T015"/>
    <s v="E101"/>
    <x v="0"/>
    <s v="Fries"/>
    <n v="4.5"/>
    <x v="14"/>
  </r>
  <r>
    <s v="T016"/>
    <s v="E105"/>
    <x v="4"/>
    <s v="Pizzas"/>
    <n v="4"/>
    <x v="15"/>
  </r>
  <r>
    <s v="T017"/>
    <s v="E102"/>
    <x v="1"/>
    <s v="Fries"/>
    <n v="4.5"/>
    <x v="6"/>
  </r>
  <r>
    <s v="T018"/>
    <s v="E103"/>
    <x v="2"/>
    <s v="Shakes"/>
    <n v="5"/>
    <x v="16"/>
  </r>
  <r>
    <s v="T019"/>
    <s v="E104"/>
    <x v="3"/>
    <s v="Pizzas"/>
    <n v="3.5"/>
    <x v="17"/>
  </r>
  <r>
    <s v="T020"/>
    <s v="E105"/>
    <x v="4"/>
    <s v="Burgers"/>
    <n v="4.5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A5F40-5719-4149-8F5E-A2887F3D4D7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6">
    <pivotField compact="0" outline="0" showAll="0"/>
    <pivotField compact="0" outline="0" showAll="0"/>
    <pivotField axis="axisRow" compact="0" outline="0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>
      <items count="20">
        <item x="2"/>
        <item x="12"/>
        <item x="6"/>
        <item x="14"/>
        <item x="10"/>
        <item x="4"/>
        <item x="16"/>
        <item x="8"/>
        <item x="5"/>
        <item x="0"/>
        <item x="18"/>
        <item x="11"/>
        <item x="13"/>
        <item x="3"/>
        <item x="7"/>
        <item x="17"/>
        <item x="1"/>
        <item x="9"/>
        <item x="15"/>
        <item t="default"/>
      </items>
    </pivotField>
  </pivotFields>
  <rowFields count="1">
    <field x="2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order_val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1E78-FC23-46CD-9018-0827F4A2C795}">
  <dimension ref="A3:B9"/>
  <sheetViews>
    <sheetView tabSelected="1" workbookViewId="0">
      <selection activeCell="H7" sqref="H7"/>
    </sheetView>
  </sheetViews>
  <sheetFormatPr defaultRowHeight="15" x14ac:dyDescent="0.25"/>
  <cols>
    <col min="1" max="1" width="18.28515625" bestFit="1" customWidth="1"/>
    <col min="2" max="3" width="18.5703125" bestFit="1" customWidth="1"/>
    <col min="4" max="9" width="4" bestFit="1" customWidth="1"/>
    <col min="10" max="20" width="5" bestFit="1" customWidth="1"/>
    <col min="21" max="21" width="11.28515625" bestFit="1" customWidth="1"/>
  </cols>
  <sheetData>
    <row r="3" spans="1:2" x14ac:dyDescent="0.25">
      <c r="A3" s="8" t="s">
        <v>2</v>
      </c>
      <c r="B3" t="s">
        <v>52</v>
      </c>
    </row>
    <row r="4" spans="1:2" x14ac:dyDescent="0.25">
      <c r="A4" t="s">
        <v>18</v>
      </c>
      <c r="B4" s="9">
        <v>5850</v>
      </c>
    </row>
    <row r="5" spans="1:2" x14ac:dyDescent="0.25">
      <c r="A5" t="s">
        <v>8</v>
      </c>
      <c r="B5" s="9">
        <v>5350</v>
      </c>
    </row>
    <row r="6" spans="1:2" x14ac:dyDescent="0.25">
      <c r="A6" t="s">
        <v>24</v>
      </c>
      <c r="B6" s="9">
        <v>5000</v>
      </c>
    </row>
    <row r="7" spans="1:2" x14ac:dyDescent="0.25">
      <c r="A7" t="s">
        <v>12</v>
      </c>
      <c r="B7" s="9">
        <v>4750</v>
      </c>
    </row>
    <row r="8" spans="1:2" x14ac:dyDescent="0.25">
      <c r="A8" t="s">
        <v>32</v>
      </c>
      <c r="B8" s="9">
        <v>4300</v>
      </c>
    </row>
    <row r="9" spans="1:2" x14ac:dyDescent="0.25">
      <c r="A9" t="s">
        <v>51</v>
      </c>
      <c r="B9" s="9">
        <v>25250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219C-D68E-4846-98CB-A758CC0B6F3F}">
  <dimension ref="A1:O22"/>
  <sheetViews>
    <sheetView topLeftCell="A4" workbookViewId="0">
      <selection activeCell="H2" sqref="H2:O22"/>
    </sheetView>
  </sheetViews>
  <sheetFormatPr defaultRowHeight="15" x14ac:dyDescent="0.25"/>
  <cols>
    <col min="1" max="1" width="14.85546875" customWidth="1"/>
    <col min="2" max="2" width="17" customWidth="1"/>
    <col min="3" max="3" width="20.140625" customWidth="1"/>
    <col min="4" max="4" width="19.7109375" customWidth="1"/>
    <col min="5" max="5" width="18" customWidth="1"/>
    <col min="6" max="6" width="15.1406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>
        <v>4.5</v>
      </c>
      <c r="F2">
        <v>1200</v>
      </c>
      <c r="H2" s="3" t="s">
        <v>43</v>
      </c>
      <c r="I2" s="4"/>
      <c r="J2" s="4"/>
      <c r="K2" s="4"/>
      <c r="L2" s="4"/>
      <c r="M2" s="4"/>
      <c r="N2" s="4"/>
      <c r="O2" s="4"/>
    </row>
    <row r="3" spans="1:15" x14ac:dyDescent="0.25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2500</v>
      </c>
      <c r="H3" s="4"/>
      <c r="I3" s="4"/>
      <c r="J3" s="4"/>
      <c r="K3" s="4"/>
      <c r="L3" s="4"/>
      <c r="M3" s="4"/>
      <c r="N3" s="4"/>
      <c r="O3" s="4"/>
    </row>
    <row r="4" spans="1:15" x14ac:dyDescent="0.25">
      <c r="A4" t="s">
        <v>14</v>
      </c>
      <c r="B4" t="s">
        <v>7</v>
      </c>
      <c r="C4" t="s">
        <v>8</v>
      </c>
      <c r="D4" t="s">
        <v>15</v>
      </c>
      <c r="E4">
        <v>5</v>
      </c>
      <c r="F4">
        <v>300</v>
      </c>
      <c r="H4" s="4"/>
      <c r="I4" s="4"/>
      <c r="J4" s="4"/>
      <c r="K4" s="4"/>
      <c r="L4" s="4"/>
      <c r="M4" s="4"/>
      <c r="N4" s="4"/>
      <c r="O4" s="4"/>
    </row>
    <row r="5" spans="1:15" x14ac:dyDescent="0.25">
      <c r="A5" t="s">
        <v>16</v>
      </c>
      <c r="B5" t="s">
        <v>17</v>
      </c>
      <c r="C5" t="s">
        <v>18</v>
      </c>
      <c r="D5" t="s">
        <v>9</v>
      </c>
      <c r="E5">
        <v>4</v>
      </c>
      <c r="F5">
        <v>1500</v>
      </c>
      <c r="H5" s="4"/>
      <c r="I5" s="4"/>
      <c r="J5" s="4"/>
      <c r="K5" s="4"/>
      <c r="L5" s="4"/>
      <c r="M5" s="4"/>
      <c r="N5" s="4"/>
      <c r="O5" s="4"/>
    </row>
    <row r="6" spans="1:15" x14ac:dyDescent="0.25">
      <c r="A6" t="s">
        <v>19</v>
      </c>
      <c r="B6" t="s">
        <v>7</v>
      </c>
      <c r="C6" t="s">
        <v>8</v>
      </c>
      <c r="D6" t="s">
        <v>20</v>
      </c>
      <c r="E6">
        <v>4.5</v>
      </c>
      <c r="F6">
        <v>800</v>
      </c>
      <c r="H6" s="4"/>
      <c r="I6" s="4"/>
      <c r="J6" s="4"/>
      <c r="K6" s="4"/>
      <c r="L6" s="4"/>
      <c r="M6" s="4"/>
      <c r="N6" s="4"/>
      <c r="O6" s="4"/>
    </row>
    <row r="7" spans="1:15" x14ac:dyDescent="0.25">
      <c r="A7" t="s">
        <v>21</v>
      </c>
      <c r="B7" t="s">
        <v>11</v>
      </c>
      <c r="C7" t="s">
        <v>12</v>
      </c>
      <c r="D7" t="s">
        <v>9</v>
      </c>
      <c r="E7">
        <v>2.5</v>
      </c>
      <c r="F7">
        <v>1100</v>
      </c>
      <c r="H7" s="4"/>
      <c r="I7" s="4"/>
      <c r="J7" s="4"/>
      <c r="K7" s="4"/>
      <c r="L7" s="4"/>
      <c r="M7" s="4"/>
      <c r="N7" s="4"/>
      <c r="O7" s="4"/>
    </row>
    <row r="8" spans="1:15" x14ac:dyDescent="0.25">
      <c r="A8" t="s">
        <v>22</v>
      </c>
      <c r="B8" t="s">
        <v>23</v>
      </c>
      <c r="C8" t="s">
        <v>24</v>
      </c>
      <c r="D8" t="s">
        <v>15</v>
      </c>
      <c r="E8">
        <v>4</v>
      </c>
      <c r="F8">
        <v>400</v>
      </c>
      <c r="H8" s="4"/>
      <c r="I8" s="4"/>
      <c r="J8" s="4"/>
      <c r="K8" s="4"/>
      <c r="L8" s="4"/>
      <c r="M8" s="4"/>
      <c r="N8" s="4"/>
      <c r="O8" s="4"/>
    </row>
    <row r="9" spans="1:15" x14ac:dyDescent="0.25">
      <c r="A9" t="s">
        <v>25</v>
      </c>
      <c r="B9" t="s">
        <v>17</v>
      </c>
      <c r="C9" t="s">
        <v>18</v>
      </c>
      <c r="D9" t="s">
        <v>13</v>
      </c>
      <c r="E9">
        <v>5</v>
      </c>
      <c r="F9">
        <v>2200</v>
      </c>
      <c r="H9" s="4"/>
      <c r="I9" s="4"/>
      <c r="J9" s="4"/>
      <c r="K9" s="4"/>
      <c r="L9" s="4"/>
      <c r="M9" s="4"/>
      <c r="N9" s="4"/>
      <c r="O9" s="4"/>
    </row>
    <row r="10" spans="1:15" x14ac:dyDescent="0.25">
      <c r="A10" t="s">
        <v>26</v>
      </c>
      <c r="B10" t="s">
        <v>23</v>
      </c>
      <c r="C10" t="s">
        <v>24</v>
      </c>
      <c r="D10" t="s">
        <v>20</v>
      </c>
      <c r="E10">
        <v>4.5</v>
      </c>
      <c r="F10">
        <v>900</v>
      </c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t="s">
        <v>27</v>
      </c>
      <c r="B11" t="s">
        <v>7</v>
      </c>
      <c r="C11" t="s">
        <v>8</v>
      </c>
      <c r="D11" t="s">
        <v>13</v>
      </c>
      <c r="E11">
        <v>4</v>
      </c>
      <c r="F11">
        <v>2600</v>
      </c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t="s">
        <v>28</v>
      </c>
      <c r="B12" t="s">
        <v>11</v>
      </c>
      <c r="C12" t="s">
        <v>12</v>
      </c>
      <c r="D12" t="s">
        <v>20</v>
      </c>
      <c r="E12">
        <v>3.5</v>
      </c>
      <c r="F12">
        <v>750</v>
      </c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t="s">
        <v>29</v>
      </c>
      <c r="B13" t="s">
        <v>17</v>
      </c>
      <c r="C13" t="s">
        <v>18</v>
      </c>
      <c r="D13" t="s">
        <v>9</v>
      </c>
      <c r="E13">
        <v>4.5</v>
      </c>
      <c r="F13">
        <v>1300</v>
      </c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t="s">
        <v>30</v>
      </c>
      <c r="B14" t="s">
        <v>31</v>
      </c>
      <c r="C14" t="s">
        <v>32</v>
      </c>
      <c r="D14" t="s">
        <v>15</v>
      </c>
      <c r="E14">
        <v>5</v>
      </c>
      <c r="F14">
        <v>350</v>
      </c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t="s">
        <v>33</v>
      </c>
      <c r="B15" t="s">
        <v>23</v>
      </c>
      <c r="C15" t="s">
        <v>24</v>
      </c>
      <c r="D15" t="s">
        <v>9</v>
      </c>
      <c r="E15">
        <v>3</v>
      </c>
      <c r="F15">
        <v>1400</v>
      </c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t="s">
        <v>34</v>
      </c>
      <c r="B16" t="s">
        <v>7</v>
      </c>
      <c r="C16" t="s">
        <v>8</v>
      </c>
      <c r="D16" t="s">
        <v>15</v>
      </c>
      <c r="E16">
        <v>4.5</v>
      </c>
      <c r="F16">
        <v>450</v>
      </c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t="s">
        <v>35</v>
      </c>
      <c r="B17" t="s">
        <v>31</v>
      </c>
      <c r="C17" t="s">
        <v>32</v>
      </c>
      <c r="D17" t="s">
        <v>13</v>
      </c>
      <c r="E17">
        <v>4</v>
      </c>
      <c r="F17">
        <v>2700</v>
      </c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t="s">
        <v>36</v>
      </c>
      <c r="B18" t="s">
        <v>11</v>
      </c>
      <c r="C18" t="s">
        <v>12</v>
      </c>
      <c r="D18" t="s">
        <v>15</v>
      </c>
      <c r="E18">
        <v>4.5</v>
      </c>
      <c r="F18">
        <v>400</v>
      </c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t="s">
        <v>37</v>
      </c>
      <c r="B19" t="s">
        <v>17</v>
      </c>
      <c r="C19" t="s">
        <v>18</v>
      </c>
      <c r="D19" t="s">
        <v>20</v>
      </c>
      <c r="E19">
        <v>5</v>
      </c>
      <c r="F19">
        <v>850</v>
      </c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t="s">
        <v>38</v>
      </c>
      <c r="B20" t="s">
        <v>23</v>
      </c>
      <c r="C20" t="s">
        <v>24</v>
      </c>
      <c r="D20" t="s">
        <v>13</v>
      </c>
      <c r="E20">
        <v>3.5</v>
      </c>
      <c r="F20">
        <v>2300</v>
      </c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t="s">
        <v>39</v>
      </c>
      <c r="B21" t="s">
        <v>31</v>
      </c>
      <c r="C21" t="s">
        <v>32</v>
      </c>
      <c r="D21" t="s">
        <v>9</v>
      </c>
      <c r="E21">
        <v>4.5</v>
      </c>
      <c r="F21">
        <v>1250</v>
      </c>
      <c r="H21" s="4"/>
      <c r="I21" s="4"/>
      <c r="J21" s="4"/>
      <c r="K21" s="4"/>
      <c r="L21" s="4"/>
      <c r="M21" s="4"/>
      <c r="N21" s="4"/>
      <c r="O21" s="4"/>
    </row>
    <row r="22" spans="1:15" x14ac:dyDescent="0.25">
      <c r="H22" s="4"/>
      <c r="I22" s="4"/>
      <c r="J22" s="4"/>
      <c r="K22" s="4"/>
      <c r="L22" s="4"/>
      <c r="M22" s="4"/>
      <c r="N22" s="4"/>
      <c r="O22" s="4"/>
    </row>
  </sheetData>
  <mergeCells count="1">
    <mergeCell ref="H2:O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2C55-E995-47B9-90ED-72DB12DDCA34}">
  <dimension ref="A1:B5"/>
  <sheetViews>
    <sheetView workbookViewId="0">
      <selection activeCell="E11" sqref="E11"/>
    </sheetView>
  </sheetViews>
  <sheetFormatPr defaultRowHeight="15" x14ac:dyDescent="0.25"/>
  <cols>
    <col min="1" max="1" width="22.85546875" style="2" customWidth="1"/>
    <col min="2" max="2" width="19.85546875" style="2" customWidth="1"/>
  </cols>
  <sheetData>
    <row r="1" spans="1:2" s="5" customFormat="1" x14ac:dyDescent="0.25">
      <c r="A1" s="6" t="s">
        <v>50</v>
      </c>
      <c r="B1" s="6" t="s">
        <v>49</v>
      </c>
    </row>
    <row r="2" spans="1:2" x14ac:dyDescent="0.25">
      <c r="A2" s="7" t="str" cm="1">
        <f t="array" ref="A2:A5">_xlfn.UNIQUE(Practice_lab_1!D2:D21)</f>
        <v>Burgers</v>
      </c>
      <c r="B2" s="7">
        <f>AVERAGEIF(Practice_lab_1!D:D, Requirement_5!A2, Practice_lab_1!E:E)</f>
        <v>3.8333333333333335</v>
      </c>
    </row>
    <row r="3" spans="1:2" x14ac:dyDescent="0.25">
      <c r="A3" s="7" t="str">
        <v>Pizzas</v>
      </c>
      <c r="B3" s="7">
        <f>AVERAGEIF(Practice_lab_1!D:D, Requirement_5!A3, Practice_lab_1!E:E)</f>
        <v>3.9</v>
      </c>
    </row>
    <row r="4" spans="1:2" x14ac:dyDescent="0.25">
      <c r="A4" s="7" t="str">
        <v>Fries</v>
      </c>
      <c r="B4" s="7">
        <f>AVERAGEIF(Practice_lab_1!D:D, Requirement_5!A4, Practice_lab_1!E:E)</f>
        <v>4.5999999999999996</v>
      </c>
    </row>
    <row r="5" spans="1:2" x14ac:dyDescent="0.25">
      <c r="A5" s="7" t="str">
        <v>Shakes</v>
      </c>
      <c r="B5" s="7">
        <f>AVERAGEIF(Practice_lab_1!D:D, Requirement_5!A5, Practice_lab_1!E:E)</f>
        <v>4.375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8AE1-BB6C-4D44-B9B6-51446F128BA8}">
  <dimension ref="A1:C6"/>
  <sheetViews>
    <sheetView workbookViewId="0">
      <selection activeCell="C9" sqref="C9"/>
    </sheetView>
  </sheetViews>
  <sheetFormatPr defaultRowHeight="15" x14ac:dyDescent="0.25"/>
  <cols>
    <col min="1" max="1" width="24.140625" bestFit="1" customWidth="1"/>
    <col min="2" max="2" width="25.140625" style="2" bestFit="1" customWidth="1"/>
    <col min="3" max="3" width="31.85546875" style="2" customWidth="1"/>
    <col min="4" max="4" width="15" customWidth="1"/>
  </cols>
  <sheetData>
    <row r="1" spans="1:3" s="1" customFormat="1" x14ac:dyDescent="0.25">
      <c r="A1" s="1" t="s">
        <v>46</v>
      </c>
      <c r="B1" s="5" t="s">
        <v>47</v>
      </c>
      <c r="C1" s="5" t="s">
        <v>48</v>
      </c>
    </row>
    <row r="2" spans="1:3" x14ac:dyDescent="0.25">
      <c r="A2" s="2" t="str" cm="1">
        <f t="array" ref="A2:A6">_xlfn.UNIQUE(Practice_lab_1!C2:C21)</f>
        <v>Ali</v>
      </c>
      <c r="B2" s="2">
        <f>COUNTIF(Practice_lab_1!C2:C21, Requirement_4!A2)</f>
        <v>5</v>
      </c>
      <c r="C2" s="2">
        <f>COUNTA(_xlfn.UNIQUE(Practice_lab_1!A2:A21))</f>
        <v>20</v>
      </c>
    </row>
    <row r="3" spans="1:3" x14ac:dyDescent="0.25">
      <c r="A3" s="2" t="str">
        <v>Sara</v>
      </c>
      <c r="B3" s="2">
        <f>COUNTIF(Practice_lab_1!C3:C22, Requirement_4!A3)</f>
        <v>4</v>
      </c>
    </row>
    <row r="4" spans="1:3" x14ac:dyDescent="0.25">
      <c r="A4" s="2" t="str">
        <v>Zain</v>
      </c>
      <c r="B4" s="2">
        <f>COUNTIF(Practice_lab_1!C4:C23, Requirement_4!A4)</f>
        <v>4</v>
      </c>
    </row>
    <row r="5" spans="1:3" x14ac:dyDescent="0.25">
      <c r="A5" s="2" t="str">
        <v>Ayesha</v>
      </c>
      <c r="B5" s="2">
        <f>COUNTIF(Practice_lab_1!C5:C24, Requirement_4!A5)</f>
        <v>4</v>
      </c>
    </row>
    <row r="6" spans="1:3" x14ac:dyDescent="0.25">
      <c r="A6" s="2" t="str">
        <v>Bilal</v>
      </c>
      <c r="B6" s="2">
        <f>COUNTIF(Practice_lab_1!C6:C25, Requirement_4!A6)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9C82-65A3-4F03-BC68-86FD9C518836}">
  <dimension ref="A1:B6"/>
  <sheetViews>
    <sheetView workbookViewId="0">
      <selection activeCell="B8" sqref="B8"/>
    </sheetView>
  </sheetViews>
  <sheetFormatPr defaultRowHeight="15" x14ac:dyDescent="0.25"/>
  <cols>
    <col min="1" max="1" width="23.42578125" customWidth="1"/>
    <col min="2" max="2" width="25.5703125" customWidth="1"/>
  </cols>
  <sheetData>
    <row r="1" spans="1:2" s="1" customFormat="1" x14ac:dyDescent="0.25">
      <c r="A1" s="5" t="s">
        <v>42</v>
      </c>
      <c r="B1" s="5" t="s">
        <v>46</v>
      </c>
    </row>
    <row r="2" spans="1:2" x14ac:dyDescent="0.25">
      <c r="A2" s="2" t="str" cm="1">
        <f t="array" ref="A2:A6">_xlfn.UNIQUE(Practice_lab_1!B2:B21)</f>
        <v>E101</v>
      </c>
      <c r="B2" s="2" t="str">
        <f>_xlfn.XLOOKUP(A2, Practice_lab_1!B:B, Practice_lab_1!C:C)</f>
        <v>Ali</v>
      </c>
    </row>
    <row r="3" spans="1:2" x14ac:dyDescent="0.25">
      <c r="A3" s="2" t="str">
        <v>E102</v>
      </c>
      <c r="B3" s="2" t="str">
        <f>_xlfn.XLOOKUP(A3, Practice_lab_1!B:B, Practice_lab_1!C:C)</f>
        <v>Sara</v>
      </c>
    </row>
    <row r="4" spans="1:2" x14ac:dyDescent="0.25">
      <c r="A4" s="2" t="str">
        <v>E103</v>
      </c>
      <c r="B4" s="2" t="str">
        <f>_xlfn.XLOOKUP(A4, Practice_lab_1!B:B, Practice_lab_1!C:C)</f>
        <v>Zain</v>
      </c>
    </row>
    <row r="5" spans="1:2" x14ac:dyDescent="0.25">
      <c r="A5" s="2" t="str">
        <v>E104</v>
      </c>
      <c r="B5" s="2" t="str">
        <f>_xlfn.XLOOKUP(A5, Practice_lab_1!B:B, Practice_lab_1!C:C)</f>
        <v>Ayesha</v>
      </c>
    </row>
    <row r="6" spans="1:2" x14ac:dyDescent="0.25">
      <c r="A6" s="2" t="str">
        <v>E105</v>
      </c>
      <c r="B6" s="2" t="str">
        <f>_xlfn.XLOOKUP(A6, Practice_lab_1!B:B, Practice_lab_1!C:C)</f>
        <v>Bilal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AC7A-9F13-4E4B-837F-102BC38E114A}">
  <dimension ref="A1:B5"/>
  <sheetViews>
    <sheetView workbookViewId="0">
      <selection activeCell="D4" sqref="D4"/>
    </sheetView>
  </sheetViews>
  <sheetFormatPr defaultRowHeight="15" x14ac:dyDescent="0.25"/>
  <cols>
    <col min="1" max="1" width="29" bestFit="1" customWidth="1"/>
    <col min="2" max="2" width="13.85546875" bestFit="1" customWidth="1"/>
  </cols>
  <sheetData>
    <row r="1" spans="1:2" s="1" customFormat="1" x14ac:dyDescent="0.25">
      <c r="A1" s="1" t="s">
        <v>44</v>
      </c>
      <c r="B1" s="1" t="s">
        <v>45</v>
      </c>
    </row>
    <row r="2" spans="1:2" x14ac:dyDescent="0.25">
      <c r="A2" s="2" t="str" cm="1">
        <f t="array" ref="A2:A5">_xlfn.UNIQUE(Practice_lab_1!D2:D21)</f>
        <v>Burgers</v>
      </c>
      <c r="B2" s="2">
        <f>COUNTA(_xlfn.UNIQUE(Practice_lab_1!D2:D21))</f>
        <v>4</v>
      </c>
    </row>
    <row r="3" spans="1:2" x14ac:dyDescent="0.25">
      <c r="A3" s="2" t="str">
        <v>Pizzas</v>
      </c>
      <c r="B3" s="2"/>
    </row>
    <row r="4" spans="1:2" x14ac:dyDescent="0.25">
      <c r="A4" s="2" t="str">
        <v>Fries</v>
      </c>
      <c r="B4" s="2"/>
    </row>
    <row r="5" spans="1:2" x14ac:dyDescent="0.25">
      <c r="A5" s="2" t="str">
        <v>Shakes</v>
      </c>
      <c r="B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2D2E-A685-482D-A549-8D8D1C0DB880}">
  <dimension ref="A1:C6"/>
  <sheetViews>
    <sheetView workbookViewId="0">
      <selection activeCell="C9" sqref="C9"/>
    </sheetView>
  </sheetViews>
  <sheetFormatPr defaultRowHeight="15" x14ac:dyDescent="0.25"/>
  <cols>
    <col min="1" max="1" width="14.28515625" bestFit="1" customWidth="1"/>
    <col min="2" max="2" width="16.7109375" bestFit="1" customWidth="1"/>
    <col min="3" max="3" width="11" bestFit="1" customWidth="1"/>
    <col min="4" max="4" width="16.7109375" customWidth="1"/>
  </cols>
  <sheetData>
    <row r="1" spans="1:3" s="1" customFormat="1" x14ac:dyDescent="0.25">
      <c r="A1" s="1" t="s">
        <v>40</v>
      </c>
      <c r="B1" s="1" t="s">
        <v>41</v>
      </c>
      <c r="C1" s="1" t="s">
        <v>42</v>
      </c>
    </row>
    <row r="2" spans="1:3" x14ac:dyDescent="0.25">
      <c r="A2" s="2">
        <f>COUNTA(_xlfn.UNIQUE(Practice_lab_1!B2:B21))</f>
        <v>5</v>
      </c>
      <c r="B2" s="2" t="str" cm="1">
        <f t="array" ref="B2:B6">_xlfn.UNIQUE(Practice_lab_1!C2:C21)</f>
        <v>Ali</v>
      </c>
      <c r="C2" s="2" t="str" cm="1">
        <f t="array" ref="C2:C6">_xlfn.UNIQUE(Practice_lab_1!B2:B21)</f>
        <v>E101</v>
      </c>
    </row>
    <row r="3" spans="1:3" x14ac:dyDescent="0.25">
      <c r="A3" s="2"/>
      <c r="B3" s="2" t="str">
        <v>Sara</v>
      </c>
      <c r="C3" s="2" t="str">
        <v>E102</v>
      </c>
    </row>
    <row r="4" spans="1:3" x14ac:dyDescent="0.25">
      <c r="A4" s="2"/>
      <c r="B4" s="2" t="str">
        <v>Zain</v>
      </c>
      <c r="C4" s="2" t="str">
        <v>E103</v>
      </c>
    </row>
    <row r="5" spans="1:3" x14ac:dyDescent="0.25">
      <c r="A5" s="2"/>
      <c r="B5" s="2" t="str">
        <v>Ayesha</v>
      </c>
      <c r="C5" s="2" t="str">
        <v>E104</v>
      </c>
    </row>
    <row r="6" spans="1:3" x14ac:dyDescent="0.25">
      <c r="A6" s="2"/>
      <c r="B6" s="2" t="str">
        <v>Bilal</v>
      </c>
      <c r="C6" s="2" t="str">
        <v>E105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Requirement_6</vt:lpstr>
      <vt:lpstr>Practice_lab_1</vt:lpstr>
      <vt:lpstr>Requirement_5</vt:lpstr>
      <vt:lpstr>Requirement_4</vt:lpstr>
      <vt:lpstr>Requirement_3</vt:lpstr>
      <vt:lpstr>Requirement_2</vt:lpstr>
      <vt:lpstr>Requirement_1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 Khayyam Haider</dc:creator>
  <cp:lastModifiedBy>Abdul Rehman</cp:lastModifiedBy>
  <dcterms:created xsi:type="dcterms:W3CDTF">2026-04-14T08:21:39Z</dcterms:created>
  <dcterms:modified xsi:type="dcterms:W3CDTF">2026-04-15T05:29:28Z</dcterms:modified>
</cp:coreProperties>
</file>