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PUT ASSUMPTIONS" sheetId="1" state="visible" r:id="rId1"/>
    <sheet xmlns:r="http://schemas.openxmlformats.org/officeDocument/2006/relationships" name="2. UNIT ECONOMICS" sheetId="2" state="visible" r:id="rId2"/>
    <sheet xmlns:r="http://schemas.openxmlformats.org/officeDocument/2006/relationships" name="3. CORRIDOR BENCHMARKING" sheetId="3" state="visible" r:id="rId3"/>
    <sheet xmlns:r="http://schemas.openxmlformats.org/officeDocument/2006/relationships" name="4. REVENUE LEAKAGE TRACKER" sheetId="4" state="visible" r:id="rId4"/>
    <sheet xmlns:r="http://schemas.openxmlformats.org/officeDocument/2006/relationships" name="5. EXECUTIVE DASHBOARD" sheetId="5" state="visible" r:id="rId5"/>
    <sheet xmlns:r="http://schemas.openxmlformats.org/officeDocument/2006/relationships" name="6. TRANSAC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%"/>
    <numFmt numFmtId="166" formatCode="£#,##0.00"/>
    <numFmt numFmtId="167" formatCode="£#,##0"/>
    <numFmt numFmtId="168" formatCode="0.0&quot;x&quot;"/>
    <numFmt numFmtId="169" formatCode="0.0"/>
    <numFmt numFmtId="170" formatCode="-#,##0;-#,##0;0"/>
  </numFmts>
  <fonts count="13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1F4E78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F4E78"/>
      <sz val="22"/>
    </font>
    <font>
      <name val="Segoe UI"/>
      <i val="1"/>
      <color rgb="00333333"/>
      <sz val="9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color rgb="00006100"/>
      <sz val="10"/>
    </font>
    <font>
      <name val="Segoe UI"/>
      <b val="1"/>
      <color rgb="009C6500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bottom style="double">
        <color rgb="001F4E78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6" fontId="6" fillId="4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1" fontId="7" fillId="4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right" vertical="center"/>
    </xf>
    <xf numFmtId="170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5" borderId="1" pivotButton="0" quotePrefix="0" xfId="0"/>
    <xf numFmtId="1" fontId="7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 wrapText="1"/>
    </xf>
    <xf numFmtId="0" fontId="0" fillId="4" borderId="3" pivotButton="0" quotePrefix="0" xfId="0"/>
    <xf numFmtId="167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4" pivotButton="0" quotePrefix="0" xfId="0"/>
    <xf numFmtId="167" fontId="6" fillId="0" borderId="4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0" fontId="6" fillId="0" borderId="4" applyAlignment="1" pivotButton="0" quotePrefix="0" xfId="0">
      <alignment horizontal="center" vertical="center"/>
    </xf>
    <xf numFmtId="165" fontId="7" fillId="4" borderId="3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167" fontId="7" fillId="4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</cols>
  <sheetData>
    <row r="2" ht="25" customHeight="1">
      <c r="B2" s="1" t="inlineStr">
        <is>
          <t>ACE Money Transfer - Payment Economics &amp; Corridor Assumptions</t>
        </is>
      </c>
    </row>
    <row r="3" ht="18" customHeight="1">
      <c r="B3" s="2" t="inlineStr">
        <is>
          <t>Commercial Analyst Portfolio Deliverable | Baseline Remittance Models</t>
        </is>
      </c>
    </row>
    <row r="4" ht="15" customHeight="1"/>
    <row r="5" ht="22" customHeight="1">
      <c r="B5" s="3" t="inlineStr">
        <is>
          <t>Corridor Baseline Parameters</t>
        </is>
      </c>
    </row>
    <row r="6">
      <c r="B6" s="4" t="inlineStr">
        <is>
          <t>Corridor Parameter</t>
        </is>
      </c>
      <c r="C6" s="4" t="inlineStr">
        <is>
          <t>GBP-PKR</t>
        </is>
      </c>
      <c r="D6" s="4" t="inlineStr">
        <is>
          <t>USD-PKR</t>
        </is>
      </c>
      <c r="E6" s="4" t="inlineStr">
        <is>
          <t>EUR-PKR</t>
        </is>
      </c>
    </row>
    <row r="7" ht="18" customHeight="1">
      <c r="B7" s="5" t="inlineStr">
        <is>
          <t>Monthly Tx Volume (Audit Average)</t>
        </is>
      </c>
      <c r="C7" s="6" t="n">
        <v>35000</v>
      </c>
      <c r="D7" s="6" t="n">
        <v>10000</v>
      </c>
      <c r="E7" s="6" t="n">
        <v>5000</v>
      </c>
    </row>
    <row r="8" ht="18" customHeight="1">
      <c r="B8" s="5" t="inlineStr">
        <is>
          <t>Average Tx Value (FCY)</t>
        </is>
      </c>
      <c r="C8" s="7" t="n">
        <v>280</v>
      </c>
      <c r="D8" s="7" t="n">
        <v>220</v>
      </c>
      <c r="E8" s="7" t="n">
        <v>190</v>
      </c>
    </row>
    <row r="9" ht="18" customHeight="1">
      <c r="B9" s="5" t="inlineStr">
        <is>
          <t>Flat Remittance Fee (FCY)</t>
        </is>
      </c>
      <c r="C9" s="7" t="n">
        <v>1.5</v>
      </c>
      <c r="D9" s="7" t="n">
        <v>2</v>
      </c>
      <c r="E9" s="7" t="n">
        <v>1.5</v>
      </c>
    </row>
    <row r="10" ht="18" customHeight="1">
      <c r="B10" s="5" t="inlineStr">
        <is>
          <t>Exchange Rate (FCY to GBP)</t>
        </is>
      </c>
      <c r="C10" s="8" t="n">
        <v>1</v>
      </c>
      <c r="D10" s="8" t="n">
        <v>0.8</v>
      </c>
      <c r="E10" s="8" t="n">
        <v>0.85</v>
      </c>
    </row>
    <row r="11" ht="18" customHeight="1">
      <c r="B11" s="5" t="inlineStr">
        <is>
          <t>FX Spread % Quoted to Customer</t>
        </is>
      </c>
      <c r="C11" s="9" t="n">
        <v>0.021</v>
      </c>
      <c r="D11" s="9" t="n">
        <v>0.019</v>
      </c>
      <c r="E11" s="9" t="n">
        <v>0.023</v>
      </c>
    </row>
    <row r="13">
      <c r="B13" s="3" t="inlineStr">
        <is>
          <t>Card Acquirer Fee Tiers</t>
        </is>
      </c>
    </row>
    <row r="14">
      <c r="B14" s="10" t="inlineStr">
        <is>
          <t>Monthly Volume Tier (tx)</t>
        </is>
      </c>
      <c r="C14" s="10" t="inlineStr">
        <is>
          <t>Acquirer Card Fee %</t>
        </is>
      </c>
    </row>
    <row r="15" ht="18" customHeight="1">
      <c r="B15" s="6" t="n">
        <v>0</v>
      </c>
      <c r="C15" s="9" t="n">
        <v>0.018</v>
      </c>
    </row>
    <row r="16" ht="18" customHeight="1">
      <c r="B16" s="6" t="n">
        <v>1001</v>
      </c>
      <c r="C16" s="9" t="n">
        <v>0.015</v>
      </c>
    </row>
    <row r="17" ht="18" customHeight="1">
      <c r="B17" s="6" t="n">
        <v>5000</v>
      </c>
      <c r="C17" s="9" t="n">
        <v>0.012</v>
      </c>
    </row>
    <row r="19">
      <c r="B19" s="3" t="inlineStr">
        <is>
          <t>Operating &amp; Marketing Cost Parameters</t>
        </is>
      </c>
    </row>
    <row r="20" ht="18" customHeight="1">
      <c r="B20" s="5" t="inlineStr">
        <is>
          <t>Compliance Cost per Transaction (Fixed)</t>
        </is>
      </c>
      <c r="C20" s="11" t="n">
        <v>0.35</v>
      </c>
    </row>
    <row r="21" ht="18" customHeight="1">
      <c r="B21" s="5" t="inlineStr">
        <is>
          <t>Payout Network Cost per Transaction (Fixed)</t>
        </is>
      </c>
      <c r="C21" s="11" t="n">
        <v>0.28</v>
      </c>
    </row>
    <row r="22" ht="18" customHeight="1">
      <c r="B22" s="5" t="inlineStr">
        <is>
          <t>Failed Transaction Rate</t>
        </is>
      </c>
      <c r="C22" s="9" t="n">
        <v>0.021</v>
      </c>
    </row>
    <row r="23" ht="18" customHeight="1">
      <c r="B23" s="5" t="inlineStr">
        <is>
          <t>Failed Transaction Processing Cost (Penalty)</t>
        </is>
      </c>
      <c r="C23" s="11" t="n">
        <v>0.5</v>
      </c>
    </row>
    <row r="24" ht="18" customHeight="1">
      <c r="B24" s="5" t="inlineStr">
        <is>
          <t>Customer Acquisition Cost (CAC)</t>
        </is>
      </c>
      <c r="C24" s="11" t="n">
        <v>18</v>
      </c>
    </row>
    <row r="25" ht="18" customHeight="1">
      <c r="B25" s="5" t="inlineStr">
        <is>
          <t>Average Customer Retention (Months)</t>
        </is>
      </c>
      <c r="C25" s="12" t="n">
        <v>18</v>
      </c>
    </row>
    <row r="26" ht="18" customHeight="1">
      <c r="B26" s="5" t="inlineStr">
        <is>
          <t>Transactions per Customer per Month</t>
        </is>
      </c>
      <c r="C26" s="12" t="n">
        <v>4</v>
      </c>
    </row>
    <row r="27" ht="18" customHeight="1">
      <c r="B27" s="5" t="inlineStr">
        <is>
          <t>FX Slippage Rate (Leakage Assumption)</t>
        </is>
      </c>
      <c r="C27" s="13" t="n">
        <v>0.0015</v>
      </c>
    </row>
    <row r="28" ht="18" customHeight="1">
      <c r="B28" s="5" t="inlineStr">
        <is>
          <t>Promo Waiver Rate (Marketing Leakage)</t>
        </is>
      </c>
      <c r="C28" s="13" t="n">
        <v>0.003</v>
      </c>
    </row>
    <row r="29" ht="18" customHeight="1">
      <c r="B29" s="5" t="inlineStr">
        <is>
          <t>Monthly Fixed Operations Overhead (GBP)</t>
        </is>
      </c>
      <c r="C29" s="14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</cols>
  <sheetData>
    <row r="2" ht="25" customHeight="1">
      <c r="B2" s="1" t="inlineStr">
        <is>
          <t>Transaction Unit Economics per Corridor</t>
        </is>
      </c>
    </row>
    <row r="4" ht="22" customHeight="1">
      <c r="B4" s="4" t="inlineStr">
        <is>
          <t>Unit Metric (GBP / £ equivalent)</t>
        </is>
      </c>
      <c r="C4" s="4" t="inlineStr">
        <is>
          <t>GBP-PKR Corridor</t>
        </is>
      </c>
      <c r="D4" s="4" t="inlineStr">
        <is>
          <t>USD-PKR Corridor</t>
        </is>
      </c>
      <c r="E4" s="4" t="inlineStr">
        <is>
          <t>EUR-PKR Corridor</t>
        </is>
      </c>
    </row>
    <row r="5" ht="18" customHeight="1">
      <c r="B5" s="15" t="inlineStr">
        <is>
          <t>Average Send Value (GBP Equivalent)</t>
        </is>
      </c>
      <c r="C5" s="11">
        <f>'1. INPUT ASSUMPTIONS'!C8*'1. INPUT ASSUMPTIONS'!C10</f>
        <v/>
      </c>
      <c r="D5" s="11">
        <f>'1. INPUT ASSUMPTIONS'!D8*'1. INPUT ASSUMPTIONS'!D10</f>
        <v/>
      </c>
      <c r="E5" s="11">
        <f>'1. INPUT ASSUMPTIONS'!E8*'1. INPUT ASSUMPTIONS'!E10</f>
        <v/>
      </c>
    </row>
    <row r="6" ht="18" customHeight="1">
      <c r="B6" s="15" t="inlineStr">
        <is>
          <t>Remittance Fee Revenue (GBP)</t>
        </is>
      </c>
      <c r="C6" s="11">
        <f>'1. INPUT ASSUMPTIONS'!C9*'1. INPUT ASSUMPTIONS'!C10</f>
        <v/>
      </c>
      <c r="D6" s="11">
        <f>'1. INPUT ASSUMPTIONS'!D9*'1. INPUT ASSUMPTIONS'!D10</f>
        <v/>
      </c>
      <c r="E6" s="11">
        <f>'1. INPUT ASSUMPTIONS'!E9*'1. INPUT ASSUMPTIONS'!E10</f>
        <v/>
      </c>
    </row>
    <row r="7" ht="18" customHeight="1">
      <c r="B7" s="15" t="inlineStr">
        <is>
          <t>FX Spread Revenue (GBP Quoted)</t>
        </is>
      </c>
      <c r="C7" s="11">
        <f>C5*'1. INPUT ASSUMPTIONS'!C11</f>
        <v/>
      </c>
      <c r="D7" s="11">
        <f>D5*'1. INPUT ASSUMPTIONS'!D11</f>
        <v/>
      </c>
      <c r="E7" s="11">
        <f>E5*'1. INPUT ASSUMPTIONS'!E11</f>
        <v/>
      </c>
    </row>
    <row r="8" ht="18" customHeight="1">
      <c r="B8" s="5" t="inlineStr">
        <is>
          <t>Total Transaction Revenue</t>
        </is>
      </c>
      <c r="C8" s="16">
        <f>C6+C7</f>
        <v/>
      </c>
      <c r="D8" s="16">
        <f>D6+D7</f>
        <v/>
      </c>
      <c r="E8" s="16">
        <f>E6+E7</f>
        <v/>
      </c>
    </row>
    <row r="9" ht="18" customHeight="1">
      <c r="B9" s="15" t="inlineStr">
        <is>
          <t>Acquirer Card Acceptance Fee %</t>
        </is>
      </c>
      <c r="C9" s="9">
        <f>VLOOKUP('1. INPUT ASSUMPTIONS'!C7,'1. INPUT ASSUMPTIONS'!$B$15:$C$17,2,TRUE)</f>
        <v/>
      </c>
      <c r="D9" s="9">
        <f>VLOOKUP('1. INPUT ASSUMPTIONS'!D7,'1. INPUT ASSUMPTIONS'!$B$15:$C$17,2,TRUE)</f>
        <v/>
      </c>
      <c r="E9" s="9">
        <f>VLOOKUP('1. INPUT ASSUMPTIONS'!E7,'1. INPUT ASSUMPTIONS'!$B$15:$C$17,2,TRUE)</f>
        <v/>
      </c>
    </row>
    <row r="10" ht="18" customHeight="1">
      <c r="B10" s="15" t="inlineStr">
        <is>
          <t>Acquirer Card Acceptance Cost (GBP)</t>
        </is>
      </c>
      <c r="C10" s="11">
        <f>C5*C9</f>
        <v/>
      </c>
      <c r="D10" s="11">
        <f>D5*D9</f>
        <v/>
      </c>
      <c r="E10" s="11">
        <f>E5*E9</f>
        <v/>
      </c>
    </row>
    <row r="11" ht="18" customHeight="1">
      <c r="B11" s="15" t="inlineStr">
        <is>
          <t>Compliance Verification Cost</t>
        </is>
      </c>
      <c r="C11" s="11">
        <f>'1. INPUT ASSUMPTIONS'!$C$20</f>
        <v/>
      </c>
      <c r="D11" s="11">
        <f>'1. INPUT ASSUMPTIONS'!$C$20</f>
        <v/>
      </c>
      <c r="E11" s="11">
        <f>'1. INPUT ASSUMPTIONS'!$C$20</f>
        <v/>
      </c>
    </row>
    <row r="12" ht="18" customHeight="1">
      <c r="B12" s="15" t="inlineStr">
        <is>
          <t>Local Bank Payout Network Cost</t>
        </is>
      </c>
      <c r="C12" s="11">
        <f>'1. INPUT ASSUMPTIONS'!$C$21</f>
        <v/>
      </c>
      <c r="D12" s="11">
        <f>'1. INPUT ASSUMPTIONS'!$C$21</f>
        <v/>
      </c>
      <c r="E12" s="11">
        <f>'1. INPUT ASSUMPTIONS'!$C$21</f>
        <v/>
      </c>
    </row>
    <row r="13" ht="18" customHeight="1">
      <c r="B13" s="15" t="inlineStr">
        <is>
          <t>Failed Transaction Gateways Impact</t>
        </is>
      </c>
      <c r="C13" s="11">
        <f>'1. INPUT ASSUMPTIONS'!$C$22*'1. INPUT ASSUMPTIONS'!$C$23</f>
        <v/>
      </c>
      <c r="D13" s="11">
        <f>'1. INPUT ASSUMPTIONS'!$C$22*'1. INPUT ASSUMPTIONS'!$C$23</f>
        <v/>
      </c>
      <c r="E13" s="11">
        <f>'1. INPUT ASSUMPTIONS'!$C$22*'1. INPUT ASSUMPTIONS'!$C$23</f>
        <v/>
      </c>
    </row>
    <row r="14" ht="18" customHeight="1">
      <c r="B14" s="5" t="inlineStr">
        <is>
          <t>Total Cost per Transaction</t>
        </is>
      </c>
      <c r="C14" s="16">
        <f>SUM(C10:C13)</f>
        <v/>
      </c>
      <c r="D14" s="16">
        <f>SUM(D10:D13)</f>
        <v/>
      </c>
      <c r="E14" s="16">
        <f>SUM(E10:E13)</f>
        <v/>
      </c>
    </row>
    <row r="15" ht="18" customHeight="1">
      <c r="B15" s="17" t="inlineStr">
        <is>
          <t>Contribution Margin per Transaction (GBP)</t>
        </is>
      </c>
      <c r="C15" s="18">
        <f>C8-C14</f>
        <v/>
      </c>
      <c r="D15" s="18">
        <f>D8-D14</f>
        <v/>
      </c>
      <c r="E15" s="18">
        <f>E8-E14</f>
        <v/>
      </c>
    </row>
    <row r="16" ht="18" customHeight="1">
      <c r="B16" s="5" t="inlineStr">
        <is>
          <t>Contribution Margin % (CM %)</t>
        </is>
      </c>
      <c r="C16" s="19">
        <f>C15/C8</f>
        <v/>
      </c>
      <c r="D16" s="19">
        <f>D15/D8</f>
        <v/>
      </c>
      <c r="E16" s="19">
        <f>E15/E8</f>
        <v/>
      </c>
    </row>
    <row r="17" ht="18" customHeight="1">
      <c r="B17" s="15" t="inlineStr">
        <is>
          <t>Transactions per Customer Lifespan</t>
        </is>
      </c>
      <c r="C17" s="12">
        <f>'1. INPUT ASSUMPTIONS'!$C$25*'1. INPUT ASSUMPTIONS'!$C$26</f>
        <v/>
      </c>
      <c r="D17" s="12">
        <f>'1. INPUT ASSUMPTIONS'!$C$25*'1. INPUT ASSUMPTIONS'!$C$26</f>
        <v/>
      </c>
      <c r="E17" s="12">
        <f>'1. INPUT ASSUMPTIONS'!$C$25*'1. INPUT ASSUMPTIONS'!$C$26</f>
        <v/>
      </c>
    </row>
    <row r="18" ht="18" customHeight="1">
      <c r="B18" s="5" t="inlineStr">
        <is>
          <t>Customer Lifetime Value (LTV based on CM)</t>
        </is>
      </c>
      <c r="C18" s="16">
        <f>C17*C15</f>
        <v/>
      </c>
      <c r="D18" s="16">
        <f>D17*D15</f>
        <v/>
      </c>
      <c r="E18" s="16">
        <f>E17*E15</f>
        <v/>
      </c>
    </row>
    <row r="19" ht="18" customHeight="1">
      <c r="B19" s="15" t="inlineStr">
        <is>
          <t>Customer Acquisition Cost (CAC)</t>
        </is>
      </c>
      <c r="C19" s="11">
        <f>'1. INPUT ASSUMPTIONS'!$C$24</f>
        <v/>
      </c>
      <c r="D19" s="11">
        <f>'1. INPUT ASSUMPTIONS'!$C$24</f>
        <v/>
      </c>
      <c r="E19" s="11">
        <f>'1. INPUT ASSUMPTIONS'!$C$24</f>
        <v/>
      </c>
    </row>
    <row r="20" ht="18" customHeight="1">
      <c r="B20" s="5" t="inlineStr">
        <is>
          <t>LTV to CAC Ratio (Target: &gt;3x)</t>
        </is>
      </c>
      <c r="C20" s="20">
        <f>C18/C19</f>
        <v/>
      </c>
      <c r="D20" s="20">
        <f>D18/D19</f>
        <v/>
      </c>
      <c r="E20" s="20">
        <f>E18/E19</f>
        <v/>
      </c>
    </row>
    <row r="21" ht="18" customHeight="1">
      <c r="B21" s="15" t="inlineStr">
        <is>
          <t>Payback Period (Months)</t>
        </is>
      </c>
      <c r="C21" s="21">
        <f>C19/(C15*'1. INPUT ASSUMPTIONS'!$C$26)</f>
        <v/>
      </c>
      <c r="D21" s="21">
        <f>D19/(D15*'1. INPUT ASSUMPTIONS'!$C$26)</f>
        <v/>
      </c>
      <c r="E21" s="21">
        <f>E19/(E15*'1. INPUT ASSUMPTIONS'!$C$26)</f>
        <v/>
      </c>
    </row>
    <row r="22" ht="18" customHeight="1">
      <c r="B22" s="15" t="inlineStr">
        <is>
          <t>Monthly Fixed Operating Overhead (GBP)</t>
        </is>
      </c>
      <c r="C22" s="11">
        <f>'1. INPUT ASSUMPTIONS'!$C$29</f>
        <v/>
      </c>
      <c r="D22" s="11">
        <f>'1. INPUT ASSUMPTIONS'!$C$29</f>
        <v/>
      </c>
      <c r="E22" s="11">
        <f>'1. INPUT ASSUMPTIONS'!$C$29</f>
        <v/>
      </c>
    </row>
    <row r="23" ht="18" customHeight="1">
      <c r="B23" s="22" t="inlineStr">
        <is>
          <t>Break-Even Monthly Volume (Transactions)</t>
        </is>
      </c>
      <c r="C23" s="23">
        <f>C22/C15</f>
        <v/>
      </c>
      <c r="D23" s="23">
        <f>D22/D15</f>
        <v/>
      </c>
      <c r="E23" s="23">
        <f>E22/E15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25" customWidth="1" min="6" max="6"/>
    <col width="25" customWidth="1" min="7" max="7"/>
    <col width="25" customWidth="1" min="8" max="8"/>
  </cols>
  <sheetData>
    <row r="2" ht="25" customHeight="1">
      <c r="B2" s="1" t="inlineStr">
        <is>
          <t>Corridor Benchmarking Matrix &amp; Regulatory Stress Test</t>
        </is>
      </c>
    </row>
    <row r="4" ht="22" customHeight="1">
      <c r="B4" s="4" t="inlineStr">
        <is>
          <t>Benchmark Comparison Metric</t>
        </is>
      </c>
      <c r="C4" s="4" t="inlineStr">
        <is>
          <t>GBP-PKR Corridor</t>
        </is>
      </c>
      <c r="D4" s="4" t="inlineStr">
        <is>
          <t>USD-PKR Corridor</t>
        </is>
      </c>
      <c r="E4" s="4" t="inlineStr">
        <is>
          <t>EUR-PKR Corridor</t>
        </is>
      </c>
      <c r="F4" s="4" t="inlineStr">
        <is>
          <t>Corridor Profitability Rank</t>
        </is>
      </c>
      <c r="G4" s="4" t="inlineStr">
        <is>
          <t>FX 0.5% Stress Test CM %</t>
        </is>
      </c>
      <c r="H4" s="4" t="inlineStr">
        <is>
          <t>Stress CM Variance (bps)</t>
        </is>
      </c>
    </row>
    <row r="5" ht="18" customHeight="1">
      <c r="B5" s="15" t="inlineStr">
        <is>
          <t>Monthly Transaction Volume</t>
        </is>
      </c>
      <c r="C5" s="6">
        <f>'1. INPUT ASSUMPTIONS'!C7</f>
        <v/>
      </c>
      <c r="D5" s="6">
        <f>'1. INPUT ASSUMPTIONS'!D7</f>
        <v/>
      </c>
      <c r="E5" s="6">
        <f>'1. INPUT ASSUMPTIONS'!E7</f>
        <v/>
      </c>
      <c r="F5" s="24">
        <f>RANK(C13, $C$13:$E$13, 0)</f>
        <v/>
      </c>
      <c r="G5" s="25">
        <f>(C12-(C6*0.005))/(C7-(C6*0.005))</f>
        <v/>
      </c>
      <c r="H5" s="26">
        <f>(G5-C13)*10000</f>
        <v/>
      </c>
    </row>
    <row r="6" ht="18" customHeight="1">
      <c r="B6" s="15" t="inlineStr">
        <is>
          <t>Average Send Amount per Remittance</t>
        </is>
      </c>
      <c r="C6" s="11">
        <f>'2. UNIT ECONOMICS'!C5</f>
        <v/>
      </c>
      <c r="D6" s="11">
        <f>'2. UNIT ECONOMICS'!D5</f>
        <v/>
      </c>
      <c r="E6" s="11">
        <f>'2. UNIT ECONOMICS'!E5</f>
        <v/>
      </c>
      <c r="F6" s="27" t="n"/>
      <c r="G6" s="28" t="n"/>
      <c r="H6" s="28" t="n"/>
    </row>
    <row r="7" ht="18" customHeight="1">
      <c r="B7" s="15" t="inlineStr">
        <is>
          <t>Gross Transaction Revenue</t>
        </is>
      </c>
      <c r="C7" s="11">
        <f>'2. UNIT ECONOMICS'!C8</f>
        <v/>
      </c>
      <c r="D7" s="11">
        <f>'2. UNIT ECONOMICS'!D8</f>
        <v/>
      </c>
      <c r="E7" s="11">
        <f>'2. UNIT ECONOMICS'!E8</f>
        <v/>
      </c>
      <c r="F7" s="29">
        <f>RANK(D13, $C$13:$E$13, 0)</f>
        <v/>
      </c>
      <c r="G7" s="25">
        <f>(D12-(D6*0.005))/(D7-(D6*0.005))</f>
        <v/>
      </c>
      <c r="H7" s="26">
        <f>(G7-D13)*10000</f>
        <v/>
      </c>
    </row>
    <row r="8" ht="18" customHeight="1">
      <c r="B8" s="15" t="inlineStr">
        <is>
          <t>Acquirer Card Acceptance Fee %</t>
        </is>
      </c>
      <c r="C8" s="9">
        <f>'2. UNIT ECONOMICS'!C9</f>
        <v/>
      </c>
      <c r="D8" s="9">
        <f>'2. UNIT ECONOMICS'!D9</f>
        <v/>
      </c>
      <c r="E8" s="9">
        <f>'2. UNIT ECONOMICS'!E9</f>
        <v/>
      </c>
      <c r="F8" s="27" t="n"/>
      <c r="G8" s="28" t="n"/>
      <c r="H8" s="28" t="n"/>
    </row>
    <row r="9" ht="18" customHeight="1">
      <c r="B9" s="15" t="inlineStr">
        <is>
          <t>Compliance &amp; Verification overhead</t>
        </is>
      </c>
      <c r="C9" s="11">
        <f>'2. UNIT ECONOMICS'!C11</f>
        <v/>
      </c>
      <c r="D9" s="11">
        <f>'2. UNIT ECONOMICS'!D11</f>
        <v/>
      </c>
      <c r="E9" s="11">
        <f>'2. UNIT ECONOMICS'!E11</f>
        <v/>
      </c>
      <c r="F9" s="29">
        <f>RANK(E13, $C$13:$E$13, 0)</f>
        <v/>
      </c>
      <c r="G9" s="25">
        <f>(E12-(E6*0.005))/(E7-(E6*0.005))</f>
        <v/>
      </c>
      <c r="H9" s="26">
        <f>(G9-E13)*10000</f>
        <v/>
      </c>
    </row>
    <row r="10" ht="18" customHeight="1">
      <c r="B10" s="15" t="inlineStr">
        <is>
          <t>Payout Network Partner overhead</t>
        </is>
      </c>
      <c r="C10" s="11">
        <f>'2. UNIT ECONOMICS'!C12</f>
        <v/>
      </c>
      <c r="D10" s="11">
        <f>'2. UNIT ECONOMICS'!D12</f>
        <v/>
      </c>
      <c r="E10" s="11">
        <f>'2. UNIT ECONOMICS'!E12</f>
        <v/>
      </c>
      <c r="F10" s="27" t="n"/>
      <c r="G10" s="28" t="n"/>
      <c r="H10" s="28" t="n"/>
    </row>
    <row r="11" ht="18" customHeight="1">
      <c r="B11" s="15" t="inlineStr">
        <is>
          <t>Total Transaction Costs (GBP)</t>
        </is>
      </c>
      <c r="C11" s="11">
        <f>'2. UNIT ECONOMICS'!C14</f>
        <v/>
      </c>
      <c r="D11" s="11">
        <f>'2. UNIT ECONOMICS'!D14</f>
        <v/>
      </c>
      <c r="E11" s="11">
        <f>'2. UNIT ECONOMICS'!E14</f>
        <v/>
      </c>
      <c r="G11" s="28" t="n"/>
      <c r="H11" s="28" t="n"/>
    </row>
    <row r="12" ht="18" customHeight="1">
      <c r="B12" s="5" t="inlineStr">
        <is>
          <t>Contribution Margin per Transaction</t>
        </is>
      </c>
      <c r="C12" s="18">
        <f>'2. UNIT ECONOMICS'!C15</f>
        <v/>
      </c>
      <c r="D12" s="18">
        <f>'2. UNIT ECONOMICS'!D15</f>
        <v/>
      </c>
      <c r="E12" s="18">
        <f>'2. UNIT ECONOMICS'!E15</f>
        <v/>
      </c>
      <c r="G12" s="28" t="n"/>
      <c r="H12" s="28" t="n"/>
    </row>
    <row r="13" ht="18" customHeight="1">
      <c r="B13" s="5" t="inlineStr">
        <is>
          <t>Contribution Margin % (CM %)</t>
        </is>
      </c>
      <c r="C13" s="19">
        <f>'2. UNIT ECONOMICS'!C16</f>
        <v/>
      </c>
      <c r="D13" s="19">
        <f>'2. UNIT ECONOMICS'!D16</f>
        <v/>
      </c>
      <c r="E13" s="19">
        <f>'2. UNIT ECONOMICS'!E16</f>
        <v/>
      </c>
      <c r="G13" s="28" t="n"/>
      <c r="H13" s="28" t="n"/>
    </row>
    <row r="14" ht="18" customHeight="1">
      <c r="B14" s="5" t="inlineStr">
        <is>
          <t>Customer LTV to CAC Leverage Ratio</t>
        </is>
      </c>
      <c r="C14" s="30">
        <f>'2. UNIT ECONOMICS'!C20</f>
        <v/>
      </c>
      <c r="D14" s="30">
        <f>'2. UNIT ECONOMICS'!D20</f>
        <v/>
      </c>
      <c r="E14" s="30">
        <f>'2. UNIT ECONOMICS'!E20</f>
        <v/>
      </c>
      <c r="G14" s="28" t="n"/>
      <c r="H14" s="28" t="n"/>
    </row>
    <row r="15" ht="18" customHeight="1">
      <c r="B15" s="15" t="inlineStr">
        <is>
          <t>Corridor Break-Even Monthly Volume</t>
        </is>
      </c>
      <c r="C15" s="6">
        <f>'2. UNIT ECONOMICS'!C23</f>
        <v/>
      </c>
      <c r="D15" s="6">
        <f>'2. UNIT ECONOMICS'!D23</f>
        <v/>
      </c>
      <c r="E15" s="6">
        <f>'2. UNIT ECONOMICS'!E23</f>
        <v/>
      </c>
      <c r="G15" s="28" t="n"/>
      <c r="H15" s="28" t="n"/>
    </row>
    <row r="17">
      <c r="B17" s="3" t="inlineStr">
        <is>
          <t>Senior Analyst Executive Commentary - Key Corridor Insights</t>
        </is>
      </c>
    </row>
    <row r="19">
      <c r="B19" s="31" t="inlineStr">
        <is>
          <t>Remittance Business Analysis &amp; Key Recommendations:
1. GBP-PKR Corridor Dominance: GBP-PKR is the absolute primary anchor for ACE Money Transfer, accounting for 70% of volume and yielding the highest contribution margin of 45.8% (£3.38 per transaction) driven by the high average transaction size (£280) and 2.1% FX spread. LTV:CAC is an outstanding 13.5x with a fast payback of 1.3 months.
2. EUR-PKR Exposure: EUR-PKR is the weakest corridor (38.6% margin). This is due to its low volume (5,000 tx/month) which keeps it in the 1.5% acquirer card fee tier (versus the 1.2% tier enjoyed by GBP and USD) and a lower average transaction value (€190). Action: Standardize pricing or drive marketing to reach the 5,000+ transaction tier to lower card fees.
3. Regulatory FX Spread Compression Risk: Under a stressed scenario where competitive and regulatory pressure compresses wholesale margins by 0.5%, all corridors suffer margin contraction. EUR-PKR is highly vulnerable, with margins dropping to 27.0% (a -1,159 bps variance), which would severely lengthen its payback period.</t>
        </is>
      </c>
      <c r="C19" s="32" t="n"/>
      <c r="D19" s="32" t="n"/>
      <c r="E19" s="32" t="n"/>
      <c r="F19" s="32" t="n"/>
      <c r="G19" s="32" t="n"/>
      <c r="H19" s="32" t="n"/>
    </row>
    <row r="20">
      <c r="B20" s="32" t="n"/>
      <c r="C20" s="32" t="n"/>
      <c r="D20" s="32" t="n"/>
      <c r="E20" s="32" t="n"/>
      <c r="F20" s="32" t="n"/>
      <c r="G20" s="32" t="n"/>
      <c r="H20" s="32" t="n"/>
    </row>
    <row r="21">
      <c r="B21" s="32" t="n"/>
      <c r="C21" s="32" t="n"/>
      <c r="D21" s="32" t="n"/>
      <c r="E21" s="32" t="n"/>
      <c r="F21" s="32" t="n"/>
      <c r="G21" s="32" t="n"/>
      <c r="H21" s="32" t="n"/>
    </row>
    <row r="22">
      <c r="B22" s="32" t="n"/>
      <c r="C22" s="32" t="n"/>
      <c r="D22" s="32" t="n"/>
      <c r="E22" s="32" t="n"/>
      <c r="F22" s="32" t="n"/>
      <c r="G22" s="32" t="n"/>
      <c r="H22" s="32" t="n"/>
    </row>
  </sheetData>
  <mergeCells count="4">
    <mergeCell ref="B19:H22"/>
    <mergeCell ref="F9:F10"/>
    <mergeCell ref="F7:F8"/>
    <mergeCell ref="F5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38" customWidth="1" min="5" max="5"/>
  </cols>
  <sheetData>
    <row r="2" ht="25" customHeight="1">
      <c r="B2" s="1" t="inlineStr">
        <is>
          <t>Revenue Leakage &amp; Margin Erosion Tracker (Monthly Aggregate)</t>
        </is>
      </c>
    </row>
    <row r="4" ht="22" customHeight="1">
      <c r="B4" s="4" t="inlineStr">
        <is>
          <t>Leakage Walk Item</t>
        </is>
      </c>
      <c r="C4" s="4" t="inlineStr">
        <is>
          <t>Monthly Value (GBP / £)</t>
        </is>
      </c>
      <c r="D4" s="4" t="inlineStr">
        <is>
          <t>% of Gross Revenue</t>
        </is>
      </c>
      <c r="E4" s="4" t="inlineStr">
        <is>
          <t>Leakage Status Alert</t>
        </is>
      </c>
    </row>
    <row r="5" ht="18" customHeight="1">
      <c r="B5" s="5" t="inlineStr">
        <is>
          <t>Gross Remittance Revenue (Fees + FX Spreads)</t>
        </is>
      </c>
      <c r="C5" s="33">
        <f>SUMPRODUCT('1. INPUT ASSUMPTIONS'!$C$7:$E$7, '2. UNIT ECONOMICS'!$C$8:$E$8)</f>
        <v/>
      </c>
      <c r="D5" s="34">
        <f>C5/C5</f>
        <v/>
      </c>
      <c r="E5" s="35" t="inlineStr">
        <is>
          <t>Baseline</t>
        </is>
      </c>
    </row>
    <row r="6" ht="18" customHeight="1">
      <c r="B6" s="15" t="inlineStr">
        <is>
          <t>FX Slippage Loss (Wholesale Settlement)</t>
        </is>
      </c>
      <c r="C6" s="14">
        <f>SUMPRODUCT('1. INPUT ASSUMPTIONS'!$C$7:$E$7, '2. UNIT ECONOMICS'!$C$5:$E$5)*'1. INPUT ASSUMPTIONS'!$C$27</f>
        <v/>
      </c>
      <c r="D6" s="13">
        <f>C6/$C$5</f>
        <v/>
      </c>
      <c r="E6" s="35" t="inlineStr">
        <is>
          <t>Leakage</t>
        </is>
      </c>
    </row>
    <row r="7" ht="18" customHeight="1">
      <c r="B7" s="15" t="inlineStr">
        <is>
          <t>Failed Transaction gateways processing overhead</t>
        </is>
      </c>
      <c r="C7" s="14">
        <f>('1. INPUT ASSUMPTIONS'!$C$7+'1. INPUT ASSUMPTIONS'!$D$7+'1. INPUT ASSUMPTIONS'!$E$7)*'1. INPUT ASSUMPTIONS'!$C$22*'1. INPUT ASSUMPTIONS'!$C$23</f>
        <v/>
      </c>
      <c r="D7" s="13">
        <f>C7/$C$5</f>
        <v/>
      </c>
      <c r="E7" s="35" t="inlineStr">
        <is>
          <t>Leakage</t>
        </is>
      </c>
    </row>
    <row r="8" ht="18" customHeight="1">
      <c r="B8" s="15" t="inlineStr">
        <is>
          <t>Promotional Waivers &amp; Customer Incentives</t>
        </is>
      </c>
      <c r="C8" s="14">
        <f>SUMPRODUCT('1. INPUT ASSUMPTIONS'!$C$7:$E$7, '2. UNIT ECONOMICS'!$C$5:$E$5)*'1. INPUT ASSUMPTIONS'!$C$28</f>
        <v/>
      </c>
      <c r="D8" s="13">
        <f>C8/$C$5</f>
        <v/>
      </c>
      <c r="E8" s="35" t="inlineStr">
        <is>
          <t>Leakage</t>
        </is>
      </c>
    </row>
    <row r="9" ht="18" customHeight="1">
      <c r="B9" s="15" t="inlineStr">
        <is>
          <t>Compliance KYC &amp; Verification Fees</t>
        </is>
      </c>
      <c r="C9" s="14">
        <f>SUM('1. INPUT ASSUMPTIONS'!$C$7:$E$7)*'1. INPUT ASSUMPTIONS'!$C$20</f>
        <v/>
      </c>
      <c r="D9" s="13">
        <f>C9/$C$5</f>
        <v/>
      </c>
      <c r="E9" s="35" t="inlineStr">
        <is>
          <t>Cost</t>
        </is>
      </c>
    </row>
    <row r="10" ht="18" customHeight="1">
      <c r="B10" s="15" t="inlineStr">
        <is>
          <t>Payout Network Partner Fees</t>
        </is>
      </c>
      <c r="C10" s="14">
        <f>SUM('1. INPUT ASSUMPTIONS'!$C$7:$E$7)*'1. INPUT ASSUMPTIONS'!$C$21</f>
        <v/>
      </c>
      <c r="D10" s="13">
        <f>C10/$C$5</f>
        <v/>
      </c>
      <c r="E10" s="35" t="inlineStr">
        <is>
          <t>Cost</t>
        </is>
      </c>
    </row>
    <row r="11" ht="18" customHeight="1">
      <c r="B11" s="15" t="inlineStr">
        <is>
          <t>Acquirer Credit Card Processing Costs</t>
        </is>
      </c>
      <c r="C11" s="14">
        <f>SUMPRODUCT('1. INPUT ASSUMPTIONS'!$C$7:$E$7, '2. UNIT ECONOMICS'!$C$10:$E$10)</f>
        <v/>
      </c>
      <c r="D11" s="13">
        <f>C11/$C$5</f>
        <v/>
      </c>
      <c r="E11" s="35" t="inlineStr">
        <is>
          <t>Cost</t>
        </is>
      </c>
    </row>
    <row r="12" ht="18" customHeight="1">
      <c r="B12" s="5" t="inlineStr">
        <is>
          <t>Net Contribution Margin (Residual Profit)</t>
        </is>
      </c>
      <c r="C12" s="33">
        <f>C5-SUM(C6:C11)</f>
        <v/>
      </c>
      <c r="D12" s="34">
        <f>C12/C5</f>
        <v/>
      </c>
      <c r="E12" s="36" t="inlineStr">
        <is>
          <t>Ending Margin</t>
        </is>
      </c>
    </row>
    <row r="15">
      <c r="B15" s="3" t="inlineStr">
        <is>
          <t>Revenue Leakage Summary</t>
        </is>
      </c>
    </row>
    <row r="16">
      <c r="B16" s="37" t="inlineStr">
        <is>
          <t>Total Monthly Operational Revenue Leakage (Slippage + Failed + Promo):</t>
        </is>
      </c>
      <c r="C16" s="38">
        <f>SUM(C6,C7,C8)</f>
        <v/>
      </c>
      <c r="D16" s="39">
        <f>C16/C5</f>
        <v/>
      </c>
      <c r="E16" s="40">
        <f>IF(D16&gt;0.08, "HIGH LEAKAGE - ACTION NEEDED", IF(D16&gt;=0.05, "MODERATE LEAKAGE", "HEALTHY LEAKAGE"))</f>
        <v/>
      </c>
    </row>
  </sheetData>
  <conditionalFormatting sqref="D16">
    <cfRule type="cellIs" priority="1" operator="greaterThan" dxfId="0">
      <formula>0.08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  <col width="25" customWidth="1" min="6" max="6"/>
    <col width="3" customWidth="1" min="7" max="7"/>
    <col width="20" customWidth="1" min="8" max="8"/>
    <col width="20" customWidth="1" min="9" max="9"/>
    <col width="15" customWidth="1" min="10" max="10"/>
    <col width="20" customWidth="1" min="11" max="11"/>
    <col width="20" customWidth="1" min="12" max="12"/>
  </cols>
  <sheetData>
    <row r="2" ht="25" customHeight="1">
      <c r="B2" s="1" t="inlineStr">
        <is>
          <t>ACE Money Transfer - Executive Payments Dashboard</t>
        </is>
      </c>
    </row>
    <row r="3">
      <c r="B3" s="2" t="inlineStr">
        <is>
          <t>Real-time Operational Performance &amp; Corridor Profitability Overview</t>
        </is>
      </c>
    </row>
    <row r="4" ht="20" customHeight="1"/>
    <row r="5">
      <c r="B5" s="41">
        <f>'2. UNIT ECONOMICS'!C16</f>
        <v/>
      </c>
      <c r="C5" s="32" t="n"/>
      <c r="E5" s="41">
        <f>'4. Revenue Leakage Tracker'!D16</f>
        <v/>
      </c>
      <c r="F5" s="32" t="n"/>
      <c r="H5" s="42" t="inlineStr">
        <is>
          <t>GBP-PKR Corridor</t>
        </is>
      </c>
      <c r="I5" s="32" t="n"/>
      <c r="K5" s="43">
        <f>'4. Revenue Leakage Tracker'!C12</f>
        <v/>
      </c>
      <c r="L5" s="32" t="n"/>
    </row>
    <row r="6">
      <c r="B6" s="32" t="n"/>
      <c r="C6" s="32" t="n"/>
      <c r="E6" s="32" t="n"/>
      <c r="F6" s="32" t="n"/>
      <c r="H6" s="32" t="n"/>
      <c r="I6" s="32" t="n"/>
      <c r="K6" s="32" t="n"/>
      <c r="L6" s="32" t="n"/>
    </row>
    <row r="7" ht="22" customHeight="1">
      <c r="B7" s="44" t="inlineStr">
        <is>
          <t>GBP-PKR Anchor Contribution %</t>
        </is>
      </c>
      <c r="E7" s="44" t="inlineStr">
        <is>
          <t>Operational Revenue Leakage %</t>
        </is>
      </c>
      <c r="H7" s="44" t="inlineStr">
        <is>
          <t>Best Performing Corridor</t>
        </is>
      </c>
      <c r="K7" s="44" t="inlineStr">
        <is>
          <t>Monthly Net Contribution (GBP)</t>
        </is>
      </c>
    </row>
    <row r="9">
      <c r="B9" s="3" t="inlineStr">
        <is>
          <t>Corridor Health &amp; Traffic Light Status</t>
        </is>
      </c>
    </row>
    <row r="11" ht="20" customHeight="1">
      <c r="B11" s="10" t="inlineStr">
        <is>
          <t>Corridor Route</t>
        </is>
      </c>
      <c r="C11" s="10" t="inlineStr">
        <is>
          <t>Monthly Volume (tx)</t>
        </is>
      </c>
      <c r="D11" s="10" t="inlineStr">
        <is>
          <t>Average CM %</t>
        </is>
      </c>
      <c r="E11" s="10" t="inlineStr">
        <is>
          <t>Regulatory GPM stress test</t>
        </is>
      </c>
      <c r="F11" s="10" t="inlineStr">
        <is>
          <t>Health Status</t>
        </is>
      </c>
    </row>
    <row r="12" ht="18" customHeight="1">
      <c r="B12" s="5" t="inlineStr">
        <is>
          <t>GBP-PKR (Remittance from UK)</t>
        </is>
      </c>
      <c r="C12" s="45">
        <f>'1. INPUT ASSUMPTIONS'!C7</f>
        <v/>
      </c>
      <c r="D12" s="46">
        <f>'2. UNIT ECONOMICS'!C16</f>
        <v/>
      </c>
      <c r="E12" s="46">
        <f>'3. CORRIDOR BENCHMARKING'!G5</f>
        <v/>
      </c>
      <c r="F12" s="47">
        <f>IF(D12&gt;0.4, "GREEN - RESILIENT", IF(D12&gt;=0.3, "AMBER", "RED"))</f>
        <v/>
      </c>
    </row>
    <row r="13" ht="18" customHeight="1">
      <c r="B13" s="5" t="inlineStr">
        <is>
          <t>USD-PKR (Remittance from US/Global)</t>
        </is>
      </c>
      <c r="C13" s="45">
        <f>'1. INPUT ASSUMPTIONS'!D7</f>
        <v/>
      </c>
      <c r="D13" s="46">
        <f>'2. UNIT ECONOMICS'!D16</f>
        <v/>
      </c>
      <c r="E13" s="46">
        <f>'3. CORRIDOR BENCHMARKING'!G7</f>
        <v/>
      </c>
      <c r="F13" s="47">
        <f>IF(D13&gt;0.4, "GREEN - RESILIENT", IF(D13&gt;=0.3, "AMBER", "RED"))</f>
        <v/>
      </c>
    </row>
    <row r="14" ht="18" customHeight="1">
      <c r="B14" s="5" t="inlineStr">
        <is>
          <t>EUR-PKR (Remittance from Europe)</t>
        </is>
      </c>
      <c r="C14" s="45">
        <f>'1. INPUT ASSUMPTIONS'!E7</f>
        <v/>
      </c>
      <c r="D14" s="46">
        <f>'2. UNIT ECONOMICS'!E16</f>
        <v/>
      </c>
      <c r="E14" s="46">
        <f>'3. CORRIDOR BENCHMARKING'!G9</f>
        <v/>
      </c>
      <c r="F14" s="48">
        <f>IF(D14&gt;0.4, "GREEN - RESILIENT", IF(D14&gt;=0.3, "AMBER - COST PRESSURE", "RED"))</f>
        <v/>
      </c>
    </row>
  </sheetData>
  <mergeCells count="4">
    <mergeCell ref="H5:I6"/>
    <mergeCell ref="E5:F6"/>
    <mergeCell ref="K5:L6"/>
    <mergeCell ref="B5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4" customWidth="1" min="4" max="4"/>
    <col width="12" customWidth="1" min="5" max="5"/>
    <col width="16" customWidth="1" min="6" max="6"/>
    <col width="12" customWidth="1" min="7" max="7"/>
    <col width="16" customWidth="1" min="8" max="8"/>
    <col width="14" customWidth="1" min="9" max="9"/>
    <col width="14" customWidth="1" min="10" max="10"/>
    <col width="12" customWidth="1" min="11" max="11"/>
    <col width="16" customWidth="1" min="12" max="12"/>
    <col width="18" customWidth="1" min="13" max="13"/>
    <col width="18" customWidth="1" min="14" max="14"/>
  </cols>
  <sheetData>
    <row r="1" ht="25" customHeight="1">
      <c r="A1" s="10" t="inlineStr">
        <is>
          <t>Tx ID</t>
        </is>
      </c>
      <c r="B1" s="10" t="inlineStr">
        <is>
          <t>Timestamp</t>
        </is>
      </c>
      <c r="C1" s="10" t="inlineStr">
        <is>
          <t>Customer ID</t>
        </is>
      </c>
      <c r="D1" s="10" t="inlineStr">
        <is>
          <t>Corridor</t>
        </is>
      </c>
      <c r="E1" s="10" t="inlineStr">
        <is>
          <t>Currency</t>
        </is>
      </c>
      <c r="F1" s="10" t="inlineStr">
        <is>
          <t>Amount (FCY)</t>
        </is>
      </c>
      <c r="G1" s="10" t="inlineStr">
        <is>
          <t>Exch Rate</t>
        </is>
      </c>
      <c r="H1" s="10" t="inlineStr">
        <is>
          <t>Amount (GBP)</t>
        </is>
      </c>
      <c r="I1" s="10" t="inlineStr">
        <is>
          <t>Fee (GBP)</t>
        </is>
      </c>
      <c r="J1" s="10" t="inlineStr">
        <is>
          <t>FX Spread %</t>
        </is>
      </c>
      <c r="K1" s="10" t="inlineStr">
        <is>
          <t>Status</t>
        </is>
      </c>
      <c r="L1" s="10" t="inlineStr">
        <is>
          <t>Slippage (GBP)</t>
        </is>
      </c>
      <c r="M1" s="10" t="inlineStr">
        <is>
          <t>Promo Waiver (GBP)</t>
        </is>
      </c>
      <c r="N1" s="10" t="inlineStr">
        <is>
          <t>Acquirer Fee (GBP)</t>
        </is>
      </c>
    </row>
    <row r="2" ht="18" customHeight="1">
      <c r="A2" s="49" t="inlineStr">
        <is>
          <t>ACE-10001</t>
        </is>
      </c>
      <c r="B2" s="49" t="inlineStr">
        <is>
          <t>2026-05-14 15:44:38</t>
        </is>
      </c>
      <c r="C2" s="49" t="inlineStr">
        <is>
          <t>CUST-80796</t>
        </is>
      </c>
      <c r="D2" s="49" t="inlineStr">
        <is>
          <t>USD-PKR</t>
        </is>
      </c>
      <c r="E2" s="49" t="inlineStr">
        <is>
          <t>USD</t>
        </is>
      </c>
      <c r="F2" s="7" t="n">
        <v>230.050525676815</v>
      </c>
      <c r="G2" s="8" t="n">
        <v>0.8</v>
      </c>
      <c r="H2" s="7" t="n">
        <v>184.040420541452</v>
      </c>
      <c r="I2" s="7" t="n">
        <v>1.6</v>
      </c>
      <c r="J2" s="9" t="n">
        <v>0.019</v>
      </c>
      <c r="K2" s="49" t="inlineStr">
        <is>
          <t>Success</t>
        </is>
      </c>
      <c r="L2" s="7" t="n">
        <v>0.276060630812178</v>
      </c>
      <c r="M2" s="7" t="n">
        <v>0</v>
      </c>
      <c r="N2" s="7" t="n">
        <v>2.208485046497424</v>
      </c>
    </row>
    <row r="3" ht="18" customHeight="1">
      <c r="A3" s="49" t="inlineStr">
        <is>
          <t>ACE-10002</t>
        </is>
      </c>
      <c r="B3" s="49" t="inlineStr">
        <is>
          <t>2026-05-23 12:44:55</t>
        </is>
      </c>
      <c r="C3" s="49" t="inlineStr">
        <is>
          <t>CUST-79755</t>
        </is>
      </c>
      <c r="D3" s="49" t="inlineStr">
        <is>
          <t>GBP-PKR</t>
        </is>
      </c>
      <c r="E3" s="49" t="inlineStr">
        <is>
          <t>GBP</t>
        </is>
      </c>
      <c r="F3" s="7" t="n">
        <v>274.7779104589129</v>
      </c>
      <c r="G3" s="8" t="n">
        <v>1</v>
      </c>
      <c r="H3" s="7" t="n">
        <v>274.7779104589129</v>
      </c>
      <c r="I3" s="7" t="n">
        <v>1.5</v>
      </c>
      <c r="J3" s="9" t="n">
        <v>0.021</v>
      </c>
      <c r="K3" s="49" t="inlineStr">
        <is>
          <t>Success</t>
        </is>
      </c>
      <c r="L3" s="7" t="n">
        <v>0.4121668656883693</v>
      </c>
      <c r="M3" s="7" t="n">
        <v>0</v>
      </c>
      <c r="N3" s="7" t="n">
        <v>3.297334925506954</v>
      </c>
    </row>
    <row r="4" ht="18" customHeight="1">
      <c r="A4" s="49" t="inlineStr">
        <is>
          <t>ACE-10003</t>
        </is>
      </c>
      <c r="B4" s="49" t="inlineStr">
        <is>
          <t>2026-05-09 20:50:40</t>
        </is>
      </c>
      <c r="C4" s="49" t="inlineStr">
        <is>
          <t>CUST-88652</t>
        </is>
      </c>
      <c r="D4" s="49" t="inlineStr">
        <is>
          <t>USD-PKR</t>
        </is>
      </c>
      <c r="E4" s="49" t="inlineStr">
        <is>
          <t>USD</t>
        </is>
      </c>
      <c r="F4" s="7" t="n">
        <v>233.5500497962083</v>
      </c>
      <c r="G4" s="8" t="n">
        <v>0.8</v>
      </c>
      <c r="H4" s="7" t="n">
        <v>186.8400398369666</v>
      </c>
      <c r="I4" s="7" t="n">
        <v>1.6</v>
      </c>
      <c r="J4" s="9" t="n">
        <v>0.019</v>
      </c>
      <c r="K4" s="49" t="inlineStr">
        <is>
          <t>Success</t>
        </is>
      </c>
      <c r="L4" s="7" t="n">
        <v>0.28026005975545</v>
      </c>
      <c r="M4" s="7" t="n">
        <v>0.5605201195109</v>
      </c>
      <c r="N4" s="7" t="n">
        <v>2.2420804780436</v>
      </c>
    </row>
    <row r="5" ht="18" customHeight="1">
      <c r="A5" s="49" t="inlineStr">
        <is>
          <t>ACE-10004</t>
        </is>
      </c>
      <c r="B5" s="49" t="inlineStr">
        <is>
          <t>2026-05-14 09:34:14</t>
        </is>
      </c>
      <c r="C5" s="49" t="inlineStr">
        <is>
          <t>CUST-92443</t>
        </is>
      </c>
      <c r="D5" s="49" t="inlineStr">
        <is>
          <t>EUR-PKR</t>
        </is>
      </c>
      <c r="E5" s="49" t="inlineStr">
        <is>
          <t>EUR</t>
        </is>
      </c>
      <c r="F5" s="7" t="n">
        <v>220.1539463561059</v>
      </c>
      <c r="G5" s="8" t="n">
        <v>0.85</v>
      </c>
      <c r="H5" s="7" t="n">
        <v>187.13085440269</v>
      </c>
      <c r="I5" s="7" t="n">
        <v>1.275</v>
      </c>
      <c r="J5" s="9" t="n">
        <v>0.023</v>
      </c>
      <c r="K5" s="49" t="inlineStr">
        <is>
          <t>Success</t>
        </is>
      </c>
      <c r="L5" s="7" t="n">
        <v>0.280696281604035</v>
      </c>
      <c r="M5" s="7" t="n">
        <v>0</v>
      </c>
      <c r="N5" s="7" t="n">
        <v>2.80696281604035</v>
      </c>
    </row>
    <row r="6" ht="18" customHeight="1">
      <c r="A6" s="49" t="inlineStr">
        <is>
          <t>ACE-10005</t>
        </is>
      </c>
      <c r="B6" s="49" t="inlineStr">
        <is>
          <t>2026-05-05 09:03:10</t>
        </is>
      </c>
      <c r="C6" s="49" t="inlineStr">
        <is>
          <t>CUST-70159</t>
        </is>
      </c>
      <c r="D6" s="49" t="inlineStr">
        <is>
          <t>GBP-PKR</t>
        </is>
      </c>
      <c r="E6" s="49" t="inlineStr">
        <is>
          <t>GBP</t>
        </is>
      </c>
      <c r="F6" s="7" t="n">
        <v>272.155682773597</v>
      </c>
      <c r="G6" s="8" t="n">
        <v>1</v>
      </c>
      <c r="H6" s="7" t="n">
        <v>272.155682773597</v>
      </c>
      <c r="I6" s="7" t="n">
        <v>1.5</v>
      </c>
      <c r="J6" s="9" t="n">
        <v>0.021</v>
      </c>
      <c r="K6" s="49" t="inlineStr">
        <is>
          <t>Success</t>
        </is>
      </c>
      <c r="L6" s="7" t="n">
        <v>0.4082335241603955</v>
      </c>
      <c r="M6" s="7" t="n">
        <v>0.816467048320791</v>
      </c>
      <c r="N6" s="7" t="n">
        <v>3.265868193283164</v>
      </c>
    </row>
    <row r="7" ht="18" customHeight="1">
      <c r="A7" s="49" t="inlineStr">
        <is>
          <t>ACE-10006</t>
        </is>
      </c>
      <c r="B7" s="49" t="inlineStr">
        <is>
          <t>2026-05-10 15:07:29</t>
        </is>
      </c>
      <c r="C7" s="49" t="inlineStr">
        <is>
          <t>CUST-95133</t>
        </is>
      </c>
      <c r="D7" s="49" t="inlineStr">
        <is>
          <t>GBP-PKR</t>
        </is>
      </c>
      <c r="E7" s="49" t="inlineStr">
        <is>
          <t>GBP</t>
        </is>
      </c>
      <c r="F7" s="7" t="n">
        <v>272.1561295930172</v>
      </c>
      <c r="G7" s="8" t="n">
        <v>1</v>
      </c>
      <c r="H7" s="7" t="n">
        <v>272.1561295930172</v>
      </c>
      <c r="I7" s="7" t="n">
        <v>1.5</v>
      </c>
      <c r="J7" s="9" t="n">
        <v>0.021</v>
      </c>
      <c r="K7" s="49" t="inlineStr">
        <is>
          <t>Success</t>
        </is>
      </c>
      <c r="L7" s="7" t="n">
        <v>0.4082341943895259</v>
      </c>
      <c r="M7" s="7" t="n">
        <v>0</v>
      </c>
      <c r="N7" s="7" t="n">
        <v>3.265873555116207</v>
      </c>
    </row>
    <row r="8" ht="18" customHeight="1">
      <c r="A8" s="49" t="inlineStr">
        <is>
          <t>ACE-10007</t>
        </is>
      </c>
      <c r="B8" s="49" t="inlineStr">
        <is>
          <t>2026-05-09 16:34:31</t>
        </is>
      </c>
      <c r="C8" s="49" t="inlineStr">
        <is>
          <t>CUST-78688</t>
        </is>
      </c>
      <c r="D8" s="49" t="inlineStr">
        <is>
          <t>GBP-PKR</t>
        </is>
      </c>
      <c r="E8" s="49" t="inlineStr">
        <is>
          <t>GBP</t>
        </is>
      </c>
      <c r="F8" s="7" t="n">
        <v>326.2653099938228</v>
      </c>
      <c r="G8" s="8" t="n">
        <v>1</v>
      </c>
      <c r="H8" s="7" t="n">
        <v>326.2653099938228</v>
      </c>
      <c r="I8" s="7" t="n">
        <v>1.5</v>
      </c>
      <c r="J8" s="9" t="n">
        <v>0.021</v>
      </c>
      <c r="K8" s="49" t="inlineStr">
        <is>
          <t>Success</t>
        </is>
      </c>
      <c r="L8" s="7" t="n">
        <v>0.4893979649907342</v>
      </c>
      <c r="M8" s="7" t="n">
        <v>0</v>
      </c>
      <c r="N8" s="7" t="n">
        <v>3.915183719925874</v>
      </c>
    </row>
    <row r="9" ht="18" customHeight="1">
      <c r="A9" s="49" t="inlineStr">
        <is>
          <t>ACE-10008</t>
        </is>
      </c>
      <c r="B9" s="49" t="inlineStr">
        <is>
          <t>2026-05-14 19:20:38</t>
        </is>
      </c>
      <c r="C9" s="49" t="inlineStr">
        <is>
          <t>CUST-66408</t>
        </is>
      </c>
      <c r="D9" s="49" t="inlineStr">
        <is>
          <t>USD-PKR</t>
        </is>
      </c>
      <c r="E9" s="49" t="inlineStr">
        <is>
          <t>USD</t>
        </is>
      </c>
      <c r="F9" s="7" t="n">
        <v>236.3635342679102</v>
      </c>
      <c r="G9" s="8" t="n">
        <v>0.8</v>
      </c>
      <c r="H9" s="7" t="n">
        <v>189.0908274143281</v>
      </c>
      <c r="I9" s="7" t="n">
        <v>1.6</v>
      </c>
      <c r="J9" s="9" t="n">
        <v>0.019</v>
      </c>
      <c r="K9" s="49" t="inlineStr">
        <is>
          <t>Success</t>
        </is>
      </c>
      <c r="L9" s="7" t="n">
        <v>0.2836362411214922</v>
      </c>
      <c r="M9" s="7" t="n">
        <v>0</v>
      </c>
      <c r="N9" s="7" t="n">
        <v>2.269089928971938</v>
      </c>
    </row>
    <row r="10" ht="18" customHeight="1">
      <c r="A10" s="49" t="inlineStr">
        <is>
          <t>ACE-10009</t>
        </is>
      </c>
      <c r="B10" s="49" t="inlineStr">
        <is>
          <t>2026-05-22 17:37:01</t>
        </is>
      </c>
      <c r="C10" s="49" t="inlineStr">
        <is>
          <t>CUST-94058</t>
        </is>
      </c>
      <c r="D10" s="49" t="inlineStr">
        <is>
          <t>GBP-PKR</t>
        </is>
      </c>
      <c r="E10" s="49" t="inlineStr">
        <is>
          <t>GBP</t>
        </is>
      </c>
      <c r="F10" s="7" t="n">
        <v>265.8260545401287</v>
      </c>
      <c r="G10" s="8" t="n">
        <v>1</v>
      </c>
      <c r="H10" s="7" t="n">
        <v>265.8260545401287</v>
      </c>
      <c r="I10" s="7" t="n">
        <v>1.5</v>
      </c>
      <c r="J10" s="9" t="n">
        <v>0.021</v>
      </c>
      <c r="K10" s="49" t="inlineStr">
        <is>
          <t>Success</t>
        </is>
      </c>
      <c r="L10" s="7" t="n">
        <v>0.3987390818101931</v>
      </c>
      <c r="M10" s="7" t="n">
        <v>0</v>
      </c>
      <c r="N10" s="7" t="n">
        <v>3.189912654481545</v>
      </c>
    </row>
    <row r="11" ht="18" customHeight="1">
      <c r="A11" s="49" t="inlineStr">
        <is>
          <t>ACE-10010</t>
        </is>
      </c>
      <c r="B11" s="49" t="inlineStr">
        <is>
          <t>2026-05-06 15:33:41</t>
        </is>
      </c>
      <c r="C11" s="49" t="inlineStr">
        <is>
          <t>CUST-78981</t>
        </is>
      </c>
      <c r="D11" s="49" t="inlineStr">
        <is>
          <t>GBP-PKR</t>
        </is>
      </c>
      <c r="E11" s="49" t="inlineStr">
        <is>
          <t>GBP</t>
        </is>
      </c>
      <c r="F11" s="7" t="n">
        <v>294.1369889206094</v>
      </c>
      <c r="G11" s="8" t="n">
        <v>1</v>
      </c>
      <c r="H11" s="7" t="n">
        <v>294.1369889206094</v>
      </c>
      <c r="I11" s="7" t="n">
        <v>1.5</v>
      </c>
      <c r="J11" s="9" t="n">
        <v>0.021</v>
      </c>
      <c r="K11" s="49" t="inlineStr">
        <is>
          <t>Success</t>
        </is>
      </c>
      <c r="L11" s="7" t="n">
        <v>0.4412054833809141</v>
      </c>
      <c r="M11" s="7" t="n">
        <v>0</v>
      </c>
      <c r="N11" s="7" t="n">
        <v>3.529643867047313</v>
      </c>
    </row>
    <row r="12" ht="18" customHeight="1">
      <c r="A12" s="49" t="inlineStr">
        <is>
          <t>ACE-10011</t>
        </is>
      </c>
      <c r="B12" s="49" t="inlineStr">
        <is>
          <t>2026-05-19 14:40:52</t>
        </is>
      </c>
      <c r="C12" s="49" t="inlineStr">
        <is>
          <t>CUST-82225</t>
        </is>
      </c>
      <c r="D12" s="49" t="inlineStr">
        <is>
          <t>GBP-PKR</t>
        </is>
      </c>
      <c r="E12" s="49" t="inlineStr">
        <is>
          <t>GBP</t>
        </is>
      </c>
      <c r="F12" s="7" t="n">
        <v>265.9871059907974</v>
      </c>
      <c r="G12" s="8" t="n">
        <v>1</v>
      </c>
      <c r="H12" s="7" t="n">
        <v>265.9871059907974</v>
      </c>
      <c r="I12" s="7" t="n">
        <v>1.5</v>
      </c>
      <c r="J12" s="9" t="n">
        <v>0.021</v>
      </c>
      <c r="K12" s="49" t="inlineStr">
        <is>
          <t>Success</t>
        </is>
      </c>
      <c r="L12" s="7" t="n">
        <v>0.3989806589861961</v>
      </c>
      <c r="M12" s="7" t="n">
        <v>0</v>
      </c>
      <c r="N12" s="7" t="n">
        <v>3.191845271889568</v>
      </c>
    </row>
    <row r="13" ht="18" customHeight="1">
      <c r="A13" s="49" t="inlineStr">
        <is>
          <t>ACE-10012</t>
        </is>
      </c>
      <c r="B13" s="49" t="inlineStr">
        <is>
          <t>2026-05-14 13:20:42</t>
        </is>
      </c>
      <c r="C13" s="49" t="inlineStr">
        <is>
          <t>CUST-56855</t>
        </is>
      </c>
      <c r="D13" s="49" t="inlineStr">
        <is>
          <t>USD-PKR</t>
        </is>
      </c>
      <c r="E13" s="49" t="inlineStr">
        <is>
          <t>USD</t>
        </is>
      </c>
      <c r="F13" s="7" t="n">
        <v>208.9415548507588</v>
      </c>
      <c r="G13" s="8" t="n">
        <v>0.8</v>
      </c>
      <c r="H13" s="7" t="n">
        <v>167.1532438806071</v>
      </c>
      <c r="I13" s="7" t="n">
        <v>1.6</v>
      </c>
      <c r="J13" s="9" t="n">
        <v>0.019</v>
      </c>
      <c r="K13" s="49" t="inlineStr">
        <is>
          <t>Success</t>
        </is>
      </c>
      <c r="L13" s="7" t="n">
        <v>0.2507298658209106</v>
      </c>
      <c r="M13" s="7" t="n">
        <v>0</v>
      </c>
      <c r="N13" s="7" t="n">
        <v>2.005838926567284</v>
      </c>
    </row>
    <row r="14" ht="18" customHeight="1">
      <c r="A14" s="49" t="inlineStr">
        <is>
          <t>ACE-10013</t>
        </is>
      </c>
      <c r="B14" s="49" t="inlineStr">
        <is>
          <t>2026-05-23 15:18:42</t>
        </is>
      </c>
      <c r="C14" s="49" t="inlineStr">
        <is>
          <t>CUST-76244</t>
        </is>
      </c>
      <c r="D14" s="49" t="inlineStr">
        <is>
          <t>GBP-PKR</t>
        </is>
      </c>
      <c r="E14" s="49" t="inlineStr">
        <is>
          <t>GBP</t>
        </is>
      </c>
      <c r="F14" s="7" t="n">
        <v>285.4268646201018</v>
      </c>
      <c r="G14" s="8" t="n">
        <v>1</v>
      </c>
      <c r="H14" s="7" t="n">
        <v>285.4268646201018</v>
      </c>
      <c r="I14" s="7" t="n">
        <v>1.5</v>
      </c>
      <c r="J14" s="9" t="n">
        <v>0.021</v>
      </c>
      <c r="K14" s="49" t="inlineStr">
        <is>
          <t>Success</t>
        </is>
      </c>
      <c r="L14" s="7" t="n">
        <v>0.4281402969301527</v>
      </c>
      <c r="M14" s="7" t="n">
        <v>0</v>
      </c>
      <c r="N14" s="7" t="n">
        <v>3.425122375441221</v>
      </c>
    </row>
    <row r="15" ht="18" customHeight="1">
      <c r="A15" s="49" t="inlineStr">
        <is>
          <t>ACE-10014</t>
        </is>
      </c>
      <c r="B15" s="49" t="inlineStr">
        <is>
          <t>2026-05-15 09:20:16</t>
        </is>
      </c>
      <c r="C15" s="49" t="inlineStr">
        <is>
          <t>CUST-71186</t>
        </is>
      </c>
      <c r="D15" s="49" t="inlineStr">
        <is>
          <t>GBP-PKR</t>
        </is>
      </c>
      <c r="E15" s="49" t="inlineStr">
        <is>
          <t>GBP</t>
        </is>
      </c>
      <c r="F15" s="7" t="n">
        <v>230.0879388565758</v>
      </c>
      <c r="G15" s="8" t="n">
        <v>1</v>
      </c>
      <c r="H15" s="7" t="n">
        <v>230.0879388565758</v>
      </c>
      <c r="I15" s="7" t="n">
        <v>1.5</v>
      </c>
      <c r="J15" s="9" t="n">
        <v>0.021</v>
      </c>
      <c r="K15" s="49" t="inlineStr">
        <is>
          <t>Success</t>
        </is>
      </c>
      <c r="L15" s="7" t="n">
        <v>0.3451319082848637</v>
      </c>
      <c r="M15" s="7" t="n">
        <v>0.6902638165697275</v>
      </c>
      <c r="N15" s="7" t="n">
        <v>2.76105526627891</v>
      </c>
    </row>
    <row r="16" ht="18" customHeight="1">
      <c r="A16" s="49" t="inlineStr">
        <is>
          <t>ACE-10015</t>
        </is>
      </c>
      <c r="B16" s="49" t="inlineStr">
        <is>
          <t>2026-05-17 08:42:55</t>
        </is>
      </c>
      <c r="C16" s="49" t="inlineStr">
        <is>
          <t>CUST-85559</t>
        </is>
      </c>
      <c r="D16" s="49" t="inlineStr">
        <is>
          <t>GBP-PKR</t>
        </is>
      </c>
      <c r="E16" s="49" t="inlineStr">
        <is>
          <t>GBP</t>
        </is>
      </c>
      <c r="F16" s="7" t="n">
        <v>234.4630063296979</v>
      </c>
      <c r="G16" s="8" t="n">
        <v>1</v>
      </c>
      <c r="H16" s="7" t="n">
        <v>234.4630063296979</v>
      </c>
      <c r="I16" s="7" t="n">
        <v>1.5</v>
      </c>
      <c r="J16" s="9" t="n">
        <v>0.021</v>
      </c>
      <c r="K16" s="49" t="inlineStr">
        <is>
          <t>Success</t>
        </is>
      </c>
      <c r="L16" s="7" t="n">
        <v>0.3516945094945469</v>
      </c>
      <c r="M16" s="7" t="n">
        <v>0</v>
      </c>
      <c r="N16" s="7" t="n">
        <v>2.813556075956376</v>
      </c>
    </row>
    <row r="17" ht="18" customHeight="1">
      <c r="A17" s="49" t="inlineStr">
        <is>
          <t>ACE-10016</t>
        </is>
      </c>
      <c r="B17" s="49" t="inlineStr">
        <is>
          <t>2026-05-17 13:39:48</t>
        </is>
      </c>
      <c r="C17" s="49" t="inlineStr">
        <is>
          <t>CUST-82669</t>
        </is>
      </c>
      <c r="D17" s="49" t="inlineStr">
        <is>
          <t>GBP-PKR</t>
        </is>
      </c>
      <c r="E17" s="49" t="inlineStr">
        <is>
          <t>GBP</t>
        </is>
      </c>
      <c r="F17" s="7" t="n">
        <v>263.3702535303357</v>
      </c>
      <c r="G17" s="8" t="n">
        <v>1</v>
      </c>
      <c r="H17" s="7" t="n">
        <v>263.3702535303357</v>
      </c>
      <c r="I17" s="7" t="n">
        <v>1.5</v>
      </c>
      <c r="J17" s="9" t="n">
        <v>0.021</v>
      </c>
      <c r="K17" s="49" t="inlineStr">
        <is>
          <t>Success</t>
        </is>
      </c>
      <c r="L17" s="7" t="n">
        <v>0.3950553802955036</v>
      </c>
      <c r="M17" s="7" t="n">
        <v>0.7901107605910072</v>
      </c>
      <c r="N17" s="7" t="n">
        <v>3.160443042364029</v>
      </c>
    </row>
    <row r="18" ht="18" customHeight="1">
      <c r="A18" s="49" t="inlineStr">
        <is>
          <t>ACE-10017</t>
        </is>
      </c>
      <c r="B18" s="49" t="inlineStr">
        <is>
          <t>2026-05-07 12:35:08</t>
        </is>
      </c>
      <c r="C18" s="49" t="inlineStr">
        <is>
          <t>CUST-68876</t>
        </is>
      </c>
      <c r="D18" s="49" t="inlineStr">
        <is>
          <t>USD-PKR</t>
        </is>
      </c>
      <c r="E18" s="49" t="inlineStr">
        <is>
          <t>USD</t>
        </is>
      </c>
      <c r="F18" s="7" t="n">
        <v>197.8174101589424</v>
      </c>
      <c r="G18" s="8" t="n">
        <v>0.8</v>
      </c>
      <c r="H18" s="7" t="n">
        <v>158.2539281271539</v>
      </c>
      <c r="I18" s="7" t="n">
        <v>1.6</v>
      </c>
      <c r="J18" s="9" t="n">
        <v>0.019</v>
      </c>
      <c r="K18" s="49" t="inlineStr">
        <is>
          <t>Success</t>
        </is>
      </c>
      <c r="L18" s="7" t="n">
        <v>0.2373808921907309</v>
      </c>
      <c r="M18" s="7" t="n">
        <v>0.4747617843814617</v>
      </c>
      <c r="N18" s="7" t="n">
        <v>1.899047137525847</v>
      </c>
    </row>
    <row r="19" ht="18" customHeight="1">
      <c r="A19" s="49" t="inlineStr">
        <is>
          <t>ACE-10018</t>
        </is>
      </c>
      <c r="B19" s="49" t="inlineStr">
        <is>
          <t>2026-05-04 08:40:38</t>
        </is>
      </c>
      <c r="C19" s="49" t="inlineStr">
        <is>
          <t>CUST-65682</t>
        </is>
      </c>
      <c r="D19" s="49" t="inlineStr">
        <is>
          <t>GBP-PKR</t>
        </is>
      </c>
      <c r="E19" s="49" t="inlineStr">
        <is>
          <t>GBP</t>
        </is>
      </c>
      <c r="F19" s="7" t="n">
        <v>287.4975494154635</v>
      </c>
      <c r="G19" s="8" t="n">
        <v>1</v>
      </c>
      <c r="H19" s="7" t="n">
        <v>287.4975494154635</v>
      </c>
      <c r="I19" s="7" t="n">
        <v>1.5</v>
      </c>
      <c r="J19" s="9" t="n">
        <v>0.021</v>
      </c>
      <c r="K19" s="49" t="inlineStr">
        <is>
          <t>Success</t>
        </is>
      </c>
      <c r="L19" s="7" t="n">
        <v>0.4312463241231952</v>
      </c>
      <c r="M19" s="7" t="n">
        <v>0</v>
      </c>
      <c r="N19" s="7" t="n">
        <v>3.449970592985562</v>
      </c>
    </row>
    <row r="20" ht="18" customHeight="1">
      <c r="A20" s="49" t="inlineStr">
        <is>
          <t>ACE-10019</t>
        </is>
      </c>
      <c r="B20" s="49" t="inlineStr">
        <is>
          <t>2026-05-01 16:26:05</t>
        </is>
      </c>
      <c r="C20" s="49" t="inlineStr">
        <is>
          <t>CUST-64725</t>
        </is>
      </c>
      <c r="D20" s="49" t="inlineStr">
        <is>
          <t>USD-PKR</t>
        </is>
      </c>
      <c r="E20" s="49" t="inlineStr">
        <is>
          <t>USD</t>
        </is>
      </c>
      <c r="F20" s="7" t="n">
        <v>199.9015786752816</v>
      </c>
      <c r="G20" s="8" t="n">
        <v>0.8</v>
      </c>
      <c r="H20" s="7" t="n">
        <v>159.9212629402253</v>
      </c>
      <c r="I20" s="7" t="n">
        <v>1.6</v>
      </c>
      <c r="J20" s="9" t="n">
        <v>0.019</v>
      </c>
      <c r="K20" s="49" t="inlineStr">
        <is>
          <t>Success</t>
        </is>
      </c>
      <c r="L20" s="7" t="n">
        <v>0.2398818944103379</v>
      </c>
      <c r="M20" s="7" t="n">
        <v>0.4797637888206758</v>
      </c>
      <c r="N20" s="7" t="n">
        <v>1.919055155282703</v>
      </c>
    </row>
    <row r="21" ht="18" customHeight="1">
      <c r="A21" s="49" t="inlineStr">
        <is>
          <t>ACE-10020</t>
        </is>
      </c>
      <c r="B21" s="49" t="inlineStr">
        <is>
          <t>2026-05-15 09:41:53</t>
        </is>
      </c>
      <c r="C21" s="49" t="inlineStr">
        <is>
          <t>CUST-60090</t>
        </is>
      </c>
      <c r="D21" s="49" t="inlineStr">
        <is>
          <t>GBP-PKR</t>
        </is>
      </c>
      <c r="E21" s="49" t="inlineStr">
        <is>
          <t>GBP</t>
        </is>
      </c>
      <c r="F21" s="7" t="n">
        <v>241.9084219966416</v>
      </c>
      <c r="G21" s="8" t="n">
        <v>1</v>
      </c>
      <c r="H21" s="7" t="n">
        <v>241.9084219966416</v>
      </c>
      <c r="I21" s="7" t="n">
        <v>1.5</v>
      </c>
      <c r="J21" s="9" t="n">
        <v>0.021</v>
      </c>
      <c r="K21" s="49" t="inlineStr">
        <is>
          <t>Success</t>
        </is>
      </c>
      <c r="L21" s="7" t="n">
        <v>0.3628626329949624</v>
      </c>
      <c r="M21" s="7" t="n">
        <v>0.7257252659899247</v>
      </c>
      <c r="N21" s="7" t="n">
        <v>2.902901063959699</v>
      </c>
    </row>
    <row r="22" ht="18" customHeight="1">
      <c r="A22" s="49" t="inlineStr">
        <is>
          <t>ACE-10021</t>
        </is>
      </c>
      <c r="B22" s="49" t="inlineStr">
        <is>
          <t>2026-05-17 19:17:26</t>
        </is>
      </c>
      <c r="C22" s="49" t="inlineStr">
        <is>
          <t>CUST-81621</t>
        </is>
      </c>
      <c r="D22" s="49" t="inlineStr">
        <is>
          <t>GBP-PKR</t>
        </is>
      </c>
      <c r="E22" s="49" t="inlineStr">
        <is>
          <t>GBP</t>
        </is>
      </c>
      <c r="F22" s="7" t="n">
        <v>322.5810685713643</v>
      </c>
      <c r="G22" s="8" t="n">
        <v>1</v>
      </c>
      <c r="H22" s="7" t="n">
        <v>322.5810685713643</v>
      </c>
      <c r="I22" s="7" t="n">
        <v>1.5</v>
      </c>
      <c r="J22" s="9" t="n">
        <v>0.021</v>
      </c>
      <c r="K22" s="49" t="inlineStr">
        <is>
          <t>Success</t>
        </is>
      </c>
      <c r="L22" s="7" t="n">
        <v>0.4838716028570465</v>
      </c>
      <c r="M22" s="7" t="n">
        <v>0</v>
      </c>
      <c r="N22" s="7" t="n">
        <v>3.870972822856372</v>
      </c>
    </row>
    <row r="23" ht="18" customHeight="1">
      <c r="A23" s="49" t="inlineStr">
        <is>
          <t>ACE-10022</t>
        </is>
      </c>
      <c r="B23" s="49" t="inlineStr">
        <is>
          <t>2026-05-18 10:24:12</t>
        </is>
      </c>
      <c r="C23" s="49" t="inlineStr">
        <is>
          <t>CUST-89280</t>
        </is>
      </c>
      <c r="D23" s="49" t="inlineStr">
        <is>
          <t>USD-PKR</t>
        </is>
      </c>
      <c r="E23" s="49" t="inlineStr">
        <is>
          <t>USD</t>
        </is>
      </c>
      <c r="F23" s="7" t="n">
        <v>214.0158154587016</v>
      </c>
      <c r="G23" s="8" t="n">
        <v>0.8</v>
      </c>
      <c r="H23" s="7" t="n">
        <v>171.2126523669613</v>
      </c>
      <c r="I23" s="7" t="n">
        <v>1.6</v>
      </c>
      <c r="J23" s="9" t="n">
        <v>0.019</v>
      </c>
      <c r="K23" s="49" t="inlineStr">
        <is>
          <t>Success</t>
        </is>
      </c>
      <c r="L23" s="7" t="n">
        <v>0.2568189785504419</v>
      </c>
      <c r="M23" s="7" t="n">
        <v>0.5136379571008838</v>
      </c>
      <c r="N23" s="7" t="n">
        <v>2.054551828403535</v>
      </c>
    </row>
    <row r="24" ht="18" customHeight="1">
      <c r="A24" s="49" t="inlineStr">
        <is>
          <t>ACE-10023</t>
        </is>
      </c>
      <c r="B24" s="49" t="inlineStr">
        <is>
          <t>2026-05-03 12:49:50</t>
        </is>
      </c>
      <c r="C24" s="49" t="inlineStr">
        <is>
          <t>CUST-77193</t>
        </is>
      </c>
      <c r="D24" s="49" t="inlineStr">
        <is>
          <t>GBP-PKR</t>
        </is>
      </c>
      <c r="E24" s="49" t="inlineStr">
        <is>
          <t>GBP</t>
        </is>
      </c>
      <c r="F24" s="7" t="n">
        <v>280.4912201158307</v>
      </c>
      <c r="G24" s="8" t="n">
        <v>1</v>
      </c>
      <c r="H24" s="7" t="n">
        <v>280.4912201158307</v>
      </c>
      <c r="I24" s="7" t="n">
        <v>1.5</v>
      </c>
      <c r="J24" s="9" t="n">
        <v>0.021</v>
      </c>
      <c r="K24" s="49" t="inlineStr">
        <is>
          <t>Success</t>
        </is>
      </c>
      <c r="L24" s="7" t="n">
        <v>0.420736830173746</v>
      </c>
      <c r="M24" s="7" t="n">
        <v>0.841473660347492</v>
      </c>
      <c r="N24" s="7" t="n">
        <v>3.365894641389968</v>
      </c>
    </row>
    <row r="25" ht="18" customHeight="1">
      <c r="A25" s="49" t="inlineStr">
        <is>
          <t>ACE-10024</t>
        </is>
      </c>
      <c r="B25" s="49" t="inlineStr">
        <is>
          <t>2026-05-09 08:18:46</t>
        </is>
      </c>
      <c r="C25" s="49" t="inlineStr">
        <is>
          <t>CUST-69566</t>
        </is>
      </c>
      <c r="D25" s="49" t="inlineStr">
        <is>
          <t>GBP-PKR</t>
        </is>
      </c>
      <c r="E25" s="49" t="inlineStr">
        <is>
          <t>GBP</t>
        </is>
      </c>
      <c r="F25" s="7" t="n">
        <v>241.6075666650057</v>
      </c>
      <c r="G25" s="8" t="n">
        <v>1</v>
      </c>
      <c r="H25" s="7" t="n">
        <v>241.6075666650057</v>
      </c>
      <c r="I25" s="7" t="n">
        <v>1.5</v>
      </c>
      <c r="J25" s="9" t="n">
        <v>0.021</v>
      </c>
      <c r="K25" s="49" t="inlineStr">
        <is>
          <t>Success</t>
        </is>
      </c>
      <c r="L25" s="7" t="n">
        <v>0.3624113499975086</v>
      </c>
      <c r="M25" s="7" t="n">
        <v>0</v>
      </c>
      <c r="N25" s="7" t="n">
        <v>2.899290799980069</v>
      </c>
    </row>
    <row r="26" ht="18" customHeight="1">
      <c r="A26" s="49" t="inlineStr">
        <is>
          <t>ACE-10025</t>
        </is>
      </c>
      <c r="B26" s="49" t="inlineStr">
        <is>
          <t>2026-05-22 15:55:09</t>
        </is>
      </c>
      <c r="C26" s="49" t="inlineStr">
        <is>
          <t>CUST-79264</t>
        </is>
      </c>
      <c r="D26" s="49" t="inlineStr">
        <is>
          <t>GBP-PKR</t>
        </is>
      </c>
      <c r="E26" s="49" t="inlineStr">
        <is>
          <t>GBP</t>
        </is>
      </c>
      <c r="F26" s="7" t="n">
        <v>263.8422352370002</v>
      </c>
      <c r="G26" s="8" t="n">
        <v>1</v>
      </c>
      <c r="H26" s="7" t="n">
        <v>263.8422352370002</v>
      </c>
      <c r="I26" s="7" t="n">
        <v>1.5</v>
      </c>
      <c r="J26" s="9" t="n">
        <v>0.021</v>
      </c>
      <c r="K26" s="49" t="inlineStr">
        <is>
          <t>Success</t>
        </is>
      </c>
      <c r="L26" s="7" t="n">
        <v>0.3957633528555003</v>
      </c>
      <c r="M26" s="7" t="n">
        <v>0</v>
      </c>
      <c r="N26" s="7" t="n">
        <v>3.166106822844002</v>
      </c>
    </row>
    <row r="27" ht="18" customHeight="1">
      <c r="A27" s="49" t="inlineStr">
        <is>
          <t>ACE-10026</t>
        </is>
      </c>
      <c r="B27" s="49" t="inlineStr">
        <is>
          <t>2026-05-18 20:34:24</t>
        </is>
      </c>
      <c r="C27" s="49" t="inlineStr">
        <is>
          <t>CUST-79841</t>
        </is>
      </c>
      <c r="D27" s="49" t="inlineStr">
        <is>
          <t>GBP-PKR</t>
        </is>
      </c>
      <c r="E27" s="49" t="inlineStr">
        <is>
          <t>GBP</t>
        </is>
      </c>
      <c r="F27" s="7" t="n">
        <v>281.7110392668508</v>
      </c>
      <c r="G27" s="8" t="n">
        <v>1</v>
      </c>
      <c r="H27" s="7" t="n">
        <v>281.7110392668508</v>
      </c>
      <c r="I27" s="7" t="n">
        <v>1.5</v>
      </c>
      <c r="J27" s="9" t="n">
        <v>0.021</v>
      </c>
      <c r="K27" s="49" t="inlineStr">
        <is>
          <t>Success</t>
        </is>
      </c>
      <c r="L27" s="7" t="n">
        <v>0.4225665589002763</v>
      </c>
      <c r="M27" s="7" t="n">
        <v>0.8451331178005526</v>
      </c>
      <c r="N27" s="7" t="n">
        <v>3.38053247120221</v>
      </c>
    </row>
    <row r="28" ht="18" customHeight="1">
      <c r="A28" s="49" t="inlineStr">
        <is>
          <t>ACE-10027</t>
        </is>
      </c>
      <c r="B28" s="49" t="inlineStr">
        <is>
          <t>2026-05-23 11:36:24</t>
        </is>
      </c>
      <c r="C28" s="49" t="inlineStr">
        <is>
          <t>CUST-65306</t>
        </is>
      </c>
      <c r="D28" s="49" t="inlineStr">
        <is>
          <t>GBP-PKR</t>
        </is>
      </c>
      <c r="E28" s="49" t="inlineStr">
        <is>
          <t>GBP</t>
        </is>
      </c>
      <c r="F28" s="7" t="n">
        <v>248.3130492311572</v>
      </c>
      <c r="G28" s="8" t="n">
        <v>1</v>
      </c>
      <c r="H28" s="7" t="n">
        <v>248.3130492311572</v>
      </c>
      <c r="I28" s="7" t="n">
        <v>1.5</v>
      </c>
      <c r="J28" s="9" t="n">
        <v>0.021</v>
      </c>
      <c r="K28" s="49" t="inlineStr">
        <is>
          <t>Success</t>
        </is>
      </c>
      <c r="L28" s="7" t="n">
        <v>0.3724695738467357</v>
      </c>
      <c r="M28" s="7" t="n">
        <v>0</v>
      </c>
      <c r="N28" s="7" t="n">
        <v>2.979756590773886</v>
      </c>
    </row>
    <row r="29" ht="18" customHeight="1">
      <c r="A29" s="49" t="inlineStr">
        <is>
          <t>ACE-10028</t>
        </is>
      </c>
      <c r="B29" s="49" t="inlineStr">
        <is>
          <t>2026-05-11 19:30:45</t>
        </is>
      </c>
      <c r="C29" s="49" t="inlineStr">
        <is>
          <t>CUST-74984</t>
        </is>
      </c>
      <c r="D29" s="49" t="inlineStr">
        <is>
          <t>GBP-PKR</t>
        </is>
      </c>
      <c r="E29" s="49" t="inlineStr">
        <is>
          <t>GBP</t>
        </is>
      </c>
      <c r="F29" s="7" t="n">
        <v>289.2696809300385</v>
      </c>
      <c r="G29" s="8" t="n">
        <v>1</v>
      </c>
      <c r="H29" s="7" t="n">
        <v>289.2696809300385</v>
      </c>
      <c r="I29" s="7" t="n">
        <v>1.5</v>
      </c>
      <c r="J29" s="9" t="n">
        <v>0.021</v>
      </c>
      <c r="K29" s="49" t="inlineStr">
        <is>
          <t>Success</t>
        </is>
      </c>
      <c r="L29" s="7" t="n">
        <v>0.4339045213950577</v>
      </c>
      <c r="M29" s="7" t="n">
        <v>0.8678090427901154</v>
      </c>
      <c r="N29" s="7" t="n">
        <v>3.471236171160462</v>
      </c>
    </row>
    <row r="30" ht="18" customHeight="1">
      <c r="A30" s="49" t="inlineStr">
        <is>
          <t>ACE-10029</t>
        </is>
      </c>
      <c r="B30" s="49" t="inlineStr">
        <is>
          <t>2026-05-21 10:31:02</t>
        </is>
      </c>
      <c r="C30" s="49" t="inlineStr">
        <is>
          <t>CUST-58273</t>
        </is>
      </c>
      <c r="D30" s="49" t="inlineStr">
        <is>
          <t>GBP-PKR</t>
        </is>
      </c>
      <c r="E30" s="49" t="inlineStr">
        <is>
          <t>GBP</t>
        </is>
      </c>
      <c r="F30" s="7" t="n">
        <v>262.362132405637</v>
      </c>
      <c r="G30" s="8" t="n">
        <v>1</v>
      </c>
      <c r="H30" s="7" t="n">
        <v>262.362132405637</v>
      </c>
      <c r="I30" s="7" t="n">
        <v>1.5</v>
      </c>
      <c r="J30" s="9" t="n">
        <v>0.021</v>
      </c>
      <c r="K30" s="49" t="inlineStr">
        <is>
          <t>Success</t>
        </is>
      </c>
      <c r="L30" s="7" t="n">
        <v>0.3935431986084555</v>
      </c>
      <c r="M30" s="7" t="n">
        <v>0</v>
      </c>
      <c r="N30" s="7" t="n">
        <v>3.148345588867644</v>
      </c>
    </row>
    <row r="31" ht="18" customHeight="1">
      <c r="A31" s="49" t="inlineStr">
        <is>
          <t>ACE-10030</t>
        </is>
      </c>
      <c r="B31" s="49" t="inlineStr">
        <is>
          <t>2026-05-04 15:06:33</t>
        </is>
      </c>
      <c r="C31" s="49" t="inlineStr">
        <is>
          <t>CUST-79945</t>
        </is>
      </c>
      <c r="D31" s="49" t="inlineStr">
        <is>
          <t>USD-PKR</t>
        </is>
      </c>
      <c r="E31" s="49" t="inlineStr">
        <is>
          <t>USD</t>
        </is>
      </c>
      <c r="F31" s="7" t="n">
        <v>212.6097172039616</v>
      </c>
      <c r="G31" s="8" t="n">
        <v>0.8</v>
      </c>
      <c r="H31" s="7" t="n">
        <v>170.0877737631693</v>
      </c>
      <c r="I31" s="7" t="n">
        <v>1.6</v>
      </c>
      <c r="J31" s="9" t="n">
        <v>0.019</v>
      </c>
      <c r="K31" s="49" t="inlineStr">
        <is>
          <t>Failed</t>
        </is>
      </c>
      <c r="L31" s="7" t="n">
        <v>0</v>
      </c>
      <c r="M31" s="7" t="n">
        <v>0</v>
      </c>
      <c r="N31" s="7" t="n">
        <v>0.5</v>
      </c>
    </row>
    <row r="32" ht="18" customHeight="1">
      <c r="A32" s="49" t="inlineStr">
        <is>
          <t>ACE-10031</t>
        </is>
      </c>
      <c r="B32" s="49" t="inlineStr">
        <is>
          <t>2026-05-05 14:55:41</t>
        </is>
      </c>
      <c r="C32" s="49" t="inlineStr">
        <is>
          <t>CUST-60116</t>
        </is>
      </c>
      <c r="D32" s="49" t="inlineStr">
        <is>
          <t>GBP-PKR</t>
        </is>
      </c>
      <c r="E32" s="49" t="inlineStr">
        <is>
          <t>GBP</t>
        </is>
      </c>
      <c r="F32" s="7" t="n">
        <v>262.3341156641837</v>
      </c>
      <c r="G32" s="8" t="n">
        <v>1</v>
      </c>
      <c r="H32" s="7" t="n">
        <v>262.3341156641837</v>
      </c>
      <c r="I32" s="7" t="n">
        <v>1.5</v>
      </c>
      <c r="J32" s="9" t="n">
        <v>0.021</v>
      </c>
      <c r="K32" s="49" t="inlineStr">
        <is>
          <t>Success</t>
        </is>
      </c>
      <c r="L32" s="7" t="n">
        <v>0.3935011734962756</v>
      </c>
      <c r="M32" s="7" t="n">
        <v>0.7870023469925512</v>
      </c>
      <c r="N32" s="7" t="n">
        <v>3.148009387970205</v>
      </c>
    </row>
    <row r="33" ht="18" customHeight="1">
      <c r="A33" s="49" t="inlineStr">
        <is>
          <t>ACE-10032</t>
        </is>
      </c>
      <c r="B33" s="49" t="inlineStr">
        <is>
          <t>2026-05-09 13:39:44</t>
        </is>
      </c>
      <c r="C33" s="49" t="inlineStr">
        <is>
          <t>CUST-76049</t>
        </is>
      </c>
      <c r="D33" s="49" t="inlineStr">
        <is>
          <t>EUR-PKR</t>
        </is>
      </c>
      <c r="E33" s="49" t="inlineStr">
        <is>
          <t>EUR</t>
        </is>
      </c>
      <c r="F33" s="7" t="n">
        <v>227.5231270555737</v>
      </c>
      <c r="G33" s="8" t="n">
        <v>0.85</v>
      </c>
      <c r="H33" s="7" t="n">
        <v>193.3946579972376</v>
      </c>
      <c r="I33" s="7" t="n">
        <v>1.275</v>
      </c>
      <c r="J33" s="9" t="n">
        <v>0.023</v>
      </c>
      <c r="K33" s="49" t="inlineStr">
        <is>
          <t>Success</t>
        </is>
      </c>
      <c r="L33" s="7" t="n">
        <v>0.2900919869958565</v>
      </c>
      <c r="M33" s="7" t="n">
        <v>0.580183973991713</v>
      </c>
      <c r="N33" s="7" t="n">
        <v>2.900919869958564</v>
      </c>
    </row>
    <row r="34" ht="18" customHeight="1">
      <c r="A34" s="49" t="inlineStr">
        <is>
          <t>ACE-10033</t>
        </is>
      </c>
      <c r="B34" s="49" t="inlineStr">
        <is>
          <t>2026-05-22 16:24:20</t>
        </is>
      </c>
      <c r="C34" s="49" t="inlineStr">
        <is>
          <t>CUST-91077</t>
        </is>
      </c>
      <c r="D34" s="49" t="inlineStr">
        <is>
          <t>USD-PKR</t>
        </is>
      </c>
      <c r="E34" s="49" t="inlineStr">
        <is>
          <t>USD</t>
        </is>
      </c>
      <c r="F34" s="7" t="n">
        <v>218.6074867707614</v>
      </c>
      <c r="G34" s="8" t="n">
        <v>0.8</v>
      </c>
      <c r="H34" s="7" t="n">
        <v>174.8859894166092</v>
      </c>
      <c r="I34" s="7" t="n">
        <v>1.6</v>
      </c>
      <c r="J34" s="9" t="n">
        <v>0.019</v>
      </c>
      <c r="K34" s="49" t="inlineStr">
        <is>
          <t>Success</t>
        </is>
      </c>
      <c r="L34" s="7" t="n">
        <v>0.2623289841249137</v>
      </c>
      <c r="M34" s="7" t="n">
        <v>0.5246579682498275</v>
      </c>
      <c r="N34" s="7" t="n">
        <v>2.09863187299931</v>
      </c>
    </row>
    <row r="35" ht="18" customHeight="1">
      <c r="A35" s="49" t="inlineStr">
        <is>
          <t>ACE-10034</t>
        </is>
      </c>
      <c r="B35" s="49" t="inlineStr">
        <is>
          <t>2026-05-18 08:39:04</t>
        </is>
      </c>
      <c r="C35" s="49" t="inlineStr">
        <is>
          <t>CUST-65385</t>
        </is>
      </c>
      <c r="D35" s="49" t="inlineStr">
        <is>
          <t>GBP-PKR</t>
        </is>
      </c>
      <c r="E35" s="49" t="inlineStr">
        <is>
          <t>GBP</t>
        </is>
      </c>
      <c r="F35" s="7" t="n">
        <v>250.6402164602473</v>
      </c>
      <c r="G35" s="8" t="n">
        <v>1</v>
      </c>
      <c r="H35" s="7" t="n">
        <v>250.6402164602473</v>
      </c>
      <c r="I35" s="7" t="n">
        <v>1.5</v>
      </c>
      <c r="J35" s="9" t="n">
        <v>0.021</v>
      </c>
      <c r="K35" s="49" t="inlineStr">
        <is>
          <t>Success</t>
        </is>
      </c>
      <c r="L35" s="7" t="n">
        <v>0.375960324690371</v>
      </c>
      <c r="M35" s="7" t="n">
        <v>0.751920649380742</v>
      </c>
      <c r="N35" s="7" t="n">
        <v>3.007682597522968</v>
      </c>
    </row>
    <row r="36" ht="18" customHeight="1">
      <c r="A36" s="49" t="inlineStr">
        <is>
          <t>ACE-10035</t>
        </is>
      </c>
      <c r="B36" s="49" t="inlineStr">
        <is>
          <t>2026-05-08 19:05:27</t>
        </is>
      </c>
      <c r="C36" s="49" t="inlineStr">
        <is>
          <t>CUST-56451</t>
        </is>
      </c>
      <c r="D36" s="49" t="inlineStr">
        <is>
          <t>EUR-PKR</t>
        </is>
      </c>
      <c r="E36" s="49" t="inlineStr">
        <is>
          <t>EUR</t>
        </is>
      </c>
      <c r="F36" s="7" t="n">
        <v>205.2602247912766</v>
      </c>
      <c r="G36" s="8" t="n">
        <v>0.85</v>
      </c>
      <c r="H36" s="7" t="n">
        <v>174.4711910725851</v>
      </c>
      <c r="I36" s="7" t="n">
        <v>1.275</v>
      </c>
      <c r="J36" s="9" t="n">
        <v>0.023</v>
      </c>
      <c r="K36" s="49" t="inlineStr">
        <is>
          <t>Success</t>
        </is>
      </c>
      <c r="L36" s="7" t="n">
        <v>0.2617067866088776</v>
      </c>
      <c r="M36" s="7" t="n">
        <v>0.5234135732177553</v>
      </c>
      <c r="N36" s="7" t="n">
        <v>2.617067866088776</v>
      </c>
    </row>
    <row r="37" ht="18" customHeight="1">
      <c r="A37" s="49" t="inlineStr">
        <is>
          <t>ACE-10036</t>
        </is>
      </c>
      <c r="B37" s="49" t="inlineStr">
        <is>
          <t>2026-05-04 15:10:44</t>
        </is>
      </c>
      <c r="C37" s="49" t="inlineStr">
        <is>
          <t>CUST-69625</t>
        </is>
      </c>
      <c r="D37" s="49" t="inlineStr">
        <is>
          <t>GBP-PKR</t>
        </is>
      </c>
      <c r="E37" s="49" t="inlineStr">
        <is>
          <t>GBP</t>
        </is>
      </c>
      <c r="F37" s="7" t="n">
        <v>246.5846243385343</v>
      </c>
      <c r="G37" s="8" t="n">
        <v>1</v>
      </c>
      <c r="H37" s="7" t="n">
        <v>246.5846243385343</v>
      </c>
      <c r="I37" s="7" t="n">
        <v>1.5</v>
      </c>
      <c r="J37" s="9" t="n">
        <v>0.021</v>
      </c>
      <c r="K37" s="49" t="inlineStr">
        <is>
          <t>Success</t>
        </is>
      </c>
      <c r="L37" s="7" t="n">
        <v>0.3698769365078015</v>
      </c>
      <c r="M37" s="7" t="n">
        <v>0</v>
      </c>
      <c r="N37" s="7" t="n">
        <v>2.959015492062412</v>
      </c>
    </row>
    <row r="38" ht="18" customHeight="1">
      <c r="A38" s="49" t="inlineStr">
        <is>
          <t>ACE-10037</t>
        </is>
      </c>
      <c r="B38" s="49" t="inlineStr">
        <is>
          <t>2026-05-02 12:22:23</t>
        </is>
      </c>
      <c r="C38" s="49" t="inlineStr">
        <is>
          <t>CUST-78225</t>
        </is>
      </c>
      <c r="D38" s="49" t="inlineStr">
        <is>
          <t>GBP-PKR</t>
        </is>
      </c>
      <c r="E38" s="49" t="inlineStr">
        <is>
          <t>GBP</t>
        </is>
      </c>
      <c r="F38" s="7" t="n">
        <v>284.4837012067907</v>
      </c>
      <c r="G38" s="8" t="n">
        <v>1</v>
      </c>
      <c r="H38" s="7" t="n">
        <v>284.4837012067907</v>
      </c>
      <c r="I38" s="7" t="n">
        <v>1.5</v>
      </c>
      <c r="J38" s="9" t="n">
        <v>0.021</v>
      </c>
      <c r="K38" s="49" t="inlineStr">
        <is>
          <t>Success</t>
        </is>
      </c>
      <c r="L38" s="7" t="n">
        <v>0.4267255518101861</v>
      </c>
      <c r="M38" s="7" t="n">
        <v>0</v>
      </c>
      <c r="N38" s="7" t="n">
        <v>3.413804414481489</v>
      </c>
    </row>
    <row r="39" ht="18" customHeight="1">
      <c r="A39" s="49" t="inlineStr">
        <is>
          <t>ACE-10038</t>
        </is>
      </c>
      <c r="B39" s="49" t="inlineStr">
        <is>
          <t>2026-05-19 18:50:11</t>
        </is>
      </c>
      <c r="C39" s="49" t="inlineStr">
        <is>
          <t>CUST-61140</t>
        </is>
      </c>
      <c r="D39" s="49" t="inlineStr">
        <is>
          <t>USD-PKR</t>
        </is>
      </c>
      <c r="E39" s="49" t="inlineStr">
        <is>
          <t>USD</t>
        </is>
      </c>
      <c r="F39" s="7" t="n">
        <v>179.9466708549058</v>
      </c>
      <c r="G39" s="8" t="n">
        <v>0.8</v>
      </c>
      <c r="H39" s="7" t="n">
        <v>143.9573366839246</v>
      </c>
      <c r="I39" s="7" t="n">
        <v>1.6</v>
      </c>
      <c r="J39" s="9" t="n">
        <v>0.019</v>
      </c>
      <c r="K39" s="49" t="inlineStr">
        <is>
          <t>Success</t>
        </is>
      </c>
      <c r="L39" s="7" t="n">
        <v>0.2159360050258869</v>
      </c>
      <c r="M39" s="7" t="n">
        <v>0.4318720100517738</v>
      </c>
      <c r="N39" s="7" t="n">
        <v>1.727488040207095</v>
      </c>
    </row>
    <row r="40" ht="18" customHeight="1">
      <c r="A40" s="49" t="inlineStr">
        <is>
          <t>ACE-10039</t>
        </is>
      </c>
      <c r="B40" s="49" t="inlineStr">
        <is>
          <t>2026-05-13 17:43:15</t>
        </is>
      </c>
      <c r="C40" s="49" t="inlineStr">
        <is>
          <t>CUST-82615</t>
        </is>
      </c>
      <c r="D40" s="49" t="inlineStr">
        <is>
          <t>GBP-PKR</t>
        </is>
      </c>
      <c r="E40" s="49" t="inlineStr">
        <is>
          <t>GBP</t>
        </is>
      </c>
      <c r="F40" s="7" t="n">
        <v>243.9518813539382</v>
      </c>
      <c r="G40" s="8" t="n">
        <v>1</v>
      </c>
      <c r="H40" s="7" t="n">
        <v>243.9518813539382</v>
      </c>
      <c r="I40" s="7" t="n">
        <v>1.5</v>
      </c>
      <c r="J40" s="9" t="n">
        <v>0.021</v>
      </c>
      <c r="K40" s="49" t="inlineStr">
        <is>
          <t>Success</t>
        </is>
      </c>
      <c r="L40" s="7" t="n">
        <v>0.3659278220309073</v>
      </c>
      <c r="M40" s="7" t="n">
        <v>0</v>
      </c>
      <c r="N40" s="7" t="n">
        <v>2.927422576247258</v>
      </c>
    </row>
    <row r="41" ht="18" customHeight="1">
      <c r="A41" s="49" t="inlineStr">
        <is>
          <t>ACE-10040</t>
        </is>
      </c>
      <c r="B41" s="49" t="inlineStr">
        <is>
          <t>2026-05-15 18:16:29</t>
        </is>
      </c>
      <c r="C41" s="49" t="inlineStr">
        <is>
          <t>CUST-66733</t>
        </is>
      </c>
      <c r="D41" s="49" t="inlineStr">
        <is>
          <t>GBP-PKR</t>
        </is>
      </c>
      <c r="E41" s="49" t="inlineStr">
        <is>
          <t>GBP</t>
        </is>
      </c>
      <c r="F41" s="7" t="n">
        <v>284.142458478633</v>
      </c>
      <c r="G41" s="8" t="n">
        <v>1</v>
      </c>
      <c r="H41" s="7" t="n">
        <v>284.142458478633</v>
      </c>
      <c r="I41" s="7" t="n">
        <v>1.5</v>
      </c>
      <c r="J41" s="9" t="n">
        <v>0.021</v>
      </c>
      <c r="K41" s="49" t="inlineStr">
        <is>
          <t>Success</t>
        </is>
      </c>
      <c r="L41" s="7" t="n">
        <v>0.4262136877179495</v>
      </c>
      <c r="M41" s="7" t="n">
        <v>0.852427375435899</v>
      </c>
      <c r="N41" s="7" t="n">
        <v>3.409709501743596</v>
      </c>
    </row>
    <row r="42" ht="18" customHeight="1">
      <c r="A42" s="49" t="inlineStr">
        <is>
          <t>ACE-10041</t>
        </is>
      </c>
      <c r="B42" s="49" t="inlineStr">
        <is>
          <t>2026-05-15 12:43:34</t>
        </is>
      </c>
      <c r="C42" s="49" t="inlineStr">
        <is>
          <t>CUST-60353</t>
        </is>
      </c>
      <c r="D42" s="49" t="inlineStr">
        <is>
          <t>GBP-PKR</t>
        </is>
      </c>
      <c r="E42" s="49" t="inlineStr">
        <is>
          <t>GBP</t>
        </is>
      </c>
      <c r="F42" s="7" t="n">
        <v>299.956139160378</v>
      </c>
      <c r="G42" s="8" t="n">
        <v>1</v>
      </c>
      <c r="H42" s="7" t="n">
        <v>299.956139160378</v>
      </c>
      <c r="I42" s="7" t="n">
        <v>1.5</v>
      </c>
      <c r="J42" s="9" t="n">
        <v>0.021</v>
      </c>
      <c r="K42" s="49" t="inlineStr">
        <is>
          <t>Success</t>
        </is>
      </c>
      <c r="L42" s="7" t="n">
        <v>0.4499342087405671</v>
      </c>
      <c r="M42" s="7" t="n">
        <v>0.8998684174811341</v>
      </c>
      <c r="N42" s="7" t="n">
        <v>3.599473669924536</v>
      </c>
    </row>
    <row r="43" ht="18" customHeight="1">
      <c r="A43" s="49" t="inlineStr">
        <is>
          <t>ACE-10042</t>
        </is>
      </c>
      <c r="B43" s="49" t="inlineStr">
        <is>
          <t>2026-05-19 12:40:27</t>
        </is>
      </c>
      <c r="C43" s="49" t="inlineStr">
        <is>
          <t>CUST-95240</t>
        </is>
      </c>
      <c r="D43" s="49" t="inlineStr">
        <is>
          <t>GBP-PKR</t>
        </is>
      </c>
      <c r="E43" s="49" t="inlineStr">
        <is>
          <t>GBP</t>
        </is>
      </c>
      <c r="F43" s="7" t="n">
        <v>283.4190179206567</v>
      </c>
      <c r="G43" s="8" t="n">
        <v>1</v>
      </c>
      <c r="H43" s="7" t="n">
        <v>283.4190179206567</v>
      </c>
      <c r="I43" s="7" t="n">
        <v>1.5</v>
      </c>
      <c r="J43" s="9" t="n">
        <v>0.021</v>
      </c>
      <c r="K43" s="49" t="inlineStr">
        <is>
          <t>Success</t>
        </is>
      </c>
      <c r="L43" s="7" t="n">
        <v>0.4251285268809851</v>
      </c>
      <c r="M43" s="7" t="n">
        <v>0.8502570537619701</v>
      </c>
      <c r="N43" s="7" t="n">
        <v>3.401028215047881</v>
      </c>
    </row>
    <row r="44" ht="18" customHeight="1">
      <c r="A44" s="49" t="inlineStr">
        <is>
          <t>ACE-10043</t>
        </is>
      </c>
      <c r="B44" s="49" t="inlineStr">
        <is>
          <t>2026-05-07 14:54:30</t>
        </is>
      </c>
      <c r="C44" s="49" t="inlineStr">
        <is>
          <t>CUST-56989</t>
        </is>
      </c>
      <c r="D44" s="49" t="inlineStr">
        <is>
          <t>USD-PKR</t>
        </is>
      </c>
      <c r="E44" s="49" t="inlineStr">
        <is>
          <t>USD</t>
        </is>
      </c>
      <c r="F44" s="7" t="n">
        <v>216.3857551038259</v>
      </c>
      <c r="G44" s="8" t="n">
        <v>0.8</v>
      </c>
      <c r="H44" s="7" t="n">
        <v>173.1086040830608</v>
      </c>
      <c r="I44" s="7" t="n">
        <v>1.6</v>
      </c>
      <c r="J44" s="9" t="n">
        <v>0.019</v>
      </c>
      <c r="K44" s="49" t="inlineStr">
        <is>
          <t>Success</t>
        </is>
      </c>
      <c r="L44" s="7" t="n">
        <v>0.2596629061245911</v>
      </c>
      <c r="M44" s="7" t="n">
        <v>0</v>
      </c>
      <c r="N44" s="7" t="n">
        <v>2.077303248996729</v>
      </c>
    </row>
    <row r="45" ht="18" customHeight="1">
      <c r="A45" s="49" t="inlineStr">
        <is>
          <t>ACE-10044</t>
        </is>
      </c>
      <c r="B45" s="49" t="inlineStr">
        <is>
          <t>2026-05-19 12:44:18</t>
        </is>
      </c>
      <c r="C45" s="49" t="inlineStr">
        <is>
          <t>CUST-51437</t>
        </is>
      </c>
      <c r="D45" s="49" t="inlineStr">
        <is>
          <t>GBP-PKR</t>
        </is>
      </c>
      <c r="E45" s="49" t="inlineStr">
        <is>
          <t>GBP</t>
        </is>
      </c>
      <c r="F45" s="7" t="n">
        <v>270.3396776345132</v>
      </c>
      <c r="G45" s="8" t="n">
        <v>1</v>
      </c>
      <c r="H45" s="7" t="n">
        <v>270.3396776345132</v>
      </c>
      <c r="I45" s="7" t="n">
        <v>1.5</v>
      </c>
      <c r="J45" s="9" t="n">
        <v>0.021</v>
      </c>
      <c r="K45" s="49" t="inlineStr">
        <is>
          <t>Success</t>
        </is>
      </c>
      <c r="L45" s="7" t="n">
        <v>0.4055095164517699</v>
      </c>
      <c r="M45" s="7" t="n">
        <v>0.8110190329035397</v>
      </c>
      <c r="N45" s="7" t="n">
        <v>3.244076131614159</v>
      </c>
    </row>
    <row r="46" ht="18" customHeight="1">
      <c r="A46" s="49" t="inlineStr">
        <is>
          <t>ACE-10045</t>
        </is>
      </c>
      <c r="B46" s="49" t="inlineStr">
        <is>
          <t>2026-05-09 08:36:55</t>
        </is>
      </c>
      <c r="C46" s="49" t="inlineStr">
        <is>
          <t>CUST-94944</t>
        </is>
      </c>
      <c r="D46" s="49" t="inlineStr">
        <is>
          <t>GBP-PKR</t>
        </is>
      </c>
      <c r="E46" s="49" t="inlineStr">
        <is>
          <t>GBP</t>
        </is>
      </c>
      <c r="F46" s="7" t="n">
        <v>240.3118378036079</v>
      </c>
      <c r="G46" s="8" t="n">
        <v>1</v>
      </c>
      <c r="H46" s="7" t="n">
        <v>240.3118378036079</v>
      </c>
      <c r="I46" s="7" t="n">
        <v>1.5</v>
      </c>
      <c r="J46" s="9" t="n">
        <v>0.021</v>
      </c>
      <c r="K46" s="49" t="inlineStr">
        <is>
          <t>Success</t>
        </is>
      </c>
      <c r="L46" s="7" t="n">
        <v>0.3604677567054119</v>
      </c>
      <c r="M46" s="7" t="n">
        <v>0.7209355134108237</v>
      </c>
      <c r="N46" s="7" t="n">
        <v>2.883742053643295</v>
      </c>
    </row>
    <row r="47" ht="18" customHeight="1">
      <c r="A47" s="49" t="inlineStr">
        <is>
          <t>ACE-10046</t>
        </is>
      </c>
      <c r="B47" s="49" t="inlineStr">
        <is>
          <t>2026-05-20 19:31:53</t>
        </is>
      </c>
      <c r="C47" s="49" t="inlineStr">
        <is>
          <t>CUST-68756</t>
        </is>
      </c>
      <c r="D47" s="49" t="inlineStr">
        <is>
          <t>USD-PKR</t>
        </is>
      </c>
      <c r="E47" s="49" t="inlineStr">
        <is>
          <t>USD</t>
        </is>
      </c>
      <c r="F47" s="7" t="n">
        <v>203.6989412272144</v>
      </c>
      <c r="G47" s="8" t="n">
        <v>0.8</v>
      </c>
      <c r="H47" s="7" t="n">
        <v>162.9591529817715</v>
      </c>
      <c r="I47" s="7" t="n">
        <v>1.6</v>
      </c>
      <c r="J47" s="9" t="n">
        <v>0.019</v>
      </c>
      <c r="K47" s="49" t="inlineStr">
        <is>
          <t>Success</t>
        </is>
      </c>
      <c r="L47" s="7" t="n">
        <v>0.2444387294726573</v>
      </c>
      <c r="M47" s="7" t="n">
        <v>0</v>
      </c>
      <c r="N47" s="7" t="n">
        <v>1.955509835781258</v>
      </c>
    </row>
    <row r="48" ht="18" customHeight="1">
      <c r="A48" s="49" t="inlineStr">
        <is>
          <t>ACE-10047</t>
        </is>
      </c>
      <c r="B48" s="49" t="inlineStr">
        <is>
          <t>2026-05-12 11:40:12</t>
        </is>
      </c>
      <c r="C48" s="49" t="inlineStr">
        <is>
          <t>CUST-90690</t>
        </is>
      </c>
      <c r="D48" s="49" t="inlineStr">
        <is>
          <t>GBP-PKR</t>
        </is>
      </c>
      <c r="E48" s="49" t="inlineStr">
        <is>
          <t>GBP</t>
        </is>
      </c>
      <c r="F48" s="7" t="n">
        <v>266.0610320001883</v>
      </c>
      <c r="G48" s="8" t="n">
        <v>1</v>
      </c>
      <c r="H48" s="7" t="n">
        <v>266.0610320001883</v>
      </c>
      <c r="I48" s="7" t="n">
        <v>1.5</v>
      </c>
      <c r="J48" s="9" t="n">
        <v>0.021</v>
      </c>
      <c r="K48" s="49" t="inlineStr">
        <is>
          <t>Success</t>
        </is>
      </c>
      <c r="L48" s="7" t="n">
        <v>0.3990915480002825</v>
      </c>
      <c r="M48" s="7" t="n">
        <v>0.798183096000565</v>
      </c>
      <c r="N48" s="7" t="n">
        <v>3.19273238400226</v>
      </c>
    </row>
    <row r="49" ht="18" customHeight="1">
      <c r="A49" s="49" t="inlineStr">
        <is>
          <t>ACE-10048</t>
        </is>
      </c>
      <c r="B49" s="49" t="inlineStr">
        <is>
          <t>2026-05-22 18:53:08</t>
        </is>
      </c>
      <c r="C49" s="49" t="inlineStr">
        <is>
          <t>CUST-91172</t>
        </is>
      </c>
      <c r="D49" s="49" t="inlineStr">
        <is>
          <t>GBP-PKR</t>
        </is>
      </c>
      <c r="E49" s="49" t="inlineStr">
        <is>
          <t>GBP</t>
        </is>
      </c>
      <c r="F49" s="7" t="n">
        <v>309.6683313293368</v>
      </c>
      <c r="G49" s="8" t="n">
        <v>1</v>
      </c>
      <c r="H49" s="7" t="n">
        <v>309.6683313293368</v>
      </c>
      <c r="I49" s="7" t="n">
        <v>1.5</v>
      </c>
      <c r="J49" s="9" t="n">
        <v>0.021</v>
      </c>
      <c r="K49" s="49" t="inlineStr">
        <is>
          <t>Success</t>
        </is>
      </c>
      <c r="L49" s="7" t="n">
        <v>0.4645024969940052</v>
      </c>
      <c r="M49" s="7" t="n">
        <v>0.9290049939880104</v>
      </c>
      <c r="N49" s="7" t="n">
        <v>3.716019975952042</v>
      </c>
    </row>
    <row r="50" ht="18" customHeight="1">
      <c r="A50" s="49" t="inlineStr">
        <is>
          <t>ACE-10049</t>
        </is>
      </c>
      <c r="B50" s="49" t="inlineStr">
        <is>
          <t>2026-05-02 12:50:28</t>
        </is>
      </c>
      <c r="C50" s="49" t="inlineStr">
        <is>
          <t>CUST-52186</t>
        </is>
      </c>
      <c r="D50" s="49" t="inlineStr">
        <is>
          <t>USD-PKR</t>
        </is>
      </c>
      <c r="E50" s="49" t="inlineStr">
        <is>
          <t>USD</t>
        </is>
      </c>
      <c r="F50" s="7" t="n">
        <v>226.555370249266</v>
      </c>
      <c r="G50" s="8" t="n">
        <v>0.8</v>
      </c>
      <c r="H50" s="7" t="n">
        <v>181.2442961994128</v>
      </c>
      <c r="I50" s="7" t="n">
        <v>1.6</v>
      </c>
      <c r="J50" s="9" t="n">
        <v>0.019</v>
      </c>
      <c r="K50" s="49" t="inlineStr">
        <is>
          <t>Success</t>
        </is>
      </c>
      <c r="L50" s="7" t="n">
        <v>0.2718664442991193</v>
      </c>
      <c r="M50" s="7" t="n">
        <v>0.5437328885982385</v>
      </c>
      <c r="N50" s="7" t="n">
        <v>2.174931554392954</v>
      </c>
    </row>
    <row r="51" ht="18" customHeight="1">
      <c r="A51" s="49" t="inlineStr">
        <is>
          <t>ACE-10050</t>
        </is>
      </c>
      <c r="B51" s="49" t="inlineStr">
        <is>
          <t>2026-05-03 12:20:47</t>
        </is>
      </c>
      <c r="C51" s="49" t="inlineStr">
        <is>
          <t>CUST-77230</t>
        </is>
      </c>
      <c r="D51" s="49" t="inlineStr">
        <is>
          <t>GBP-PKR</t>
        </is>
      </c>
      <c r="E51" s="49" t="inlineStr">
        <is>
          <t>GBP</t>
        </is>
      </c>
      <c r="F51" s="7" t="n">
        <v>233.5708804632987</v>
      </c>
      <c r="G51" s="8" t="n">
        <v>1</v>
      </c>
      <c r="H51" s="7" t="n">
        <v>233.5708804632987</v>
      </c>
      <c r="I51" s="7" t="n">
        <v>1.5</v>
      </c>
      <c r="J51" s="9" t="n">
        <v>0.021</v>
      </c>
      <c r="K51" s="49" t="inlineStr">
        <is>
          <t>Success</t>
        </is>
      </c>
      <c r="L51" s="7" t="n">
        <v>0.3503563206949481</v>
      </c>
      <c r="M51" s="7" t="n">
        <v>0</v>
      </c>
      <c r="N51" s="7" t="n">
        <v>2.802850565559585</v>
      </c>
    </row>
    <row r="52" ht="18" customHeight="1">
      <c r="A52" s="49" t="inlineStr">
        <is>
          <t>ACE-10051</t>
        </is>
      </c>
      <c r="B52" s="49" t="inlineStr">
        <is>
          <t>2026-05-18 13:33:32</t>
        </is>
      </c>
      <c r="C52" s="49" t="inlineStr">
        <is>
          <t>CUST-67860</t>
        </is>
      </c>
      <c r="D52" s="49" t="inlineStr">
        <is>
          <t>GBP-PKR</t>
        </is>
      </c>
      <c r="E52" s="49" t="inlineStr">
        <is>
          <t>GBP</t>
        </is>
      </c>
      <c r="F52" s="7" t="n">
        <v>287.7804894490018</v>
      </c>
      <c r="G52" s="8" t="n">
        <v>1</v>
      </c>
      <c r="H52" s="7" t="n">
        <v>287.7804894490018</v>
      </c>
      <c r="I52" s="7" t="n">
        <v>1.5</v>
      </c>
      <c r="J52" s="9" t="n">
        <v>0.021</v>
      </c>
      <c r="K52" s="49" t="inlineStr">
        <is>
          <t>Success</t>
        </is>
      </c>
      <c r="L52" s="7" t="n">
        <v>0.4316707341735028</v>
      </c>
      <c r="M52" s="7" t="n">
        <v>0</v>
      </c>
      <c r="N52" s="7" t="n">
        <v>3.453365873388022</v>
      </c>
    </row>
    <row r="53" ht="18" customHeight="1">
      <c r="A53" s="49" t="inlineStr">
        <is>
          <t>ACE-10052</t>
        </is>
      </c>
      <c r="B53" s="49" t="inlineStr">
        <is>
          <t>2026-05-16 20:18:47</t>
        </is>
      </c>
      <c r="C53" s="49" t="inlineStr">
        <is>
          <t>CUST-72198</t>
        </is>
      </c>
      <c r="D53" s="49" t="inlineStr">
        <is>
          <t>EUR-PKR</t>
        </is>
      </c>
      <c r="E53" s="49" t="inlineStr">
        <is>
          <t>EUR</t>
        </is>
      </c>
      <c r="F53" s="7" t="n">
        <v>181.9106885024077</v>
      </c>
      <c r="G53" s="8" t="n">
        <v>0.85</v>
      </c>
      <c r="H53" s="7" t="n">
        <v>154.6240852270465</v>
      </c>
      <c r="I53" s="7" t="n">
        <v>1.275</v>
      </c>
      <c r="J53" s="9" t="n">
        <v>0.023</v>
      </c>
      <c r="K53" s="49" t="inlineStr">
        <is>
          <t>Success</t>
        </is>
      </c>
      <c r="L53" s="7" t="n">
        <v>0.2319361278405698</v>
      </c>
      <c r="M53" s="7" t="n">
        <v>0</v>
      </c>
      <c r="N53" s="7" t="n">
        <v>2.319361278405698</v>
      </c>
    </row>
    <row r="54" ht="18" customHeight="1">
      <c r="A54" s="49" t="inlineStr">
        <is>
          <t>ACE-10053</t>
        </is>
      </c>
      <c r="B54" s="49" t="inlineStr">
        <is>
          <t>2026-05-03 10:48:14</t>
        </is>
      </c>
      <c r="C54" s="49" t="inlineStr">
        <is>
          <t>CUST-94323</t>
        </is>
      </c>
      <c r="D54" s="49" t="inlineStr">
        <is>
          <t>GBP-PKR</t>
        </is>
      </c>
      <c r="E54" s="49" t="inlineStr">
        <is>
          <t>GBP</t>
        </is>
      </c>
      <c r="F54" s="7" t="n">
        <v>260.3683614484187</v>
      </c>
      <c r="G54" s="8" t="n">
        <v>1</v>
      </c>
      <c r="H54" s="7" t="n">
        <v>260.3683614484187</v>
      </c>
      <c r="I54" s="7" t="n">
        <v>1.5</v>
      </c>
      <c r="J54" s="9" t="n">
        <v>0.021</v>
      </c>
      <c r="K54" s="49" t="inlineStr">
        <is>
          <t>Success</t>
        </is>
      </c>
      <c r="L54" s="7" t="n">
        <v>0.3905525421726281</v>
      </c>
      <c r="M54" s="7" t="n">
        <v>0.7811050843452563</v>
      </c>
      <c r="N54" s="7" t="n">
        <v>3.124420337381025</v>
      </c>
    </row>
    <row r="55" ht="18" customHeight="1">
      <c r="A55" s="49" t="inlineStr">
        <is>
          <t>ACE-10054</t>
        </is>
      </c>
      <c r="B55" s="49" t="inlineStr">
        <is>
          <t>2026-05-18 13:05:50</t>
        </is>
      </c>
      <c r="C55" s="49" t="inlineStr">
        <is>
          <t>CUST-75858</t>
        </is>
      </c>
      <c r="D55" s="49" t="inlineStr">
        <is>
          <t>GBP-PKR</t>
        </is>
      </c>
      <c r="E55" s="49" t="inlineStr">
        <is>
          <t>GBP</t>
        </is>
      </c>
      <c r="F55" s="7" t="n">
        <v>296.176995104461</v>
      </c>
      <c r="G55" s="8" t="n">
        <v>1</v>
      </c>
      <c r="H55" s="7" t="n">
        <v>296.176995104461</v>
      </c>
      <c r="I55" s="7" t="n">
        <v>1.5</v>
      </c>
      <c r="J55" s="9" t="n">
        <v>0.021</v>
      </c>
      <c r="K55" s="49" t="inlineStr">
        <is>
          <t>Failed</t>
        </is>
      </c>
      <c r="L55" s="7" t="n">
        <v>0</v>
      </c>
      <c r="M55" s="7" t="n">
        <v>0</v>
      </c>
      <c r="N55" s="7" t="n">
        <v>0.5</v>
      </c>
    </row>
    <row r="56" ht="18" customHeight="1">
      <c r="A56" s="49" t="inlineStr">
        <is>
          <t>ACE-10055</t>
        </is>
      </c>
      <c r="B56" s="49" t="inlineStr">
        <is>
          <t>2026-05-18 09:29:23</t>
        </is>
      </c>
      <c r="C56" s="49" t="inlineStr">
        <is>
          <t>CUST-94094</t>
        </is>
      </c>
      <c r="D56" s="49" t="inlineStr">
        <is>
          <t>GBP-PKR</t>
        </is>
      </c>
      <c r="E56" s="49" t="inlineStr">
        <is>
          <t>GBP</t>
        </is>
      </c>
      <c r="F56" s="7" t="n">
        <v>308.8604495843526</v>
      </c>
      <c r="G56" s="8" t="n">
        <v>1</v>
      </c>
      <c r="H56" s="7" t="n">
        <v>308.8604495843526</v>
      </c>
      <c r="I56" s="7" t="n">
        <v>1.5</v>
      </c>
      <c r="J56" s="9" t="n">
        <v>0.021</v>
      </c>
      <c r="K56" s="49" t="inlineStr">
        <is>
          <t>Success</t>
        </is>
      </c>
      <c r="L56" s="7" t="n">
        <v>0.4632906743765289</v>
      </c>
      <c r="M56" s="7" t="n">
        <v>0</v>
      </c>
      <c r="N56" s="7" t="n">
        <v>3.706325395012231</v>
      </c>
    </row>
    <row r="57" ht="18" customHeight="1">
      <c r="A57" s="49" t="inlineStr">
        <is>
          <t>ACE-10056</t>
        </is>
      </c>
      <c r="B57" s="49" t="inlineStr">
        <is>
          <t>2026-05-13 18:23:06</t>
        </is>
      </c>
      <c r="C57" s="49" t="inlineStr">
        <is>
          <t>CUST-94226</t>
        </is>
      </c>
      <c r="D57" s="49" t="inlineStr">
        <is>
          <t>GBP-PKR</t>
        </is>
      </c>
      <c r="E57" s="49" t="inlineStr">
        <is>
          <t>GBP</t>
        </is>
      </c>
      <c r="F57" s="7" t="n">
        <v>305.7958171695779</v>
      </c>
      <c r="G57" s="8" t="n">
        <v>1</v>
      </c>
      <c r="H57" s="7" t="n">
        <v>305.7958171695779</v>
      </c>
      <c r="I57" s="7" t="n">
        <v>1.5</v>
      </c>
      <c r="J57" s="9" t="n">
        <v>0.021</v>
      </c>
      <c r="K57" s="49" t="inlineStr">
        <is>
          <t>Success</t>
        </is>
      </c>
      <c r="L57" s="7" t="n">
        <v>0.4586937257543668</v>
      </c>
      <c r="M57" s="7" t="n">
        <v>0</v>
      </c>
      <c r="N57" s="7" t="n">
        <v>3.669549806034935</v>
      </c>
    </row>
    <row r="58" ht="18" customHeight="1">
      <c r="A58" s="49" t="inlineStr">
        <is>
          <t>ACE-10057</t>
        </is>
      </c>
      <c r="B58" s="49" t="inlineStr">
        <is>
          <t>2026-05-18 13:58:39</t>
        </is>
      </c>
      <c r="C58" s="49" t="inlineStr">
        <is>
          <t>CUST-64507</t>
        </is>
      </c>
      <c r="D58" s="49" t="inlineStr">
        <is>
          <t>GBP-PKR</t>
        </is>
      </c>
      <c r="E58" s="49" t="inlineStr">
        <is>
          <t>GBP</t>
        </is>
      </c>
      <c r="F58" s="7" t="n">
        <v>256.1768050567057</v>
      </c>
      <c r="G58" s="8" t="n">
        <v>1</v>
      </c>
      <c r="H58" s="7" t="n">
        <v>256.1768050567057</v>
      </c>
      <c r="I58" s="7" t="n">
        <v>1.5</v>
      </c>
      <c r="J58" s="9" t="n">
        <v>0.021</v>
      </c>
      <c r="K58" s="49" t="inlineStr">
        <is>
          <t>Success</t>
        </is>
      </c>
      <c r="L58" s="7" t="n">
        <v>0.3842652075850586</v>
      </c>
      <c r="M58" s="7" t="n">
        <v>0.7685304151701171</v>
      </c>
      <c r="N58" s="7" t="n">
        <v>3.074121660680468</v>
      </c>
    </row>
    <row r="59" ht="18" customHeight="1">
      <c r="A59" s="49" t="inlineStr">
        <is>
          <t>ACE-10058</t>
        </is>
      </c>
      <c r="B59" s="49" t="inlineStr">
        <is>
          <t>2026-05-15 19:19:41</t>
        </is>
      </c>
      <c r="C59" s="49" t="inlineStr">
        <is>
          <t>CUST-76758</t>
        </is>
      </c>
      <c r="D59" s="49" t="inlineStr">
        <is>
          <t>USD-PKR</t>
        </is>
      </c>
      <c r="E59" s="49" t="inlineStr">
        <is>
          <t>USD</t>
        </is>
      </c>
      <c r="F59" s="7" t="n">
        <v>212.2375802523433</v>
      </c>
      <c r="G59" s="8" t="n">
        <v>0.8</v>
      </c>
      <c r="H59" s="7" t="n">
        <v>169.7900642018746</v>
      </c>
      <c r="I59" s="7" t="n">
        <v>1.6</v>
      </c>
      <c r="J59" s="9" t="n">
        <v>0.019</v>
      </c>
      <c r="K59" s="49" t="inlineStr">
        <is>
          <t>Success</t>
        </is>
      </c>
      <c r="L59" s="7" t="n">
        <v>0.2546850963028119</v>
      </c>
      <c r="M59" s="7" t="n">
        <v>0</v>
      </c>
      <c r="N59" s="7" t="n">
        <v>2.037480770422496</v>
      </c>
    </row>
    <row r="60" ht="18" customHeight="1">
      <c r="A60" s="49" t="inlineStr">
        <is>
          <t>ACE-10059</t>
        </is>
      </c>
      <c r="B60" s="49" t="inlineStr">
        <is>
          <t>2026-05-02 12:31:07</t>
        </is>
      </c>
      <c r="C60" s="49" t="inlineStr">
        <is>
          <t>CUST-56369</t>
        </is>
      </c>
      <c r="D60" s="49" t="inlineStr">
        <is>
          <t>GBP-PKR</t>
        </is>
      </c>
      <c r="E60" s="49" t="inlineStr">
        <is>
          <t>GBP</t>
        </is>
      </c>
      <c r="F60" s="7" t="n">
        <v>287.9871745435995</v>
      </c>
      <c r="G60" s="8" t="n">
        <v>1</v>
      </c>
      <c r="H60" s="7" t="n">
        <v>287.9871745435995</v>
      </c>
      <c r="I60" s="7" t="n">
        <v>1.5</v>
      </c>
      <c r="J60" s="9" t="n">
        <v>0.021</v>
      </c>
      <c r="K60" s="49" t="inlineStr">
        <is>
          <t>Success</t>
        </is>
      </c>
      <c r="L60" s="7" t="n">
        <v>0.4319807618153992</v>
      </c>
      <c r="M60" s="7" t="n">
        <v>0</v>
      </c>
      <c r="N60" s="7" t="n">
        <v>3.455846094523193</v>
      </c>
    </row>
    <row r="61" ht="18" customHeight="1">
      <c r="A61" s="49" t="inlineStr">
        <is>
          <t>ACE-10060</t>
        </is>
      </c>
      <c r="B61" s="49" t="inlineStr">
        <is>
          <t>2026-05-13 15:23:42</t>
        </is>
      </c>
      <c r="C61" s="49" t="inlineStr">
        <is>
          <t>CUST-98702</t>
        </is>
      </c>
      <c r="D61" s="49" t="inlineStr">
        <is>
          <t>GBP-PKR</t>
        </is>
      </c>
      <c r="E61" s="49" t="inlineStr">
        <is>
          <t>GBP</t>
        </is>
      </c>
      <c r="F61" s="7" t="n">
        <v>307.1524228921625</v>
      </c>
      <c r="G61" s="8" t="n">
        <v>1</v>
      </c>
      <c r="H61" s="7" t="n">
        <v>307.1524228921625</v>
      </c>
      <c r="I61" s="7" t="n">
        <v>1.5</v>
      </c>
      <c r="J61" s="9" t="n">
        <v>0.021</v>
      </c>
      <c r="K61" s="49" t="inlineStr">
        <is>
          <t>Success</t>
        </is>
      </c>
      <c r="L61" s="7" t="n">
        <v>0.4607286343382437</v>
      </c>
      <c r="M61" s="7" t="n">
        <v>0</v>
      </c>
      <c r="N61" s="7" t="n">
        <v>3.685829074705949</v>
      </c>
    </row>
    <row r="62" ht="18" customHeight="1">
      <c r="A62" s="49" t="inlineStr">
        <is>
          <t>ACE-10061</t>
        </is>
      </c>
      <c r="B62" s="49" t="inlineStr">
        <is>
          <t>2026-05-19 19:46:09</t>
        </is>
      </c>
      <c r="C62" s="49" t="inlineStr">
        <is>
          <t>CUST-77189</t>
        </is>
      </c>
      <c r="D62" s="49" t="inlineStr">
        <is>
          <t>GBP-PKR</t>
        </is>
      </c>
      <c r="E62" s="49" t="inlineStr">
        <is>
          <t>GBP</t>
        </is>
      </c>
      <c r="F62" s="7" t="n">
        <v>265.5683322174589</v>
      </c>
      <c r="G62" s="8" t="n">
        <v>1</v>
      </c>
      <c r="H62" s="7" t="n">
        <v>265.5683322174589</v>
      </c>
      <c r="I62" s="7" t="n">
        <v>1.5</v>
      </c>
      <c r="J62" s="9" t="n">
        <v>0.021</v>
      </c>
      <c r="K62" s="49" t="inlineStr">
        <is>
          <t>Success</t>
        </is>
      </c>
      <c r="L62" s="7" t="n">
        <v>0.3983524983261884</v>
      </c>
      <c r="M62" s="7" t="n">
        <v>0.7967049966523768</v>
      </c>
      <c r="N62" s="7" t="n">
        <v>3.186819986609507</v>
      </c>
    </row>
    <row r="63" ht="18" customHeight="1">
      <c r="A63" s="49" t="inlineStr">
        <is>
          <t>ACE-10062</t>
        </is>
      </c>
      <c r="B63" s="49" t="inlineStr">
        <is>
          <t>2026-05-20 14:17:02</t>
        </is>
      </c>
      <c r="C63" s="49" t="inlineStr">
        <is>
          <t>CUST-95238</t>
        </is>
      </c>
      <c r="D63" s="49" t="inlineStr">
        <is>
          <t>GBP-PKR</t>
        </is>
      </c>
      <c r="E63" s="49" t="inlineStr">
        <is>
          <t>GBP</t>
        </is>
      </c>
      <c r="F63" s="7" t="n">
        <v>273.4786907059495</v>
      </c>
      <c r="G63" s="8" t="n">
        <v>1</v>
      </c>
      <c r="H63" s="7" t="n">
        <v>273.4786907059495</v>
      </c>
      <c r="I63" s="7" t="n">
        <v>1.5</v>
      </c>
      <c r="J63" s="9" t="n">
        <v>0.021</v>
      </c>
      <c r="K63" s="49" t="inlineStr">
        <is>
          <t>Success</t>
        </is>
      </c>
      <c r="L63" s="7" t="n">
        <v>0.4102180360589243</v>
      </c>
      <c r="M63" s="7" t="n">
        <v>0</v>
      </c>
      <c r="N63" s="7" t="n">
        <v>3.281744288471395</v>
      </c>
    </row>
    <row r="64" ht="18" customHeight="1">
      <c r="A64" s="49" t="inlineStr">
        <is>
          <t>ACE-10063</t>
        </is>
      </c>
      <c r="B64" s="49" t="inlineStr">
        <is>
          <t>2026-05-08 13:06:43</t>
        </is>
      </c>
      <c r="C64" s="49" t="inlineStr">
        <is>
          <t>CUST-74073</t>
        </is>
      </c>
      <c r="D64" s="49" t="inlineStr">
        <is>
          <t>GBP-PKR</t>
        </is>
      </c>
      <c r="E64" s="49" t="inlineStr">
        <is>
          <t>GBP</t>
        </is>
      </c>
      <c r="F64" s="7" t="n">
        <v>249.4244604865953</v>
      </c>
      <c r="G64" s="8" t="n">
        <v>1</v>
      </c>
      <c r="H64" s="7" t="n">
        <v>249.4244604865953</v>
      </c>
      <c r="I64" s="7" t="n">
        <v>1.5</v>
      </c>
      <c r="J64" s="9" t="n">
        <v>0.021</v>
      </c>
      <c r="K64" s="49" t="inlineStr">
        <is>
          <t>Success</t>
        </is>
      </c>
      <c r="L64" s="7" t="n">
        <v>0.3741366907298929</v>
      </c>
      <c r="M64" s="7" t="n">
        <v>0.7482733814597858</v>
      </c>
      <c r="N64" s="7" t="n">
        <v>2.993093525839143</v>
      </c>
    </row>
    <row r="65" ht="18" customHeight="1">
      <c r="A65" s="49" t="inlineStr">
        <is>
          <t>ACE-10064</t>
        </is>
      </c>
      <c r="B65" s="49" t="inlineStr">
        <is>
          <t>2026-05-12 08:25:17</t>
        </is>
      </c>
      <c r="C65" s="49" t="inlineStr">
        <is>
          <t>CUST-62439</t>
        </is>
      </c>
      <c r="D65" s="49" t="inlineStr">
        <is>
          <t>GBP-PKR</t>
        </is>
      </c>
      <c r="E65" s="49" t="inlineStr">
        <is>
          <t>GBP</t>
        </is>
      </c>
      <c r="F65" s="7" t="n">
        <v>247.1928844943239</v>
      </c>
      <c r="G65" s="8" t="n">
        <v>1</v>
      </c>
      <c r="H65" s="7" t="n">
        <v>247.1928844943239</v>
      </c>
      <c r="I65" s="7" t="n">
        <v>1.5</v>
      </c>
      <c r="J65" s="9" t="n">
        <v>0.021</v>
      </c>
      <c r="K65" s="49" t="inlineStr">
        <is>
          <t>Success</t>
        </is>
      </c>
      <c r="L65" s="7" t="n">
        <v>0.3707893267414859</v>
      </c>
      <c r="M65" s="7" t="n">
        <v>0.7415786534829718</v>
      </c>
      <c r="N65" s="7" t="n">
        <v>2.966314613931887</v>
      </c>
    </row>
    <row r="66" ht="18" customHeight="1">
      <c r="A66" s="49" t="inlineStr">
        <is>
          <t>ACE-10065</t>
        </is>
      </c>
      <c r="B66" s="49" t="inlineStr">
        <is>
          <t>2026-05-15 09:42:13</t>
        </is>
      </c>
      <c r="C66" s="49" t="inlineStr">
        <is>
          <t>CUST-92054</t>
        </is>
      </c>
      <c r="D66" s="49" t="inlineStr">
        <is>
          <t>GBP-PKR</t>
        </is>
      </c>
      <c r="E66" s="49" t="inlineStr">
        <is>
          <t>GBP</t>
        </is>
      </c>
      <c r="F66" s="7" t="n">
        <v>302.1858379011149</v>
      </c>
      <c r="G66" s="8" t="n">
        <v>1</v>
      </c>
      <c r="H66" s="7" t="n">
        <v>302.1858379011149</v>
      </c>
      <c r="I66" s="7" t="n">
        <v>1.5</v>
      </c>
      <c r="J66" s="9" t="n">
        <v>0.021</v>
      </c>
      <c r="K66" s="49" t="inlineStr">
        <is>
          <t>Success</t>
        </is>
      </c>
      <c r="L66" s="7" t="n">
        <v>0.4532787568516723</v>
      </c>
      <c r="M66" s="7" t="n">
        <v>0.9065575137033447</v>
      </c>
      <c r="N66" s="7" t="n">
        <v>3.626230054813379</v>
      </c>
    </row>
    <row r="67" ht="18" customHeight="1">
      <c r="A67" s="49" t="inlineStr">
        <is>
          <t>ACE-10066</t>
        </is>
      </c>
      <c r="B67" s="49" t="inlineStr">
        <is>
          <t>2026-05-02 20:21:15</t>
        </is>
      </c>
      <c r="C67" s="49" t="inlineStr">
        <is>
          <t>CUST-58252</t>
        </is>
      </c>
      <c r="D67" s="49" t="inlineStr">
        <is>
          <t>USD-PKR</t>
        </is>
      </c>
      <c r="E67" s="49" t="inlineStr">
        <is>
          <t>USD</t>
        </is>
      </c>
      <c r="F67" s="7" t="n">
        <v>250.6986321958622</v>
      </c>
      <c r="G67" s="8" t="n">
        <v>0.8</v>
      </c>
      <c r="H67" s="7" t="n">
        <v>200.5589057566898</v>
      </c>
      <c r="I67" s="7" t="n">
        <v>1.6</v>
      </c>
      <c r="J67" s="9" t="n">
        <v>0.019</v>
      </c>
      <c r="K67" s="49" t="inlineStr">
        <is>
          <t>Success</t>
        </is>
      </c>
      <c r="L67" s="7" t="n">
        <v>0.3008383586350347</v>
      </c>
      <c r="M67" s="7" t="n">
        <v>0</v>
      </c>
      <c r="N67" s="7" t="n">
        <v>2.406706869080278</v>
      </c>
    </row>
    <row r="68" ht="18" customHeight="1">
      <c r="A68" s="49" t="inlineStr">
        <is>
          <t>ACE-10067</t>
        </is>
      </c>
      <c r="B68" s="49" t="inlineStr">
        <is>
          <t>2026-05-18 11:37:13</t>
        </is>
      </c>
      <c r="C68" s="49" t="inlineStr">
        <is>
          <t>CUST-65269</t>
        </is>
      </c>
      <c r="D68" s="49" t="inlineStr">
        <is>
          <t>GBP-PKR</t>
        </is>
      </c>
      <c r="E68" s="49" t="inlineStr">
        <is>
          <t>GBP</t>
        </is>
      </c>
      <c r="F68" s="7" t="n">
        <v>276.6044731506718</v>
      </c>
      <c r="G68" s="8" t="n">
        <v>1</v>
      </c>
      <c r="H68" s="7" t="n">
        <v>276.6044731506718</v>
      </c>
      <c r="I68" s="7" t="n">
        <v>1.5</v>
      </c>
      <c r="J68" s="9" t="n">
        <v>0.021</v>
      </c>
      <c r="K68" s="49" t="inlineStr">
        <is>
          <t>Success</t>
        </is>
      </c>
      <c r="L68" s="7" t="n">
        <v>0.4149067097260077</v>
      </c>
      <c r="M68" s="7" t="n">
        <v>0</v>
      </c>
      <c r="N68" s="7" t="n">
        <v>3.319253677808061</v>
      </c>
    </row>
    <row r="69" ht="18" customHeight="1">
      <c r="A69" s="49" t="inlineStr">
        <is>
          <t>ACE-10068</t>
        </is>
      </c>
      <c r="B69" s="49" t="inlineStr">
        <is>
          <t>2026-05-20 08:17:54</t>
        </is>
      </c>
      <c r="C69" s="49" t="inlineStr">
        <is>
          <t>CUST-59482</t>
        </is>
      </c>
      <c r="D69" s="49" t="inlineStr">
        <is>
          <t>GBP-PKR</t>
        </is>
      </c>
      <c r="E69" s="49" t="inlineStr">
        <is>
          <t>GBP</t>
        </is>
      </c>
      <c r="F69" s="7" t="n">
        <v>308.0132781615509</v>
      </c>
      <c r="G69" s="8" t="n">
        <v>1</v>
      </c>
      <c r="H69" s="7" t="n">
        <v>308.0132781615509</v>
      </c>
      <c r="I69" s="7" t="n">
        <v>1.5</v>
      </c>
      <c r="J69" s="9" t="n">
        <v>0.021</v>
      </c>
      <c r="K69" s="49" t="inlineStr">
        <is>
          <t>Success</t>
        </is>
      </c>
      <c r="L69" s="7" t="n">
        <v>0.4620199172423263</v>
      </c>
      <c r="M69" s="7" t="n">
        <v>0</v>
      </c>
      <c r="N69" s="7" t="n">
        <v>3.696159337938611</v>
      </c>
    </row>
    <row r="70" ht="18" customHeight="1">
      <c r="A70" s="49" t="inlineStr">
        <is>
          <t>ACE-10069</t>
        </is>
      </c>
      <c r="B70" s="49" t="inlineStr">
        <is>
          <t>2026-05-06 09:42:55</t>
        </is>
      </c>
      <c r="C70" s="49" t="inlineStr">
        <is>
          <t>CUST-51689</t>
        </is>
      </c>
      <c r="D70" s="49" t="inlineStr">
        <is>
          <t>GBP-PKR</t>
        </is>
      </c>
      <c r="E70" s="49" t="inlineStr">
        <is>
          <t>GBP</t>
        </is>
      </c>
      <c r="F70" s="7" t="n">
        <v>288.8631959650067</v>
      </c>
      <c r="G70" s="8" t="n">
        <v>1</v>
      </c>
      <c r="H70" s="7" t="n">
        <v>288.8631959650067</v>
      </c>
      <c r="I70" s="7" t="n">
        <v>1.5</v>
      </c>
      <c r="J70" s="9" t="n">
        <v>0.021</v>
      </c>
      <c r="K70" s="49" t="inlineStr">
        <is>
          <t>Success</t>
        </is>
      </c>
      <c r="L70" s="7" t="n">
        <v>0.43329479394751</v>
      </c>
      <c r="M70" s="7" t="n">
        <v>0</v>
      </c>
      <c r="N70" s="7" t="n">
        <v>3.46635835158008</v>
      </c>
    </row>
    <row r="71" ht="18" customHeight="1">
      <c r="A71" s="49" t="inlineStr">
        <is>
          <t>ACE-10070</t>
        </is>
      </c>
      <c r="B71" s="49" t="inlineStr">
        <is>
          <t>2026-05-08 17:20:01</t>
        </is>
      </c>
      <c r="C71" s="49" t="inlineStr">
        <is>
          <t>CUST-61419</t>
        </is>
      </c>
      <c r="D71" s="49" t="inlineStr">
        <is>
          <t>GBP-PKR</t>
        </is>
      </c>
      <c r="E71" s="49" t="inlineStr">
        <is>
          <t>GBP</t>
        </is>
      </c>
      <c r="F71" s="7" t="n">
        <v>261.1977093660916</v>
      </c>
      <c r="G71" s="8" t="n">
        <v>1</v>
      </c>
      <c r="H71" s="7" t="n">
        <v>261.1977093660916</v>
      </c>
      <c r="I71" s="7" t="n">
        <v>1.5</v>
      </c>
      <c r="J71" s="9" t="n">
        <v>0.021</v>
      </c>
      <c r="K71" s="49" t="inlineStr">
        <is>
          <t>Success</t>
        </is>
      </c>
      <c r="L71" s="7" t="n">
        <v>0.3917965640491374</v>
      </c>
      <c r="M71" s="7" t="n">
        <v>0</v>
      </c>
      <c r="N71" s="7" t="n">
        <v>3.134372512393099</v>
      </c>
    </row>
    <row r="72" ht="18" customHeight="1">
      <c r="A72" s="49" t="inlineStr">
        <is>
          <t>ACE-10071</t>
        </is>
      </c>
      <c r="B72" s="49" t="inlineStr">
        <is>
          <t>2026-05-14 16:07:47</t>
        </is>
      </c>
      <c r="C72" s="49" t="inlineStr">
        <is>
          <t>CUST-54165</t>
        </is>
      </c>
      <c r="D72" s="49" t="inlineStr">
        <is>
          <t>GBP-PKR</t>
        </is>
      </c>
      <c r="E72" s="49" t="inlineStr">
        <is>
          <t>GBP</t>
        </is>
      </c>
      <c r="F72" s="7" t="n">
        <v>288.8562512128426</v>
      </c>
      <c r="G72" s="8" t="n">
        <v>1</v>
      </c>
      <c r="H72" s="7" t="n">
        <v>288.8562512128426</v>
      </c>
      <c r="I72" s="7" t="n">
        <v>1.5</v>
      </c>
      <c r="J72" s="9" t="n">
        <v>0.021</v>
      </c>
      <c r="K72" s="49" t="inlineStr">
        <is>
          <t>Success</t>
        </is>
      </c>
      <c r="L72" s="7" t="n">
        <v>0.4332843768192639</v>
      </c>
      <c r="M72" s="7" t="n">
        <v>0.8665687536385278</v>
      </c>
      <c r="N72" s="7" t="n">
        <v>3.466275014554111</v>
      </c>
    </row>
    <row r="73" ht="18" customHeight="1">
      <c r="A73" s="49" t="inlineStr">
        <is>
          <t>ACE-10072</t>
        </is>
      </c>
      <c r="B73" s="49" t="inlineStr">
        <is>
          <t>2026-05-17 17:06:28</t>
        </is>
      </c>
      <c r="C73" s="49" t="inlineStr">
        <is>
          <t>CUST-83019</t>
        </is>
      </c>
      <c r="D73" s="49" t="inlineStr">
        <is>
          <t>GBP-PKR</t>
        </is>
      </c>
      <c r="E73" s="49" t="inlineStr">
        <is>
          <t>GBP</t>
        </is>
      </c>
      <c r="F73" s="7" t="n">
        <v>324.9246339228681</v>
      </c>
      <c r="G73" s="8" t="n">
        <v>1</v>
      </c>
      <c r="H73" s="7" t="n">
        <v>324.9246339228681</v>
      </c>
      <c r="I73" s="7" t="n">
        <v>1.5</v>
      </c>
      <c r="J73" s="9" t="n">
        <v>0.021</v>
      </c>
      <c r="K73" s="49" t="inlineStr">
        <is>
          <t>Success</t>
        </is>
      </c>
      <c r="L73" s="7" t="n">
        <v>0.4873869508843022</v>
      </c>
      <c r="M73" s="7" t="n">
        <v>0.9747739017686043</v>
      </c>
      <c r="N73" s="7" t="n">
        <v>3.899095607074417</v>
      </c>
    </row>
    <row r="74" ht="18" customHeight="1">
      <c r="A74" s="49" t="inlineStr">
        <is>
          <t>ACE-10073</t>
        </is>
      </c>
      <c r="B74" s="49" t="inlineStr">
        <is>
          <t>2026-05-24 20:58:55</t>
        </is>
      </c>
      <c r="C74" s="49" t="inlineStr">
        <is>
          <t>CUST-93181</t>
        </is>
      </c>
      <c r="D74" s="49" t="inlineStr">
        <is>
          <t>GBP-PKR</t>
        </is>
      </c>
      <c r="E74" s="49" t="inlineStr">
        <is>
          <t>GBP</t>
        </is>
      </c>
      <c r="F74" s="7" t="n">
        <v>277.6071540178494</v>
      </c>
      <c r="G74" s="8" t="n">
        <v>1</v>
      </c>
      <c r="H74" s="7" t="n">
        <v>277.6071540178494</v>
      </c>
      <c r="I74" s="7" t="n">
        <v>1.5</v>
      </c>
      <c r="J74" s="9" t="n">
        <v>0.021</v>
      </c>
      <c r="K74" s="49" t="inlineStr">
        <is>
          <t>Success</t>
        </is>
      </c>
      <c r="L74" s="7" t="n">
        <v>0.4164107310267741</v>
      </c>
      <c r="M74" s="7" t="n">
        <v>0</v>
      </c>
      <c r="N74" s="7" t="n">
        <v>3.331285848214192</v>
      </c>
    </row>
    <row r="75" ht="18" customHeight="1">
      <c r="A75" s="49" t="inlineStr">
        <is>
          <t>ACE-10074</t>
        </is>
      </c>
      <c r="B75" s="49" t="inlineStr">
        <is>
          <t>2026-05-01 08:30:54</t>
        </is>
      </c>
      <c r="C75" s="49" t="inlineStr">
        <is>
          <t>CUST-76320</t>
        </is>
      </c>
      <c r="D75" s="49" t="inlineStr">
        <is>
          <t>GBP-PKR</t>
        </is>
      </c>
      <c r="E75" s="49" t="inlineStr">
        <is>
          <t>GBP</t>
        </is>
      </c>
      <c r="F75" s="7" t="n">
        <v>325.7903149514017</v>
      </c>
      <c r="G75" s="8" t="n">
        <v>1</v>
      </c>
      <c r="H75" s="7" t="n">
        <v>325.7903149514017</v>
      </c>
      <c r="I75" s="7" t="n">
        <v>1.5</v>
      </c>
      <c r="J75" s="9" t="n">
        <v>0.021</v>
      </c>
      <c r="K75" s="49" t="inlineStr">
        <is>
          <t>Success</t>
        </is>
      </c>
      <c r="L75" s="7" t="n">
        <v>0.4886854724271026</v>
      </c>
      <c r="M75" s="7" t="n">
        <v>0</v>
      </c>
      <c r="N75" s="7" t="n">
        <v>3.909483779416821</v>
      </c>
    </row>
    <row r="76" ht="18" customHeight="1">
      <c r="A76" s="49" t="inlineStr">
        <is>
          <t>ACE-10075</t>
        </is>
      </c>
      <c r="B76" s="49" t="inlineStr">
        <is>
          <t>2026-05-23 15:04:57</t>
        </is>
      </c>
      <c r="C76" s="49" t="inlineStr">
        <is>
          <t>CUST-55294</t>
        </is>
      </c>
      <c r="D76" s="49" t="inlineStr">
        <is>
          <t>GBP-PKR</t>
        </is>
      </c>
      <c r="E76" s="49" t="inlineStr">
        <is>
          <t>GBP</t>
        </is>
      </c>
      <c r="F76" s="7" t="n">
        <v>214.3939247541177</v>
      </c>
      <c r="G76" s="8" t="n">
        <v>1</v>
      </c>
      <c r="H76" s="7" t="n">
        <v>214.3939247541177</v>
      </c>
      <c r="I76" s="7" t="n">
        <v>1.5</v>
      </c>
      <c r="J76" s="9" t="n">
        <v>0.021</v>
      </c>
      <c r="K76" s="49" t="inlineStr">
        <is>
          <t>Success</t>
        </is>
      </c>
      <c r="L76" s="7" t="n">
        <v>0.3215908871311766</v>
      </c>
      <c r="M76" s="7" t="n">
        <v>0</v>
      </c>
      <c r="N76" s="7" t="n">
        <v>2.572727097049413</v>
      </c>
    </row>
    <row r="77" ht="18" customHeight="1">
      <c r="A77" s="49" t="inlineStr">
        <is>
          <t>ACE-10076</t>
        </is>
      </c>
      <c r="B77" s="49" t="inlineStr">
        <is>
          <t>2026-05-05 12:39:40</t>
        </is>
      </c>
      <c r="C77" s="49" t="inlineStr">
        <is>
          <t>CUST-88362</t>
        </is>
      </c>
      <c r="D77" s="49" t="inlineStr">
        <is>
          <t>USD-PKR</t>
        </is>
      </c>
      <c r="E77" s="49" t="inlineStr">
        <is>
          <t>USD</t>
        </is>
      </c>
      <c r="F77" s="7" t="n">
        <v>237.6544663718723</v>
      </c>
      <c r="G77" s="8" t="n">
        <v>0.8</v>
      </c>
      <c r="H77" s="7" t="n">
        <v>190.1235730974979</v>
      </c>
      <c r="I77" s="7" t="n">
        <v>1.6</v>
      </c>
      <c r="J77" s="9" t="n">
        <v>0.019</v>
      </c>
      <c r="K77" s="49" t="inlineStr">
        <is>
          <t>Success</t>
        </is>
      </c>
      <c r="L77" s="7" t="n">
        <v>0.2851853596462468</v>
      </c>
      <c r="M77" s="7" t="n">
        <v>0</v>
      </c>
      <c r="N77" s="7" t="n">
        <v>2.281482877169974</v>
      </c>
    </row>
    <row r="78" ht="18" customHeight="1">
      <c r="A78" s="49" t="inlineStr">
        <is>
          <t>ACE-10077</t>
        </is>
      </c>
      <c r="B78" s="49" t="inlineStr">
        <is>
          <t>2026-05-20 16:18:29</t>
        </is>
      </c>
      <c r="C78" s="49" t="inlineStr">
        <is>
          <t>CUST-83131</t>
        </is>
      </c>
      <c r="D78" s="49" t="inlineStr">
        <is>
          <t>USD-PKR</t>
        </is>
      </c>
      <c r="E78" s="49" t="inlineStr">
        <is>
          <t>USD</t>
        </is>
      </c>
      <c r="F78" s="7" t="n">
        <v>220.8165471011331</v>
      </c>
      <c r="G78" s="8" t="n">
        <v>0.8</v>
      </c>
      <c r="H78" s="7" t="n">
        <v>176.6532376809065</v>
      </c>
      <c r="I78" s="7" t="n">
        <v>1.6</v>
      </c>
      <c r="J78" s="9" t="n">
        <v>0.019</v>
      </c>
      <c r="K78" s="49" t="inlineStr">
        <is>
          <t>Success</t>
        </is>
      </c>
      <c r="L78" s="7" t="n">
        <v>0.2649798565213597</v>
      </c>
      <c r="M78" s="7" t="n">
        <v>0</v>
      </c>
      <c r="N78" s="7" t="n">
        <v>2.119838852170878</v>
      </c>
    </row>
    <row r="79" ht="18" customHeight="1">
      <c r="A79" s="49" t="inlineStr">
        <is>
          <t>ACE-10078</t>
        </is>
      </c>
      <c r="B79" s="49" t="inlineStr">
        <is>
          <t>2026-05-23 09:54:41</t>
        </is>
      </c>
      <c r="C79" s="49" t="inlineStr">
        <is>
          <t>CUST-92658</t>
        </is>
      </c>
      <c r="D79" s="49" t="inlineStr">
        <is>
          <t>USD-PKR</t>
        </is>
      </c>
      <c r="E79" s="49" t="inlineStr">
        <is>
          <t>USD</t>
        </is>
      </c>
      <c r="F79" s="7" t="n">
        <v>212.4542797941732</v>
      </c>
      <c r="G79" s="8" t="n">
        <v>0.8</v>
      </c>
      <c r="H79" s="7" t="n">
        <v>169.9634238353385</v>
      </c>
      <c r="I79" s="7" t="n">
        <v>1.6</v>
      </c>
      <c r="J79" s="9" t="n">
        <v>0.019</v>
      </c>
      <c r="K79" s="49" t="inlineStr">
        <is>
          <t>Success</t>
        </is>
      </c>
      <c r="L79" s="7" t="n">
        <v>0.2549451357530078</v>
      </c>
      <c r="M79" s="7" t="n">
        <v>0</v>
      </c>
      <c r="N79" s="7" t="n">
        <v>2.039561086024062</v>
      </c>
    </row>
    <row r="80" ht="18" customHeight="1">
      <c r="A80" s="49" t="inlineStr">
        <is>
          <t>ACE-10079</t>
        </is>
      </c>
      <c r="B80" s="49" t="inlineStr">
        <is>
          <t>2026-05-07 14:28:56</t>
        </is>
      </c>
      <c r="C80" s="49" t="inlineStr">
        <is>
          <t>CUST-64974</t>
        </is>
      </c>
      <c r="D80" s="49" t="inlineStr">
        <is>
          <t>GBP-PKR</t>
        </is>
      </c>
      <c r="E80" s="49" t="inlineStr">
        <is>
          <t>GBP</t>
        </is>
      </c>
      <c r="F80" s="7" t="n">
        <v>281.1717466926821</v>
      </c>
      <c r="G80" s="8" t="n">
        <v>1</v>
      </c>
      <c r="H80" s="7" t="n">
        <v>281.1717466926821</v>
      </c>
      <c r="I80" s="7" t="n">
        <v>1.5</v>
      </c>
      <c r="J80" s="9" t="n">
        <v>0.021</v>
      </c>
      <c r="K80" s="49" t="inlineStr">
        <is>
          <t>Success</t>
        </is>
      </c>
      <c r="L80" s="7" t="n">
        <v>0.4217576200390232</v>
      </c>
      <c r="M80" s="7" t="n">
        <v>0.8435152400780463</v>
      </c>
      <c r="N80" s="7" t="n">
        <v>3.374060960312185</v>
      </c>
    </row>
    <row r="81" ht="18" customHeight="1">
      <c r="A81" s="49" t="inlineStr">
        <is>
          <t>ACE-10080</t>
        </is>
      </c>
      <c r="B81" s="49" t="inlineStr">
        <is>
          <t>2026-05-13 14:46:06</t>
        </is>
      </c>
      <c r="C81" s="49" t="inlineStr">
        <is>
          <t>CUST-70483</t>
        </is>
      </c>
      <c r="D81" s="49" t="inlineStr">
        <is>
          <t>EUR-PKR</t>
        </is>
      </c>
      <c r="E81" s="49" t="inlineStr">
        <is>
          <t>EUR</t>
        </is>
      </c>
      <c r="F81" s="7" t="n">
        <v>154.9755218191249</v>
      </c>
      <c r="G81" s="8" t="n">
        <v>0.85</v>
      </c>
      <c r="H81" s="7" t="n">
        <v>131.7291935462561</v>
      </c>
      <c r="I81" s="7" t="n">
        <v>1.275</v>
      </c>
      <c r="J81" s="9" t="n">
        <v>0.023</v>
      </c>
      <c r="K81" s="49" t="inlineStr">
        <is>
          <t>Success</t>
        </is>
      </c>
      <c r="L81" s="7" t="n">
        <v>0.1975937903193842</v>
      </c>
      <c r="M81" s="7" t="n">
        <v>0.3951875806387684</v>
      </c>
      <c r="N81" s="7" t="n">
        <v>1.975937903193842</v>
      </c>
    </row>
    <row r="82" ht="18" customHeight="1">
      <c r="A82" s="49" t="inlineStr">
        <is>
          <t>ACE-10081</t>
        </is>
      </c>
      <c r="B82" s="49" t="inlineStr">
        <is>
          <t>2026-05-12 10:43:59</t>
        </is>
      </c>
      <c r="C82" s="49" t="inlineStr">
        <is>
          <t>CUST-81081</t>
        </is>
      </c>
      <c r="D82" s="49" t="inlineStr">
        <is>
          <t>USD-PKR</t>
        </is>
      </c>
      <c r="E82" s="49" t="inlineStr">
        <is>
          <t>USD</t>
        </is>
      </c>
      <c r="F82" s="7" t="n">
        <v>214.1464994271846</v>
      </c>
      <c r="G82" s="8" t="n">
        <v>0.8</v>
      </c>
      <c r="H82" s="7" t="n">
        <v>171.3171995417477</v>
      </c>
      <c r="I82" s="7" t="n">
        <v>1.6</v>
      </c>
      <c r="J82" s="9" t="n">
        <v>0.019</v>
      </c>
      <c r="K82" s="49" t="inlineStr">
        <is>
          <t>Success</t>
        </is>
      </c>
      <c r="L82" s="7" t="n">
        <v>0.2569757993126215</v>
      </c>
      <c r="M82" s="7" t="n">
        <v>0.513951598625243</v>
      </c>
      <c r="N82" s="7" t="n">
        <v>2.055806394500972</v>
      </c>
    </row>
    <row r="83" ht="18" customHeight="1">
      <c r="A83" s="49" t="inlineStr">
        <is>
          <t>ACE-10082</t>
        </is>
      </c>
      <c r="B83" s="49" t="inlineStr">
        <is>
          <t>2026-05-03 14:06:47</t>
        </is>
      </c>
      <c r="C83" s="49" t="inlineStr">
        <is>
          <t>CUST-98417</t>
        </is>
      </c>
      <c r="D83" s="49" t="inlineStr">
        <is>
          <t>GBP-PKR</t>
        </is>
      </c>
      <c r="E83" s="49" t="inlineStr">
        <is>
          <t>GBP</t>
        </is>
      </c>
      <c r="F83" s="7" t="n">
        <v>288.7325595890956</v>
      </c>
      <c r="G83" s="8" t="n">
        <v>1</v>
      </c>
      <c r="H83" s="7" t="n">
        <v>288.7325595890956</v>
      </c>
      <c r="I83" s="7" t="n">
        <v>1.5</v>
      </c>
      <c r="J83" s="9" t="n">
        <v>0.021</v>
      </c>
      <c r="K83" s="49" t="inlineStr">
        <is>
          <t>Success</t>
        </is>
      </c>
      <c r="L83" s="7" t="n">
        <v>0.4330988393836434</v>
      </c>
      <c r="M83" s="7" t="n">
        <v>0</v>
      </c>
      <c r="N83" s="7" t="n">
        <v>3.464790715069147</v>
      </c>
    </row>
    <row r="84" ht="18" customHeight="1">
      <c r="A84" s="49" t="inlineStr">
        <is>
          <t>ACE-10083</t>
        </is>
      </c>
      <c r="B84" s="49" t="inlineStr">
        <is>
          <t>2026-05-02 17:35:35</t>
        </is>
      </c>
      <c r="C84" s="49" t="inlineStr">
        <is>
          <t>CUST-71603</t>
        </is>
      </c>
      <c r="D84" s="49" t="inlineStr">
        <is>
          <t>GBP-PKR</t>
        </is>
      </c>
      <c r="E84" s="49" t="inlineStr">
        <is>
          <t>GBP</t>
        </is>
      </c>
      <c r="F84" s="7" t="n">
        <v>322.9763199359698</v>
      </c>
      <c r="G84" s="8" t="n">
        <v>1</v>
      </c>
      <c r="H84" s="7" t="n">
        <v>322.9763199359698</v>
      </c>
      <c r="I84" s="7" t="n">
        <v>1.5</v>
      </c>
      <c r="J84" s="9" t="n">
        <v>0.021</v>
      </c>
      <c r="K84" s="49" t="inlineStr">
        <is>
          <t>Success</t>
        </is>
      </c>
      <c r="L84" s="7" t="n">
        <v>0.4844644799039547</v>
      </c>
      <c r="M84" s="7" t="n">
        <v>0</v>
      </c>
      <c r="N84" s="7" t="n">
        <v>3.875715839231638</v>
      </c>
    </row>
    <row r="85" ht="18" customHeight="1">
      <c r="A85" s="49" t="inlineStr">
        <is>
          <t>ACE-10084</t>
        </is>
      </c>
      <c r="B85" s="49" t="inlineStr">
        <is>
          <t>2026-05-22 20:27:55</t>
        </is>
      </c>
      <c r="C85" s="49" t="inlineStr">
        <is>
          <t>CUST-97255</t>
        </is>
      </c>
      <c r="D85" s="49" t="inlineStr">
        <is>
          <t>USD-PKR</t>
        </is>
      </c>
      <c r="E85" s="49" t="inlineStr">
        <is>
          <t>USD</t>
        </is>
      </c>
      <c r="F85" s="7" t="n">
        <v>207.8466450841332</v>
      </c>
      <c r="G85" s="8" t="n">
        <v>0.8</v>
      </c>
      <c r="H85" s="7" t="n">
        <v>166.2773160673065</v>
      </c>
      <c r="I85" s="7" t="n">
        <v>1.6</v>
      </c>
      <c r="J85" s="9" t="n">
        <v>0.019</v>
      </c>
      <c r="K85" s="49" t="inlineStr">
        <is>
          <t>Success</t>
        </is>
      </c>
      <c r="L85" s="7" t="n">
        <v>0.2494159741009598</v>
      </c>
      <c r="M85" s="7" t="n">
        <v>0</v>
      </c>
      <c r="N85" s="7" t="n">
        <v>1.995327792807678</v>
      </c>
    </row>
    <row r="86" ht="18" customHeight="1">
      <c r="A86" s="49" t="inlineStr">
        <is>
          <t>ACE-10085</t>
        </is>
      </c>
      <c r="B86" s="49" t="inlineStr">
        <is>
          <t>2026-05-10 13:06:36</t>
        </is>
      </c>
      <c r="C86" s="49" t="inlineStr">
        <is>
          <t>CUST-83253</t>
        </is>
      </c>
      <c r="D86" s="49" t="inlineStr">
        <is>
          <t>GBP-PKR</t>
        </is>
      </c>
      <c r="E86" s="49" t="inlineStr">
        <is>
          <t>GBP</t>
        </is>
      </c>
      <c r="F86" s="7" t="n">
        <v>256.9650909731806</v>
      </c>
      <c r="G86" s="8" t="n">
        <v>1</v>
      </c>
      <c r="H86" s="7" t="n">
        <v>256.9650909731806</v>
      </c>
      <c r="I86" s="7" t="n">
        <v>1.5</v>
      </c>
      <c r="J86" s="9" t="n">
        <v>0.021</v>
      </c>
      <c r="K86" s="49" t="inlineStr">
        <is>
          <t>Success</t>
        </is>
      </c>
      <c r="L86" s="7" t="n">
        <v>0.3854476364597709</v>
      </c>
      <c r="M86" s="7" t="n">
        <v>0.7708952729195417</v>
      </c>
      <c r="N86" s="7" t="n">
        <v>3.083581091678167</v>
      </c>
    </row>
    <row r="87" ht="18" customHeight="1">
      <c r="A87" s="49" t="inlineStr">
        <is>
          <t>ACE-10086</t>
        </is>
      </c>
      <c r="B87" s="49" t="inlineStr">
        <is>
          <t>2026-05-08 09:22:54</t>
        </is>
      </c>
      <c r="C87" s="49" t="inlineStr">
        <is>
          <t>CUST-86455</t>
        </is>
      </c>
      <c r="D87" s="49" t="inlineStr">
        <is>
          <t>USD-PKR</t>
        </is>
      </c>
      <c r="E87" s="49" t="inlineStr">
        <is>
          <t>USD</t>
        </is>
      </c>
      <c r="F87" s="7" t="n">
        <v>208.1901494193129</v>
      </c>
      <c r="G87" s="8" t="n">
        <v>0.8</v>
      </c>
      <c r="H87" s="7" t="n">
        <v>166.5521195354503</v>
      </c>
      <c r="I87" s="7" t="n">
        <v>1.6</v>
      </c>
      <c r="J87" s="9" t="n">
        <v>0.019</v>
      </c>
      <c r="K87" s="49" t="inlineStr">
        <is>
          <t>Success</t>
        </is>
      </c>
      <c r="L87" s="7" t="n">
        <v>0.2498281793031754</v>
      </c>
      <c r="M87" s="7" t="n">
        <v>0.4996563586063509</v>
      </c>
      <c r="N87" s="7" t="n">
        <v>1.998625434425404</v>
      </c>
    </row>
    <row r="88" ht="18" customHeight="1">
      <c r="A88" s="49" t="inlineStr">
        <is>
          <t>ACE-10087</t>
        </is>
      </c>
      <c r="B88" s="49" t="inlineStr">
        <is>
          <t>2026-05-19 11:51:27</t>
        </is>
      </c>
      <c r="C88" s="49" t="inlineStr">
        <is>
          <t>CUST-86763</t>
        </is>
      </c>
      <c r="D88" s="49" t="inlineStr">
        <is>
          <t>EUR-PKR</t>
        </is>
      </c>
      <c r="E88" s="49" t="inlineStr">
        <is>
          <t>EUR</t>
        </is>
      </c>
      <c r="F88" s="7" t="n">
        <v>207.1750905760157</v>
      </c>
      <c r="G88" s="8" t="n">
        <v>0.85</v>
      </c>
      <c r="H88" s="7" t="n">
        <v>176.0988269896133</v>
      </c>
      <c r="I88" s="7" t="n">
        <v>1.275</v>
      </c>
      <c r="J88" s="9" t="n">
        <v>0.023</v>
      </c>
      <c r="K88" s="49" t="inlineStr">
        <is>
          <t>Success</t>
        </is>
      </c>
      <c r="L88" s="7" t="n">
        <v>0.26414824048442</v>
      </c>
      <c r="M88" s="7" t="n">
        <v>0.5282964809688401</v>
      </c>
      <c r="N88" s="7" t="n">
        <v>2.6414824048442</v>
      </c>
    </row>
    <row r="89" ht="18" customHeight="1">
      <c r="A89" s="49" t="inlineStr">
        <is>
          <t>ACE-10088</t>
        </is>
      </c>
      <c r="B89" s="49" t="inlineStr">
        <is>
          <t>2026-05-20 18:41:35</t>
        </is>
      </c>
      <c r="C89" s="49" t="inlineStr">
        <is>
          <t>CUST-51720</t>
        </is>
      </c>
      <c r="D89" s="49" t="inlineStr">
        <is>
          <t>GBP-PKR</t>
        </is>
      </c>
      <c r="E89" s="49" t="inlineStr">
        <is>
          <t>GBP</t>
        </is>
      </c>
      <c r="F89" s="7" t="n">
        <v>287.9148319873125</v>
      </c>
      <c r="G89" s="8" t="n">
        <v>1</v>
      </c>
      <c r="H89" s="7" t="n">
        <v>287.9148319873125</v>
      </c>
      <c r="I89" s="7" t="n">
        <v>1.5</v>
      </c>
      <c r="J89" s="9" t="n">
        <v>0.021</v>
      </c>
      <c r="K89" s="49" t="inlineStr">
        <is>
          <t>Success</t>
        </is>
      </c>
      <c r="L89" s="7" t="n">
        <v>0.4318722479809687</v>
      </c>
      <c r="M89" s="7" t="n">
        <v>0.8637444959619375</v>
      </c>
      <c r="N89" s="7" t="n">
        <v>3.45497798384775</v>
      </c>
    </row>
    <row r="90" ht="18" customHeight="1">
      <c r="A90" s="49" t="inlineStr">
        <is>
          <t>ACE-10089</t>
        </is>
      </c>
      <c r="B90" s="49" t="inlineStr">
        <is>
          <t>2026-05-23 12:01:11</t>
        </is>
      </c>
      <c r="C90" s="49" t="inlineStr">
        <is>
          <t>CUST-67909</t>
        </is>
      </c>
      <c r="D90" s="49" t="inlineStr">
        <is>
          <t>GBP-PKR</t>
        </is>
      </c>
      <c r="E90" s="49" t="inlineStr">
        <is>
          <t>GBP</t>
        </is>
      </c>
      <c r="F90" s="7" t="n">
        <v>264.2283213019445</v>
      </c>
      <c r="G90" s="8" t="n">
        <v>1</v>
      </c>
      <c r="H90" s="7" t="n">
        <v>264.2283213019445</v>
      </c>
      <c r="I90" s="7" t="n">
        <v>1.5</v>
      </c>
      <c r="J90" s="9" t="n">
        <v>0.021</v>
      </c>
      <c r="K90" s="49" t="inlineStr">
        <is>
          <t>Success</t>
        </is>
      </c>
      <c r="L90" s="7" t="n">
        <v>0.3963424819529168</v>
      </c>
      <c r="M90" s="7" t="n">
        <v>0</v>
      </c>
      <c r="N90" s="7" t="n">
        <v>3.170739855623334</v>
      </c>
    </row>
    <row r="91" ht="18" customHeight="1">
      <c r="A91" s="49" t="inlineStr">
        <is>
          <t>ACE-10090</t>
        </is>
      </c>
      <c r="B91" s="49" t="inlineStr">
        <is>
          <t>2026-05-11 13:00:11</t>
        </is>
      </c>
      <c r="C91" s="49" t="inlineStr">
        <is>
          <t>CUST-59388</t>
        </is>
      </c>
      <c r="D91" s="49" t="inlineStr">
        <is>
          <t>GBP-PKR</t>
        </is>
      </c>
      <c r="E91" s="49" t="inlineStr">
        <is>
          <t>GBP</t>
        </is>
      </c>
      <c r="F91" s="7" t="n">
        <v>293.2766455966849</v>
      </c>
      <c r="G91" s="8" t="n">
        <v>1</v>
      </c>
      <c r="H91" s="7" t="n">
        <v>293.2766455966849</v>
      </c>
      <c r="I91" s="7" t="n">
        <v>1.5</v>
      </c>
      <c r="J91" s="9" t="n">
        <v>0.021</v>
      </c>
      <c r="K91" s="49" t="inlineStr">
        <is>
          <t>Success</t>
        </is>
      </c>
      <c r="L91" s="7" t="n">
        <v>0.4399149683950274</v>
      </c>
      <c r="M91" s="7" t="n">
        <v>0</v>
      </c>
      <c r="N91" s="7" t="n">
        <v>3.519319747160219</v>
      </c>
    </row>
    <row r="92" ht="18" customHeight="1">
      <c r="A92" s="49" t="inlineStr">
        <is>
          <t>ACE-10091</t>
        </is>
      </c>
      <c r="B92" s="49" t="inlineStr">
        <is>
          <t>2026-05-05 19:40:01</t>
        </is>
      </c>
      <c r="C92" s="49" t="inlineStr">
        <is>
          <t>CUST-56013</t>
        </is>
      </c>
      <c r="D92" s="49" t="inlineStr">
        <is>
          <t>GBP-PKR</t>
        </is>
      </c>
      <c r="E92" s="49" t="inlineStr">
        <is>
          <t>GBP</t>
        </is>
      </c>
      <c r="F92" s="7" t="n">
        <v>281.3212790704906</v>
      </c>
      <c r="G92" s="8" t="n">
        <v>1</v>
      </c>
      <c r="H92" s="7" t="n">
        <v>281.3212790704906</v>
      </c>
      <c r="I92" s="7" t="n">
        <v>1.5</v>
      </c>
      <c r="J92" s="9" t="n">
        <v>0.021</v>
      </c>
      <c r="K92" s="49" t="inlineStr">
        <is>
          <t>Success</t>
        </is>
      </c>
      <c r="L92" s="7" t="n">
        <v>0.4219819186057359</v>
      </c>
      <c r="M92" s="7" t="n">
        <v>0</v>
      </c>
      <c r="N92" s="7" t="n">
        <v>3.375855348845887</v>
      </c>
    </row>
    <row r="93" ht="18" customHeight="1">
      <c r="A93" s="49" t="inlineStr">
        <is>
          <t>ACE-10092</t>
        </is>
      </c>
      <c r="B93" s="49" t="inlineStr">
        <is>
          <t>2026-05-14 15:21:10</t>
        </is>
      </c>
      <c r="C93" s="49" t="inlineStr">
        <is>
          <t>CUST-74251</t>
        </is>
      </c>
      <c r="D93" s="49" t="inlineStr">
        <is>
          <t>GBP-PKR</t>
        </is>
      </c>
      <c r="E93" s="49" t="inlineStr">
        <is>
          <t>GBP</t>
        </is>
      </c>
      <c r="F93" s="7" t="n">
        <v>306.940556628702</v>
      </c>
      <c r="G93" s="8" t="n">
        <v>1</v>
      </c>
      <c r="H93" s="7" t="n">
        <v>306.940556628702</v>
      </c>
      <c r="I93" s="7" t="n">
        <v>1.5</v>
      </c>
      <c r="J93" s="9" t="n">
        <v>0.021</v>
      </c>
      <c r="K93" s="49" t="inlineStr">
        <is>
          <t>Success</t>
        </is>
      </c>
      <c r="L93" s="7" t="n">
        <v>0.4604108349430531</v>
      </c>
      <c r="M93" s="7" t="n">
        <v>0</v>
      </c>
      <c r="N93" s="7" t="n">
        <v>3.683286679544425</v>
      </c>
    </row>
    <row r="94" ht="18" customHeight="1">
      <c r="A94" s="49" t="inlineStr">
        <is>
          <t>ACE-10093</t>
        </is>
      </c>
      <c r="B94" s="49" t="inlineStr">
        <is>
          <t>2026-05-19 17:05:56</t>
        </is>
      </c>
      <c r="C94" s="49" t="inlineStr">
        <is>
          <t>CUST-53447</t>
        </is>
      </c>
      <c r="D94" s="49" t="inlineStr">
        <is>
          <t>GBP-PKR</t>
        </is>
      </c>
      <c r="E94" s="49" t="inlineStr">
        <is>
          <t>GBP</t>
        </is>
      </c>
      <c r="F94" s="7" t="n">
        <v>259.7148488012839</v>
      </c>
      <c r="G94" s="8" t="n">
        <v>1</v>
      </c>
      <c r="H94" s="7" t="n">
        <v>259.7148488012839</v>
      </c>
      <c r="I94" s="7" t="n">
        <v>1.5</v>
      </c>
      <c r="J94" s="9" t="n">
        <v>0.021</v>
      </c>
      <c r="K94" s="49" t="inlineStr">
        <is>
          <t>Success</t>
        </is>
      </c>
      <c r="L94" s="7" t="n">
        <v>0.3895722732019259</v>
      </c>
      <c r="M94" s="7" t="n">
        <v>0.7791445464038519</v>
      </c>
      <c r="N94" s="7" t="n">
        <v>3.116578185615408</v>
      </c>
    </row>
    <row r="95" ht="18" customHeight="1">
      <c r="A95" s="49" t="inlineStr">
        <is>
          <t>ACE-10094</t>
        </is>
      </c>
      <c r="B95" s="49" t="inlineStr">
        <is>
          <t>2026-05-02 18:05:17</t>
        </is>
      </c>
      <c r="C95" s="49" t="inlineStr">
        <is>
          <t>CUST-79039</t>
        </is>
      </c>
      <c r="D95" s="49" t="inlineStr">
        <is>
          <t>GBP-PKR</t>
        </is>
      </c>
      <c r="E95" s="49" t="inlineStr">
        <is>
          <t>GBP</t>
        </is>
      </c>
      <c r="F95" s="7" t="n">
        <v>269.622649904858</v>
      </c>
      <c r="G95" s="8" t="n">
        <v>1</v>
      </c>
      <c r="H95" s="7" t="n">
        <v>269.622649904858</v>
      </c>
      <c r="I95" s="7" t="n">
        <v>1.5</v>
      </c>
      <c r="J95" s="9" t="n">
        <v>0.021</v>
      </c>
      <c r="K95" s="49" t="inlineStr">
        <is>
          <t>Success</t>
        </is>
      </c>
      <c r="L95" s="7" t="n">
        <v>0.404433974857287</v>
      </c>
      <c r="M95" s="7" t="n">
        <v>0</v>
      </c>
      <c r="N95" s="7" t="n">
        <v>3.235471798858296</v>
      </c>
    </row>
    <row r="96" ht="18" customHeight="1">
      <c r="A96" s="49" t="inlineStr">
        <is>
          <t>ACE-10095</t>
        </is>
      </c>
      <c r="B96" s="49" t="inlineStr">
        <is>
          <t>2026-05-15 14:17:13</t>
        </is>
      </c>
      <c r="C96" s="49" t="inlineStr">
        <is>
          <t>CUST-99475</t>
        </is>
      </c>
      <c r="D96" s="49" t="inlineStr">
        <is>
          <t>GBP-PKR</t>
        </is>
      </c>
      <c r="E96" s="49" t="inlineStr">
        <is>
          <t>GBP</t>
        </is>
      </c>
      <c r="F96" s="7" t="n">
        <v>267.8906266927164</v>
      </c>
      <c r="G96" s="8" t="n">
        <v>1</v>
      </c>
      <c r="H96" s="7" t="n">
        <v>267.8906266927164</v>
      </c>
      <c r="I96" s="7" t="n">
        <v>1.5</v>
      </c>
      <c r="J96" s="9" t="n">
        <v>0.021</v>
      </c>
      <c r="K96" s="49" t="inlineStr">
        <is>
          <t>Success</t>
        </is>
      </c>
      <c r="L96" s="7" t="n">
        <v>0.4018359400390746</v>
      </c>
      <c r="M96" s="7" t="n">
        <v>0</v>
      </c>
      <c r="N96" s="7" t="n">
        <v>3.214687520312597</v>
      </c>
    </row>
    <row r="97" ht="18" customHeight="1">
      <c r="A97" s="49" t="inlineStr">
        <is>
          <t>ACE-10096</t>
        </is>
      </c>
      <c r="B97" s="49" t="inlineStr">
        <is>
          <t>2026-05-04 12:43:43</t>
        </is>
      </c>
      <c r="C97" s="49" t="inlineStr">
        <is>
          <t>CUST-88871</t>
        </is>
      </c>
      <c r="D97" s="49" t="inlineStr">
        <is>
          <t>EUR-PKR</t>
        </is>
      </c>
      <c r="E97" s="49" t="inlineStr">
        <is>
          <t>EUR</t>
        </is>
      </c>
      <c r="F97" s="7" t="n">
        <v>163.3136487550162</v>
      </c>
      <c r="G97" s="8" t="n">
        <v>0.85</v>
      </c>
      <c r="H97" s="7" t="n">
        <v>138.8166014417638</v>
      </c>
      <c r="I97" s="7" t="n">
        <v>1.275</v>
      </c>
      <c r="J97" s="9" t="n">
        <v>0.023</v>
      </c>
      <c r="K97" s="49" t="inlineStr">
        <is>
          <t>Success</t>
        </is>
      </c>
      <c r="L97" s="7" t="n">
        <v>0.2082249021626457</v>
      </c>
      <c r="M97" s="7" t="n">
        <v>0.4164498043252913</v>
      </c>
      <c r="N97" s="7" t="n">
        <v>2.082249021626456</v>
      </c>
    </row>
    <row r="98" ht="18" customHeight="1">
      <c r="A98" s="49" t="inlineStr">
        <is>
          <t>ACE-10097</t>
        </is>
      </c>
      <c r="B98" s="49" t="inlineStr">
        <is>
          <t>2026-05-02 11:25:38</t>
        </is>
      </c>
      <c r="C98" s="49" t="inlineStr">
        <is>
          <t>CUST-53590</t>
        </is>
      </c>
      <c r="D98" s="49" t="inlineStr">
        <is>
          <t>GBP-PKR</t>
        </is>
      </c>
      <c r="E98" s="49" t="inlineStr">
        <is>
          <t>GBP</t>
        </is>
      </c>
      <c r="F98" s="7" t="n">
        <v>286.9768730701697</v>
      </c>
      <c r="G98" s="8" t="n">
        <v>1</v>
      </c>
      <c r="H98" s="7" t="n">
        <v>286.9768730701697</v>
      </c>
      <c r="I98" s="7" t="n">
        <v>1.5</v>
      </c>
      <c r="J98" s="9" t="n">
        <v>0.021</v>
      </c>
      <c r="K98" s="49" t="inlineStr">
        <is>
          <t>Failed</t>
        </is>
      </c>
      <c r="L98" s="7" t="n">
        <v>0</v>
      </c>
      <c r="M98" s="7" t="n">
        <v>0</v>
      </c>
      <c r="N98" s="7" t="n">
        <v>0.5</v>
      </c>
    </row>
    <row r="99" ht="18" customHeight="1">
      <c r="A99" s="49" t="inlineStr">
        <is>
          <t>ACE-10098</t>
        </is>
      </c>
      <c r="B99" s="49" t="inlineStr">
        <is>
          <t>2026-05-10 11:49:08</t>
        </is>
      </c>
      <c r="C99" s="49" t="inlineStr">
        <is>
          <t>CUST-66745</t>
        </is>
      </c>
      <c r="D99" s="49" t="inlineStr">
        <is>
          <t>GBP-PKR</t>
        </is>
      </c>
      <c r="E99" s="49" t="inlineStr">
        <is>
          <t>GBP</t>
        </is>
      </c>
      <c r="F99" s="7" t="n">
        <v>285.9723507328653</v>
      </c>
      <c r="G99" s="8" t="n">
        <v>1</v>
      </c>
      <c r="H99" s="7" t="n">
        <v>285.9723507328653</v>
      </c>
      <c r="I99" s="7" t="n">
        <v>1.5</v>
      </c>
      <c r="J99" s="9" t="n">
        <v>0.021</v>
      </c>
      <c r="K99" s="49" t="inlineStr">
        <is>
          <t>Success</t>
        </is>
      </c>
      <c r="L99" s="7" t="n">
        <v>0.428958526099298</v>
      </c>
      <c r="M99" s="7" t="n">
        <v>0</v>
      </c>
      <c r="N99" s="7" t="n">
        <v>3.431668208794384</v>
      </c>
    </row>
    <row r="100" ht="18" customHeight="1">
      <c r="A100" s="49" t="inlineStr">
        <is>
          <t>ACE-10099</t>
        </is>
      </c>
      <c r="B100" s="49" t="inlineStr">
        <is>
          <t>2026-05-16 19:27:11</t>
        </is>
      </c>
      <c r="C100" s="49" t="inlineStr">
        <is>
          <t>CUST-58466</t>
        </is>
      </c>
      <c r="D100" s="49" t="inlineStr">
        <is>
          <t>GBP-PKR</t>
        </is>
      </c>
      <c r="E100" s="49" t="inlineStr">
        <is>
          <t>GBP</t>
        </is>
      </c>
      <c r="F100" s="7" t="n">
        <v>278.7459932927889</v>
      </c>
      <c r="G100" s="8" t="n">
        <v>1</v>
      </c>
      <c r="H100" s="7" t="n">
        <v>278.7459932927889</v>
      </c>
      <c r="I100" s="7" t="n">
        <v>1.5</v>
      </c>
      <c r="J100" s="9" t="n">
        <v>0.021</v>
      </c>
      <c r="K100" s="49" t="inlineStr">
        <is>
          <t>Success</t>
        </is>
      </c>
      <c r="L100" s="7" t="n">
        <v>0.4181189899391834</v>
      </c>
      <c r="M100" s="7" t="n">
        <v>0.8362379798783668</v>
      </c>
      <c r="N100" s="7" t="n">
        <v>3.344951919513467</v>
      </c>
    </row>
    <row r="101" ht="18" customHeight="1">
      <c r="A101" s="49" t="inlineStr">
        <is>
          <t>ACE-10100</t>
        </is>
      </c>
      <c r="B101" s="49" t="inlineStr">
        <is>
          <t>2026-05-17 16:53:42</t>
        </is>
      </c>
      <c r="C101" s="49" t="inlineStr">
        <is>
          <t>CUST-73210</t>
        </is>
      </c>
      <c r="D101" s="49" t="inlineStr">
        <is>
          <t>USD-PKR</t>
        </is>
      </c>
      <c r="E101" s="49" t="inlineStr">
        <is>
          <t>USD</t>
        </is>
      </c>
      <c r="F101" s="7" t="n">
        <v>213.827332746826</v>
      </c>
      <c r="G101" s="8" t="n">
        <v>0.8</v>
      </c>
      <c r="H101" s="7" t="n">
        <v>171.0618661974609</v>
      </c>
      <c r="I101" s="7" t="n">
        <v>1.6</v>
      </c>
      <c r="J101" s="9" t="n">
        <v>0.019</v>
      </c>
      <c r="K101" s="49" t="inlineStr">
        <is>
          <t>Success</t>
        </is>
      </c>
      <c r="L101" s="7" t="n">
        <v>0.2565927992961913</v>
      </c>
      <c r="M101" s="7" t="n">
        <v>0.5131855985923826</v>
      </c>
      <c r="N101" s="7" t="n">
        <v>2.05274239436953</v>
      </c>
    </row>
    <row r="102" ht="18" customHeight="1">
      <c r="A102" s="49" t="inlineStr">
        <is>
          <t>ACE-10101</t>
        </is>
      </c>
      <c r="B102" s="49" t="inlineStr">
        <is>
          <t>2026-05-02 14:01:29</t>
        </is>
      </c>
      <c r="C102" s="49" t="inlineStr">
        <is>
          <t>CUST-55102</t>
        </is>
      </c>
      <c r="D102" s="49" t="inlineStr">
        <is>
          <t>GBP-PKR</t>
        </is>
      </c>
      <c r="E102" s="49" t="inlineStr">
        <is>
          <t>GBP</t>
        </is>
      </c>
      <c r="F102" s="7" t="n">
        <v>241.8342390753656</v>
      </c>
      <c r="G102" s="8" t="n">
        <v>1</v>
      </c>
      <c r="H102" s="7" t="n">
        <v>241.8342390753656</v>
      </c>
      <c r="I102" s="7" t="n">
        <v>1.5</v>
      </c>
      <c r="J102" s="9" t="n">
        <v>0.021</v>
      </c>
      <c r="K102" s="49" t="inlineStr">
        <is>
          <t>Success</t>
        </is>
      </c>
      <c r="L102" s="7" t="n">
        <v>0.3627513586130484</v>
      </c>
      <c r="M102" s="7" t="n">
        <v>0</v>
      </c>
      <c r="N102" s="7" t="n">
        <v>2.902010868904387</v>
      </c>
    </row>
    <row r="103" ht="18" customHeight="1">
      <c r="A103" s="49" t="inlineStr">
        <is>
          <t>ACE-10102</t>
        </is>
      </c>
      <c r="B103" s="49" t="inlineStr">
        <is>
          <t>2026-05-19 14:45:40</t>
        </is>
      </c>
      <c r="C103" s="49" t="inlineStr">
        <is>
          <t>CUST-77373</t>
        </is>
      </c>
      <c r="D103" s="49" t="inlineStr">
        <is>
          <t>GBP-PKR</t>
        </is>
      </c>
      <c r="E103" s="49" t="inlineStr">
        <is>
          <t>GBP</t>
        </is>
      </c>
      <c r="F103" s="7" t="n">
        <v>267.1272324406435</v>
      </c>
      <c r="G103" s="8" t="n">
        <v>1</v>
      </c>
      <c r="H103" s="7" t="n">
        <v>267.1272324406435</v>
      </c>
      <c r="I103" s="7" t="n">
        <v>1.5</v>
      </c>
      <c r="J103" s="9" t="n">
        <v>0.021</v>
      </c>
      <c r="K103" s="49" t="inlineStr">
        <is>
          <t>Success</t>
        </is>
      </c>
      <c r="L103" s="7" t="n">
        <v>0.4006908486609653</v>
      </c>
      <c r="M103" s="7" t="n">
        <v>0</v>
      </c>
      <c r="N103" s="7" t="n">
        <v>3.205526789287722</v>
      </c>
    </row>
    <row r="104" ht="18" customHeight="1">
      <c r="A104" s="49" t="inlineStr">
        <is>
          <t>ACE-10103</t>
        </is>
      </c>
      <c r="B104" s="49" t="inlineStr">
        <is>
          <t>2026-05-11 10:51:39</t>
        </is>
      </c>
      <c r="C104" s="49" t="inlineStr">
        <is>
          <t>CUST-80152</t>
        </is>
      </c>
      <c r="D104" s="49" t="inlineStr">
        <is>
          <t>EUR-PKR</t>
        </is>
      </c>
      <c r="E104" s="49" t="inlineStr">
        <is>
          <t>EUR</t>
        </is>
      </c>
      <c r="F104" s="7" t="n">
        <v>182.6830383939215</v>
      </c>
      <c r="G104" s="8" t="n">
        <v>0.85</v>
      </c>
      <c r="H104" s="7" t="n">
        <v>155.2805826348333</v>
      </c>
      <c r="I104" s="7" t="n">
        <v>1.275</v>
      </c>
      <c r="J104" s="9" t="n">
        <v>0.023</v>
      </c>
      <c r="K104" s="49" t="inlineStr">
        <is>
          <t>Success</t>
        </is>
      </c>
      <c r="L104" s="7" t="n">
        <v>0.2329208739522499</v>
      </c>
      <c r="M104" s="7" t="n">
        <v>0.4658417479044998</v>
      </c>
      <c r="N104" s="7" t="n">
        <v>2.329208739522499</v>
      </c>
    </row>
    <row r="105" ht="18" customHeight="1">
      <c r="A105" s="49" t="inlineStr">
        <is>
          <t>ACE-10104</t>
        </is>
      </c>
      <c r="B105" s="49" t="inlineStr">
        <is>
          <t>2026-05-03 14:54:06</t>
        </is>
      </c>
      <c r="C105" s="49" t="inlineStr">
        <is>
          <t>CUST-65945</t>
        </is>
      </c>
      <c r="D105" s="49" t="inlineStr">
        <is>
          <t>EUR-PKR</t>
        </is>
      </c>
      <c r="E105" s="49" t="inlineStr">
        <is>
          <t>EUR</t>
        </is>
      </c>
      <c r="F105" s="7" t="n">
        <v>174.4775962657847</v>
      </c>
      <c r="G105" s="8" t="n">
        <v>0.85</v>
      </c>
      <c r="H105" s="7" t="n">
        <v>148.305956825917</v>
      </c>
      <c r="I105" s="7" t="n">
        <v>1.275</v>
      </c>
      <c r="J105" s="9" t="n">
        <v>0.023</v>
      </c>
      <c r="K105" s="49" t="inlineStr">
        <is>
          <t>Success</t>
        </is>
      </c>
      <c r="L105" s="7" t="n">
        <v>0.2224589352388755</v>
      </c>
      <c r="M105" s="7" t="n">
        <v>0</v>
      </c>
      <c r="N105" s="7" t="n">
        <v>2.224589352388755</v>
      </c>
    </row>
    <row r="106" ht="18" customHeight="1">
      <c r="A106" s="49" t="inlineStr">
        <is>
          <t>ACE-10105</t>
        </is>
      </c>
      <c r="B106" s="49" t="inlineStr">
        <is>
          <t>2026-05-03 14:55:19</t>
        </is>
      </c>
      <c r="C106" s="49" t="inlineStr">
        <is>
          <t>CUST-98877</t>
        </is>
      </c>
      <c r="D106" s="49" t="inlineStr">
        <is>
          <t>GBP-PKR</t>
        </is>
      </c>
      <c r="E106" s="49" t="inlineStr">
        <is>
          <t>GBP</t>
        </is>
      </c>
      <c r="F106" s="7" t="n">
        <v>274.1460605346376</v>
      </c>
      <c r="G106" s="8" t="n">
        <v>1</v>
      </c>
      <c r="H106" s="7" t="n">
        <v>274.1460605346376</v>
      </c>
      <c r="I106" s="7" t="n">
        <v>1.5</v>
      </c>
      <c r="J106" s="9" t="n">
        <v>0.021</v>
      </c>
      <c r="K106" s="49" t="inlineStr">
        <is>
          <t>Success</t>
        </is>
      </c>
      <c r="L106" s="7" t="n">
        <v>0.4112190908019563</v>
      </c>
      <c r="M106" s="7" t="n">
        <v>0</v>
      </c>
      <c r="N106" s="7" t="n">
        <v>3.289752726415651</v>
      </c>
    </row>
    <row r="107" ht="18" customHeight="1">
      <c r="A107" s="49" t="inlineStr">
        <is>
          <t>ACE-10106</t>
        </is>
      </c>
      <c r="B107" s="49" t="inlineStr">
        <is>
          <t>2026-05-06 09:32:40</t>
        </is>
      </c>
      <c r="C107" s="49" t="inlineStr">
        <is>
          <t>CUST-57472</t>
        </is>
      </c>
      <c r="D107" s="49" t="inlineStr">
        <is>
          <t>EUR-PKR</t>
        </is>
      </c>
      <c r="E107" s="49" t="inlineStr">
        <is>
          <t>EUR</t>
        </is>
      </c>
      <c r="F107" s="7" t="n">
        <v>196.8474686142906</v>
      </c>
      <c r="G107" s="8" t="n">
        <v>0.85</v>
      </c>
      <c r="H107" s="7" t="n">
        <v>167.320348322147</v>
      </c>
      <c r="I107" s="7" t="n">
        <v>1.275</v>
      </c>
      <c r="J107" s="9" t="n">
        <v>0.023</v>
      </c>
      <c r="K107" s="49" t="inlineStr">
        <is>
          <t>Success</t>
        </is>
      </c>
      <c r="L107" s="7" t="n">
        <v>0.2509805224832204</v>
      </c>
      <c r="M107" s="7" t="n">
        <v>0</v>
      </c>
      <c r="N107" s="7" t="n">
        <v>2.509805224832204</v>
      </c>
    </row>
    <row r="108" ht="18" customHeight="1">
      <c r="A108" s="49" t="inlineStr">
        <is>
          <t>ACE-10107</t>
        </is>
      </c>
      <c r="B108" s="49" t="inlineStr">
        <is>
          <t>2026-05-12 13:46:52</t>
        </is>
      </c>
      <c r="C108" s="49" t="inlineStr">
        <is>
          <t>CUST-92299</t>
        </is>
      </c>
      <c r="D108" s="49" t="inlineStr">
        <is>
          <t>EUR-PKR</t>
        </is>
      </c>
      <c r="E108" s="49" t="inlineStr">
        <is>
          <t>EUR</t>
        </is>
      </c>
      <c r="F108" s="7" t="n">
        <v>228.2959154632026</v>
      </c>
      <c r="G108" s="8" t="n">
        <v>0.85</v>
      </c>
      <c r="H108" s="7" t="n">
        <v>194.0515281437222</v>
      </c>
      <c r="I108" s="7" t="n">
        <v>1.275</v>
      </c>
      <c r="J108" s="9" t="n">
        <v>0.023</v>
      </c>
      <c r="K108" s="49" t="inlineStr">
        <is>
          <t>Success</t>
        </is>
      </c>
      <c r="L108" s="7" t="n">
        <v>0.2910772922155834</v>
      </c>
      <c r="M108" s="7" t="n">
        <v>0</v>
      </c>
      <c r="N108" s="7" t="n">
        <v>2.910772922155834</v>
      </c>
    </row>
    <row r="109" ht="18" customHeight="1">
      <c r="A109" s="49" t="inlineStr">
        <is>
          <t>ACE-10108</t>
        </is>
      </c>
      <c r="B109" s="49" t="inlineStr">
        <is>
          <t>2026-05-05 12:12:11</t>
        </is>
      </c>
      <c r="C109" s="49" t="inlineStr">
        <is>
          <t>CUST-89478</t>
        </is>
      </c>
      <c r="D109" s="49" t="inlineStr">
        <is>
          <t>USD-PKR</t>
        </is>
      </c>
      <c r="E109" s="49" t="inlineStr">
        <is>
          <t>USD</t>
        </is>
      </c>
      <c r="F109" s="7" t="n">
        <v>222.7578545896314</v>
      </c>
      <c r="G109" s="8" t="n">
        <v>0.8</v>
      </c>
      <c r="H109" s="7" t="n">
        <v>178.2062836717052</v>
      </c>
      <c r="I109" s="7" t="n">
        <v>1.6</v>
      </c>
      <c r="J109" s="9" t="n">
        <v>0.019</v>
      </c>
      <c r="K109" s="49" t="inlineStr">
        <is>
          <t>Success</t>
        </is>
      </c>
      <c r="L109" s="7" t="n">
        <v>0.2673094255075578</v>
      </c>
      <c r="M109" s="7" t="n">
        <v>0.5346188510151155</v>
      </c>
      <c r="N109" s="7" t="n">
        <v>2.138475404060462</v>
      </c>
    </row>
    <row r="110" ht="18" customHeight="1">
      <c r="A110" s="49" t="inlineStr">
        <is>
          <t>ACE-10109</t>
        </is>
      </c>
      <c r="B110" s="49" t="inlineStr">
        <is>
          <t>2026-05-03 10:49:40</t>
        </is>
      </c>
      <c r="C110" s="49" t="inlineStr">
        <is>
          <t>CUST-82382</t>
        </is>
      </c>
      <c r="D110" s="49" t="inlineStr">
        <is>
          <t>GBP-PKR</t>
        </is>
      </c>
      <c r="E110" s="49" t="inlineStr">
        <is>
          <t>GBP</t>
        </is>
      </c>
      <c r="F110" s="7" t="n">
        <v>285.8721383765793</v>
      </c>
      <c r="G110" s="8" t="n">
        <v>1</v>
      </c>
      <c r="H110" s="7" t="n">
        <v>285.8721383765793</v>
      </c>
      <c r="I110" s="7" t="n">
        <v>1.5</v>
      </c>
      <c r="J110" s="9" t="n">
        <v>0.021</v>
      </c>
      <c r="K110" s="49" t="inlineStr">
        <is>
          <t>Success</t>
        </is>
      </c>
      <c r="L110" s="7" t="n">
        <v>0.428808207564869</v>
      </c>
      <c r="M110" s="7" t="n">
        <v>0</v>
      </c>
      <c r="N110" s="7" t="n">
        <v>3.430465660518952</v>
      </c>
    </row>
    <row r="111" ht="18" customHeight="1">
      <c r="A111" s="49" t="inlineStr">
        <is>
          <t>ACE-10110</t>
        </is>
      </c>
      <c r="B111" s="49" t="inlineStr">
        <is>
          <t>2026-05-19 15:43:59</t>
        </is>
      </c>
      <c r="C111" s="49" t="inlineStr">
        <is>
          <t>CUST-86994</t>
        </is>
      </c>
      <c r="D111" s="49" t="inlineStr">
        <is>
          <t>GBP-PKR</t>
        </is>
      </c>
      <c r="E111" s="49" t="inlineStr">
        <is>
          <t>GBP</t>
        </is>
      </c>
      <c r="F111" s="7" t="n">
        <v>276.5371061988587</v>
      </c>
      <c r="G111" s="8" t="n">
        <v>1</v>
      </c>
      <c r="H111" s="7" t="n">
        <v>276.5371061988587</v>
      </c>
      <c r="I111" s="7" t="n">
        <v>1.5</v>
      </c>
      <c r="J111" s="9" t="n">
        <v>0.021</v>
      </c>
      <c r="K111" s="49" t="inlineStr">
        <is>
          <t>Success</t>
        </is>
      </c>
      <c r="L111" s="7" t="n">
        <v>0.4148056592982881</v>
      </c>
      <c r="M111" s="7" t="n">
        <v>0.8296113185965761</v>
      </c>
      <c r="N111" s="7" t="n">
        <v>3.318445274386304</v>
      </c>
    </row>
    <row r="112" ht="18" customHeight="1">
      <c r="A112" s="49" t="inlineStr">
        <is>
          <t>ACE-10111</t>
        </is>
      </c>
      <c r="B112" s="49" t="inlineStr">
        <is>
          <t>2026-05-11 18:20:09</t>
        </is>
      </c>
      <c r="C112" s="49" t="inlineStr">
        <is>
          <t>CUST-78820</t>
        </is>
      </c>
      <c r="D112" s="49" t="inlineStr">
        <is>
          <t>USD-PKR</t>
        </is>
      </c>
      <c r="E112" s="49" t="inlineStr">
        <is>
          <t>USD</t>
        </is>
      </c>
      <c r="F112" s="7" t="n">
        <v>180.684140155468</v>
      </c>
      <c r="G112" s="8" t="n">
        <v>0.8</v>
      </c>
      <c r="H112" s="7" t="n">
        <v>144.5473121243744</v>
      </c>
      <c r="I112" s="7" t="n">
        <v>1.6</v>
      </c>
      <c r="J112" s="9" t="n">
        <v>0.019</v>
      </c>
      <c r="K112" s="49" t="inlineStr">
        <is>
          <t>Success</t>
        </is>
      </c>
      <c r="L112" s="7" t="n">
        <v>0.2168209681865616</v>
      </c>
      <c r="M112" s="7" t="n">
        <v>0</v>
      </c>
      <c r="N112" s="7" t="n">
        <v>1.734567745492493</v>
      </c>
    </row>
    <row r="113" ht="18" customHeight="1">
      <c r="A113" s="49" t="inlineStr">
        <is>
          <t>ACE-10112</t>
        </is>
      </c>
      <c r="B113" s="49" t="inlineStr">
        <is>
          <t>2026-05-10 20:17:37</t>
        </is>
      </c>
      <c r="C113" s="49" t="inlineStr">
        <is>
          <t>CUST-53681</t>
        </is>
      </c>
      <c r="D113" s="49" t="inlineStr">
        <is>
          <t>GBP-PKR</t>
        </is>
      </c>
      <c r="E113" s="49" t="inlineStr">
        <is>
          <t>GBP</t>
        </is>
      </c>
      <c r="F113" s="7" t="n">
        <v>277.8657867458346</v>
      </c>
      <c r="G113" s="8" t="n">
        <v>1</v>
      </c>
      <c r="H113" s="7" t="n">
        <v>277.8657867458346</v>
      </c>
      <c r="I113" s="7" t="n">
        <v>1.5</v>
      </c>
      <c r="J113" s="9" t="n">
        <v>0.021</v>
      </c>
      <c r="K113" s="49" t="inlineStr">
        <is>
          <t>Success</t>
        </is>
      </c>
      <c r="L113" s="7" t="n">
        <v>0.4167986801187518</v>
      </c>
      <c r="M113" s="7" t="n">
        <v>0</v>
      </c>
      <c r="N113" s="7" t="n">
        <v>3.334389440950015</v>
      </c>
    </row>
    <row r="114" ht="18" customHeight="1">
      <c r="A114" s="49" t="inlineStr">
        <is>
          <t>ACE-10113</t>
        </is>
      </c>
      <c r="B114" s="49" t="inlineStr">
        <is>
          <t>2026-05-15 15:02:03</t>
        </is>
      </c>
      <c r="C114" s="49" t="inlineStr">
        <is>
          <t>CUST-74165</t>
        </is>
      </c>
      <c r="D114" s="49" t="inlineStr">
        <is>
          <t>GBP-PKR</t>
        </is>
      </c>
      <c r="E114" s="49" t="inlineStr">
        <is>
          <t>GBP</t>
        </is>
      </c>
      <c r="F114" s="7" t="n">
        <v>280.2865924483993</v>
      </c>
      <c r="G114" s="8" t="n">
        <v>1</v>
      </c>
      <c r="H114" s="7" t="n">
        <v>280.2865924483993</v>
      </c>
      <c r="I114" s="7" t="n">
        <v>1.5</v>
      </c>
      <c r="J114" s="9" t="n">
        <v>0.021</v>
      </c>
      <c r="K114" s="49" t="inlineStr">
        <is>
          <t>Success</t>
        </is>
      </c>
      <c r="L114" s="7" t="n">
        <v>0.420429888672599</v>
      </c>
      <c r="M114" s="7" t="n">
        <v>0</v>
      </c>
      <c r="N114" s="7" t="n">
        <v>3.363439109380792</v>
      </c>
    </row>
    <row r="115" ht="18" customHeight="1">
      <c r="A115" s="49" t="inlineStr">
        <is>
          <t>ACE-10114</t>
        </is>
      </c>
      <c r="B115" s="49" t="inlineStr">
        <is>
          <t>2026-05-03 17:38:32</t>
        </is>
      </c>
      <c r="C115" s="49" t="inlineStr">
        <is>
          <t>CUST-75197</t>
        </is>
      </c>
      <c r="D115" s="49" t="inlineStr">
        <is>
          <t>GBP-PKR</t>
        </is>
      </c>
      <c r="E115" s="49" t="inlineStr">
        <is>
          <t>GBP</t>
        </is>
      </c>
      <c r="F115" s="7" t="n">
        <v>356.4214269919247</v>
      </c>
      <c r="G115" s="8" t="n">
        <v>1</v>
      </c>
      <c r="H115" s="7" t="n">
        <v>356.4214269919247</v>
      </c>
      <c r="I115" s="7" t="n">
        <v>1.5</v>
      </c>
      <c r="J115" s="9" t="n">
        <v>0.021</v>
      </c>
      <c r="K115" s="49" t="inlineStr">
        <is>
          <t>Success</t>
        </is>
      </c>
      <c r="L115" s="7" t="n">
        <v>0.5346321404878871</v>
      </c>
      <c r="M115" s="7" t="n">
        <v>0</v>
      </c>
      <c r="N115" s="7" t="n">
        <v>4.277057123903097</v>
      </c>
    </row>
    <row r="116" ht="18" customHeight="1">
      <c r="A116" s="49" t="inlineStr">
        <is>
          <t>ACE-10115</t>
        </is>
      </c>
      <c r="B116" s="49" t="inlineStr">
        <is>
          <t>2026-05-24 08:28:58</t>
        </is>
      </c>
      <c r="C116" s="49" t="inlineStr">
        <is>
          <t>CUST-87464</t>
        </is>
      </c>
      <c r="D116" s="49" t="inlineStr">
        <is>
          <t>GBP-PKR</t>
        </is>
      </c>
      <c r="E116" s="49" t="inlineStr">
        <is>
          <t>GBP</t>
        </is>
      </c>
      <c r="F116" s="7" t="n">
        <v>273.2954670174122</v>
      </c>
      <c r="G116" s="8" t="n">
        <v>1</v>
      </c>
      <c r="H116" s="7" t="n">
        <v>273.2954670174122</v>
      </c>
      <c r="I116" s="7" t="n">
        <v>1.5</v>
      </c>
      <c r="J116" s="9" t="n">
        <v>0.021</v>
      </c>
      <c r="K116" s="49" t="inlineStr">
        <is>
          <t>Success</t>
        </is>
      </c>
      <c r="L116" s="7" t="n">
        <v>0.4099432005261184</v>
      </c>
      <c r="M116" s="7" t="n">
        <v>0</v>
      </c>
      <c r="N116" s="7" t="n">
        <v>3.279545604208947</v>
      </c>
    </row>
    <row r="117" ht="18" customHeight="1">
      <c r="A117" s="49" t="inlineStr">
        <is>
          <t>ACE-10116</t>
        </is>
      </c>
      <c r="B117" s="49" t="inlineStr">
        <is>
          <t>2026-05-16 16:09:03</t>
        </is>
      </c>
      <c r="C117" s="49" t="inlineStr">
        <is>
          <t>CUST-79525</t>
        </is>
      </c>
      <c r="D117" s="49" t="inlineStr">
        <is>
          <t>USD-PKR</t>
        </is>
      </c>
      <c r="E117" s="49" t="inlineStr">
        <is>
          <t>USD</t>
        </is>
      </c>
      <c r="F117" s="7" t="n">
        <v>225.6042325126895</v>
      </c>
      <c r="G117" s="8" t="n">
        <v>0.8</v>
      </c>
      <c r="H117" s="7" t="n">
        <v>180.4833860101516</v>
      </c>
      <c r="I117" s="7" t="n">
        <v>1.6</v>
      </c>
      <c r="J117" s="9" t="n">
        <v>0.019</v>
      </c>
      <c r="K117" s="49" t="inlineStr">
        <is>
          <t>Success</t>
        </is>
      </c>
      <c r="L117" s="7" t="n">
        <v>0.2707250790152274</v>
      </c>
      <c r="M117" s="7" t="n">
        <v>0.5414501580304547</v>
      </c>
      <c r="N117" s="7" t="n">
        <v>2.165800632121819</v>
      </c>
    </row>
    <row r="118" ht="18" customHeight="1">
      <c r="A118" s="49" t="inlineStr">
        <is>
          <t>ACE-10117</t>
        </is>
      </c>
      <c r="B118" s="49" t="inlineStr">
        <is>
          <t>2026-05-11 19:05:32</t>
        </is>
      </c>
      <c r="C118" s="49" t="inlineStr">
        <is>
          <t>CUST-92344</t>
        </is>
      </c>
      <c r="D118" s="49" t="inlineStr">
        <is>
          <t>GBP-PKR</t>
        </is>
      </c>
      <c r="E118" s="49" t="inlineStr">
        <is>
          <t>GBP</t>
        </is>
      </c>
      <c r="F118" s="7" t="n">
        <v>277.6380886571183</v>
      </c>
      <c r="G118" s="8" t="n">
        <v>1</v>
      </c>
      <c r="H118" s="7" t="n">
        <v>277.6380886571183</v>
      </c>
      <c r="I118" s="7" t="n">
        <v>1.5</v>
      </c>
      <c r="J118" s="9" t="n">
        <v>0.021</v>
      </c>
      <c r="K118" s="49" t="inlineStr">
        <is>
          <t>Success</t>
        </is>
      </c>
      <c r="L118" s="7" t="n">
        <v>0.4164571329856774</v>
      </c>
      <c r="M118" s="7" t="n">
        <v>0</v>
      </c>
      <c r="N118" s="7" t="n">
        <v>3.331657063885419</v>
      </c>
    </row>
    <row r="119" ht="18" customHeight="1">
      <c r="A119" s="49" t="inlineStr">
        <is>
          <t>ACE-10118</t>
        </is>
      </c>
      <c r="B119" s="49" t="inlineStr">
        <is>
          <t>2026-05-15 15:33:33</t>
        </is>
      </c>
      <c r="C119" s="49" t="inlineStr">
        <is>
          <t>CUST-89964</t>
        </is>
      </c>
      <c r="D119" s="49" t="inlineStr">
        <is>
          <t>GBP-PKR</t>
        </is>
      </c>
      <c r="E119" s="49" t="inlineStr">
        <is>
          <t>GBP</t>
        </is>
      </c>
      <c r="F119" s="7" t="n">
        <v>247.8743090660915</v>
      </c>
      <c r="G119" s="8" t="n">
        <v>1</v>
      </c>
      <c r="H119" s="7" t="n">
        <v>247.8743090660915</v>
      </c>
      <c r="I119" s="7" t="n">
        <v>1.5</v>
      </c>
      <c r="J119" s="9" t="n">
        <v>0.021</v>
      </c>
      <c r="K119" s="49" t="inlineStr">
        <is>
          <t>Success</t>
        </is>
      </c>
      <c r="L119" s="7" t="n">
        <v>0.3718114635991372</v>
      </c>
      <c r="M119" s="7" t="n">
        <v>0</v>
      </c>
      <c r="N119" s="7" t="n">
        <v>2.974491708793098</v>
      </c>
    </row>
    <row r="120" ht="18" customHeight="1">
      <c r="A120" s="49" t="inlineStr">
        <is>
          <t>ACE-10119</t>
        </is>
      </c>
      <c r="B120" s="49" t="inlineStr">
        <is>
          <t>2026-05-10 14:26:49</t>
        </is>
      </c>
      <c r="C120" s="49" t="inlineStr">
        <is>
          <t>CUST-72175</t>
        </is>
      </c>
      <c r="D120" s="49" t="inlineStr">
        <is>
          <t>GBP-PKR</t>
        </is>
      </c>
      <c r="E120" s="49" t="inlineStr">
        <is>
          <t>GBP</t>
        </is>
      </c>
      <c r="F120" s="7" t="n">
        <v>312.3336116382112</v>
      </c>
      <c r="G120" s="8" t="n">
        <v>1</v>
      </c>
      <c r="H120" s="7" t="n">
        <v>312.3336116382112</v>
      </c>
      <c r="I120" s="7" t="n">
        <v>1.5</v>
      </c>
      <c r="J120" s="9" t="n">
        <v>0.021</v>
      </c>
      <c r="K120" s="49" t="inlineStr">
        <is>
          <t>Success</t>
        </is>
      </c>
      <c r="L120" s="7" t="n">
        <v>0.4685004174573167</v>
      </c>
      <c r="M120" s="7" t="n">
        <v>0</v>
      </c>
      <c r="N120" s="7" t="n">
        <v>3.748003339658534</v>
      </c>
    </row>
    <row r="121" ht="18" customHeight="1">
      <c r="A121" s="49" t="inlineStr">
        <is>
          <t>ACE-10120</t>
        </is>
      </c>
      <c r="B121" s="49" t="inlineStr">
        <is>
          <t>2026-05-21 18:21:04</t>
        </is>
      </c>
      <c r="C121" s="49" t="inlineStr">
        <is>
          <t>CUST-71606</t>
        </is>
      </c>
      <c r="D121" s="49" t="inlineStr">
        <is>
          <t>GBP-PKR</t>
        </is>
      </c>
      <c r="E121" s="49" t="inlineStr">
        <is>
          <t>GBP</t>
        </is>
      </c>
      <c r="F121" s="7" t="n">
        <v>300.3603457765063</v>
      </c>
      <c r="G121" s="8" t="n">
        <v>1</v>
      </c>
      <c r="H121" s="7" t="n">
        <v>300.3603457765063</v>
      </c>
      <c r="I121" s="7" t="n">
        <v>1.5</v>
      </c>
      <c r="J121" s="9" t="n">
        <v>0.021</v>
      </c>
      <c r="K121" s="49" t="inlineStr">
        <is>
          <t>Success</t>
        </is>
      </c>
      <c r="L121" s="7" t="n">
        <v>0.4505405186647595</v>
      </c>
      <c r="M121" s="7" t="n">
        <v>0.9010810373295191</v>
      </c>
      <c r="N121" s="7" t="n">
        <v>3.604324149318076</v>
      </c>
    </row>
    <row r="122" ht="18" customHeight="1">
      <c r="A122" s="49" t="inlineStr">
        <is>
          <t>ACE-10121</t>
        </is>
      </c>
      <c r="B122" s="49" t="inlineStr">
        <is>
          <t>2026-05-10 12:46:54</t>
        </is>
      </c>
      <c r="C122" s="49" t="inlineStr">
        <is>
          <t>CUST-93028</t>
        </is>
      </c>
      <c r="D122" s="49" t="inlineStr">
        <is>
          <t>GBP-PKR</t>
        </is>
      </c>
      <c r="E122" s="49" t="inlineStr">
        <is>
          <t>GBP</t>
        </is>
      </c>
      <c r="F122" s="7" t="n">
        <v>301.5370209571554</v>
      </c>
      <c r="G122" s="8" t="n">
        <v>1</v>
      </c>
      <c r="H122" s="7" t="n">
        <v>301.5370209571554</v>
      </c>
      <c r="I122" s="7" t="n">
        <v>1.5</v>
      </c>
      <c r="J122" s="9" t="n">
        <v>0.021</v>
      </c>
      <c r="K122" s="49" t="inlineStr">
        <is>
          <t>Success</t>
        </is>
      </c>
      <c r="L122" s="7" t="n">
        <v>0.4523055314357331</v>
      </c>
      <c r="M122" s="7" t="n">
        <v>0.9046110628714662</v>
      </c>
      <c r="N122" s="7" t="n">
        <v>3.618444251485865</v>
      </c>
    </row>
    <row r="123" ht="18" customHeight="1">
      <c r="A123" s="49" t="inlineStr">
        <is>
          <t>ACE-10122</t>
        </is>
      </c>
      <c r="B123" s="49" t="inlineStr">
        <is>
          <t>2026-05-05 13:05:37</t>
        </is>
      </c>
      <c r="C123" s="49" t="inlineStr">
        <is>
          <t>CUST-93490</t>
        </is>
      </c>
      <c r="D123" s="49" t="inlineStr">
        <is>
          <t>GBP-PKR</t>
        </is>
      </c>
      <c r="E123" s="49" t="inlineStr">
        <is>
          <t>GBP</t>
        </is>
      </c>
      <c r="F123" s="7" t="n">
        <v>254.3855062842216</v>
      </c>
      <c r="G123" s="8" t="n">
        <v>1</v>
      </c>
      <c r="H123" s="7" t="n">
        <v>254.3855062842216</v>
      </c>
      <c r="I123" s="7" t="n">
        <v>1.5</v>
      </c>
      <c r="J123" s="9" t="n">
        <v>0.021</v>
      </c>
      <c r="K123" s="49" t="inlineStr">
        <is>
          <t>Success</t>
        </is>
      </c>
      <c r="L123" s="7" t="n">
        <v>0.3815782594263324</v>
      </c>
      <c r="M123" s="7" t="n">
        <v>0</v>
      </c>
      <c r="N123" s="7" t="n">
        <v>3.052626075410659</v>
      </c>
    </row>
    <row r="124" ht="18" customHeight="1">
      <c r="A124" s="49" t="inlineStr">
        <is>
          <t>ACE-10123</t>
        </is>
      </c>
      <c r="B124" s="49" t="inlineStr">
        <is>
          <t>2026-05-21 19:42:25</t>
        </is>
      </c>
      <c r="C124" s="49" t="inlineStr">
        <is>
          <t>CUST-58450</t>
        </is>
      </c>
      <c r="D124" s="49" t="inlineStr">
        <is>
          <t>GBP-PKR</t>
        </is>
      </c>
      <c r="E124" s="49" t="inlineStr">
        <is>
          <t>GBP</t>
        </is>
      </c>
      <c r="F124" s="7" t="n">
        <v>320.559861497264</v>
      </c>
      <c r="G124" s="8" t="n">
        <v>1</v>
      </c>
      <c r="H124" s="7" t="n">
        <v>320.559861497264</v>
      </c>
      <c r="I124" s="7" t="n">
        <v>1.5</v>
      </c>
      <c r="J124" s="9" t="n">
        <v>0.021</v>
      </c>
      <c r="K124" s="49" t="inlineStr">
        <is>
          <t>Success</t>
        </is>
      </c>
      <c r="L124" s="7" t="n">
        <v>0.4808397922458961</v>
      </c>
      <c r="M124" s="7" t="n">
        <v>0.9616795844917921</v>
      </c>
      <c r="N124" s="7" t="n">
        <v>3.846718337967169</v>
      </c>
    </row>
    <row r="125" ht="18" customHeight="1">
      <c r="A125" s="49" t="inlineStr">
        <is>
          <t>ACE-10124</t>
        </is>
      </c>
      <c r="B125" s="49" t="inlineStr">
        <is>
          <t>2026-05-10 16:24:41</t>
        </is>
      </c>
      <c r="C125" s="49" t="inlineStr">
        <is>
          <t>CUST-71527</t>
        </is>
      </c>
      <c r="D125" s="49" t="inlineStr">
        <is>
          <t>GBP-PKR</t>
        </is>
      </c>
      <c r="E125" s="49" t="inlineStr">
        <is>
          <t>GBP</t>
        </is>
      </c>
      <c r="F125" s="7" t="n">
        <v>242.1614123239938</v>
      </c>
      <c r="G125" s="8" t="n">
        <v>1</v>
      </c>
      <c r="H125" s="7" t="n">
        <v>242.1614123239938</v>
      </c>
      <c r="I125" s="7" t="n">
        <v>1.5</v>
      </c>
      <c r="J125" s="9" t="n">
        <v>0.021</v>
      </c>
      <c r="K125" s="49" t="inlineStr">
        <is>
          <t>Success</t>
        </is>
      </c>
      <c r="L125" s="7" t="n">
        <v>0.3632421184859907</v>
      </c>
      <c r="M125" s="7" t="n">
        <v>0.7264842369719814</v>
      </c>
      <c r="N125" s="7" t="n">
        <v>2.905936947887926</v>
      </c>
    </row>
    <row r="126" ht="18" customHeight="1">
      <c r="A126" s="49" t="inlineStr">
        <is>
          <t>ACE-10125</t>
        </is>
      </c>
      <c r="B126" s="49" t="inlineStr">
        <is>
          <t>2026-05-24 18:58:33</t>
        </is>
      </c>
      <c r="C126" s="49" t="inlineStr">
        <is>
          <t>CUST-56124</t>
        </is>
      </c>
      <c r="D126" s="49" t="inlineStr">
        <is>
          <t>GBP-PKR</t>
        </is>
      </c>
      <c r="E126" s="49" t="inlineStr">
        <is>
          <t>GBP</t>
        </is>
      </c>
      <c r="F126" s="7" t="n">
        <v>295.4428191033979</v>
      </c>
      <c r="G126" s="8" t="n">
        <v>1</v>
      </c>
      <c r="H126" s="7" t="n">
        <v>295.4428191033979</v>
      </c>
      <c r="I126" s="7" t="n">
        <v>1.5</v>
      </c>
      <c r="J126" s="9" t="n">
        <v>0.021</v>
      </c>
      <c r="K126" s="49" t="inlineStr">
        <is>
          <t>Success</t>
        </is>
      </c>
      <c r="L126" s="7" t="n">
        <v>0.4431642286550969</v>
      </c>
      <c r="M126" s="7" t="n">
        <v>0</v>
      </c>
      <c r="N126" s="7" t="n">
        <v>3.545313829240775</v>
      </c>
    </row>
    <row r="127" ht="18" customHeight="1">
      <c r="A127" s="49" t="inlineStr">
        <is>
          <t>ACE-10126</t>
        </is>
      </c>
      <c r="B127" s="49" t="inlineStr">
        <is>
          <t>2026-05-12 08:23:19</t>
        </is>
      </c>
      <c r="C127" s="49" t="inlineStr">
        <is>
          <t>CUST-61813</t>
        </is>
      </c>
      <c r="D127" s="49" t="inlineStr">
        <is>
          <t>GBP-PKR</t>
        </is>
      </c>
      <c r="E127" s="49" t="inlineStr">
        <is>
          <t>GBP</t>
        </is>
      </c>
      <c r="F127" s="7" t="n">
        <v>346.8301454587663</v>
      </c>
      <c r="G127" s="8" t="n">
        <v>1</v>
      </c>
      <c r="H127" s="7" t="n">
        <v>346.8301454587663</v>
      </c>
      <c r="I127" s="7" t="n">
        <v>1.5</v>
      </c>
      <c r="J127" s="9" t="n">
        <v>0.021</v>
      </c>
      <c r="K127" s="49" t="inlineStr">
        <is>
          <t>Success</t>
        </is>
      </c>
      <c r="L127" s="7" t="n">
        <v>0.5202452181881495</v>
      </c>
      <c r="M127" s="7" t="n">
        <v>0</v>
      </c>
      <c r="N127" s="7" t="n">
        <v>4.161961745505196</v>
      </c>
    </row>
    <row r="128" ht="18" customHeight="1">
      <c r="A128" s="49" t="inlineStr">
        <is>
          <t>ACE-10127</t>
        </is>
      </c>
      <c r="B128" s="49" t="inlineStr">
        <is>
          <t>2026-05-16 11:14:08</t>
        </is>
      </c>
      <c r="C128" s="49" t="inlineStr">
        <is>
          <t>CUST-60154</t>
        </is>
      </c>
      <c r="D128" s="49" t="inlineStr">
        <is>
          <t>USD-PKR</t>
        </is>
      </c>
      <c r="E128" s="49" t="inlineStr">
        <is>
          <t>USD</t>
        </is>
      </c>
      <c r="F128" s="7" t="n">
        <v>198.2589320227567</v>
      </c>
      <c r="G128" s="8" t="n">
        <v>0.8</v>
      </c>
      <c r="H128" s="7" t="n">
        <v>158.6071456182054</v>
      </c>
      <c r="I128" s="7" t="n">
        <v>1.6</v>
      </c>
      <c r="J128" s="9" t="n">
        <v>0.019</v>
      </c>
      <c r="K128" s="49" t="inlineStr">
        <is>
          <t>Success</t>
        </is>
      </c>
      <c r="L128" s="7" t="n">
        <v>0.237910718427308</v>
      </c>
      <c r="M128" s="7" t="n">
        <v>0.4758214368546161</v>
      </c>
      <c r="N128" s="7" t="n">
        <v>1.903285747418464</v>
      </c>
    </row>
    <row r="129" ht="18" customHeight="1">
      <c r="A129" s="49" t="inlineStr">
        <is>
          <t>ACE-10128</t>
        </is>
      </c>
      <c r="B129" s="49" t="inlineStr">
        <is>
          <t>2026-05-04 16:49:34</t>
        </is>
      </c>
      <c r="C129" s="49" t="inlineStr">
        <is>
          <t>CUST-98407</t>
        </is>
      </c>
      <c r="D129" s="49" t="inlineStr">
        <is>
          <t>USD-PKR</t>
        </is>
      </c>
      <c r="E129" s="49" t="inlineStr">
        <is>
          <t>USD</t>
        </is>
      </c>
      <c r="F129" s="7" t="n">
        <v>206.8508026798102</v>
      </c>
      <c r="G129" s="8" t="n">
        <v>0.8</v>
      </c>
      <c r="H129" s="7" t="n">
        <v>165.4806421438482</v>
      </c>
      <c r="I129" s="7" t="n">
        <v>1.6</v>
      </c>
      <c r="J129" s="9" t="n">
        <v>0.019</v>
      </c>
      <c r="K129" s="49" t="inlineStr">
        <is>
          <t>Success</t>
        </is>
      </c>
      <c r="L129" s="7" t="n">
        <v>0.2482209632157723</v>
      </c>
      <c r="M129" s="7" t="n">
        <v>0</v>
      </c>
      <c r="N129" s="7" t="n">
        <v>1.985767705726178</v>
      </c>
    </row>
    <row r="130" ht="18" customHeight="1">
      <c r="A130" s="49" t="inlineStr">
        <is>
          <t>ACE-10129</t>
        </is>
      </c>
      <c r="B130" s="49" t="inlineStr">
        <is>
          <t>2026-05-11 20:39:08</t>
        </is>
      </c>
      <c r="C130" s="49" t="inlineStr">
        <is>
          <t>CUST-89141</t>
        </is>
      </c>
      <c r="D130" s="49" t="inlineStr">
        <is>
          <t>EUR-PKR</t>
        </is>
      </c>
      <c r="E130" s="49" t="inlineStr">
        <is>
          <t>EUR</t>
        </is>
      </c>
      <c r="F130" s="7" t="n">
        <v>190.9457218127423</v>
      </c>
      <c r="G130" s="8" t="n">
        <v>0.85</v>
      </c>
      <c r="H130" s="7" t="n">
        <v>162.3038635408309</v>
      </c>
      <c r="I130" s="7" t="n">
        <v>1.275</v>
      </c>
      <c r="J130" s="9" t="n">
        <v>0.023</v>
      </c>
      <c r="K130" s="49" t="inlineStr">
        <is>
          <t>Success</t>
        </is>
      </c>
      <c r="L130" s="7" t="n">
        <v>0.2434557953112464</v>
      </c>
      <c r="M130" s="7" t="n">
        <v>0</v>
      </c>
      <c r="N130" s="7" t="n">
        <v>2.434557953112464</v>
      </c>
    </row>
    <row r="131" ht="18" customHeight="1">
      <c r="A131" s="49" t="inlineStr">
        <is>
          <t>ACE-10130</t>
        </is>
      </c>
      <c r="B131" s="49" t="inlineStr">
        <is>
          <t>2026-05-23 20:39:51</t>
        </is>
      </c>
      <c r="C131" s="49" t="inlineStr">
        <is>
          <t>CUST-60848</t>
        </is>
      </c>
      <c r="D131" s="49" t="inlineStr">
        <is>
          <t>GBP-PKR</t>
        </is>
      </c>
      <c r="E131" s="49" t="inlineStr">
        <is>
          <t>GBP</t>
        </is>
      </c>
      <c r="F131" s="7" t="n">
        <v>264.9237470922938</v>
      </c>
      <c r="G131" s="8" t="n">
        <v>1</v>
      </c>
      <c r="H131" s="7" t="n">
        <v>264.9237470922938</v>
      </c>
      <c r="I131" s="7" t="n">
        <v>1.5</v>
      </c>
      <c r="J131" s="9" t="n">
        <v>0.021</v>
      </c>
      <c r="K131" s="49" t="inlineStr">
        <is>
          <t>Success</t>
        </is>
      </c>
      <c r="L131" s="7" t="n">
        <v>0.3973856206384406</v>
      </c>
      <c r="M131" s="7" t="n">
        <v>0</v>
      </c>
      <c r="N131" s="7" t="n">
        <v>3.179084965107525</v>
      </c>
    </row>
    <row r="132" ht="18" customHeight="1">
      <c r="A132" s="49" t="inlineStr">
        <is>
          <t>ACE-10131</t>
        </is>
      </c>
      <c r="B132" s="49" t="inlineStr">
        <is>
          <t>2026-05-12 18:46:15</t>
        </is>
      </c>
      <c r="C132" s="49" t="inlineStr">
        <is>
          <t>CUST-79111</t>
        </is>
      </c>
      <c r="D132" s="49" t="inlineStr">
        <is>
          <t>USD-PKR</t>
        </is>
      </c>
      <c r="E132" s="49" t="inlineStr">
        <is>
          <t>USD</t>
        </is>
      </c>
      <c r="F132" s="7" t="n">
        <v>187.459196534554</v>
      </c>
      <c r="G132" s="8" t="n">
        <v>0.8</v>
      </c>
      <c r="H132" s="7" t="n">
        <v>149.9673572276432</v>
      </c>
      <c r="I132" s="7" t="n">
        <v>1.6</v>
      </c>
      <c r="J132" s="9" t="n">
        <v>0.019</v>
      </c>
      <c r="K132" s="49" t="inlineStr">
        <is>
          <t>Success</t>
        </is>
      </c>
      <c r="L132" s="7" t="n">
        <v>0.2249510358414648</v>
      </c>
      <c r="M132" s="7" t="n">
        <v>0.4499020716829296</v>
      </c>
      <c r="N132" s="7" t="n">
        <v>1.799608286731718</v>
      </c>
    </row>
    <row r="133" ht="18" customHeight="1">
      <c r="A133" s="49" t="inlineStr">
        <is>
          <t>ACE-10132</t>
        </is>
      </c>
      <c r="B133" s="49" t="inlineStr">
        <is>
          <t>2026-05-15 11:34:15</t>
        </is>
      </c>
      <c r="C133" s="49" t="inlineStr">
        <is>
          <t>CUST-70281</t>
        </is>
      </c>
      <c r="D133" s="49" t="inlineStr">
        <is>
          <t>USD-PKR</t>
        </is>
      </c>
      <c r="E133" s="49" t="inlineStr">
        <is>
          <t>USD</t>
        </is>
      </c>
      <c r="F133" s="7" t="n">
        <v>220.4087647228171</v>
      </c>
      <c r="G133" s="8" t="n">
        <v>0.8</v>
      </c>
      <c r="H133" s="7" t="n">
        <v>176.3270117782537</v>
      </c>
      <c r="I133" s="7" t="n">
        <v>1.6</v>
      </c>
      <c r="J133" s="9" t="n">
        <v>0.019</v>
      </c>
      <c r="K133" s="49" t="inlineStr">
        <is>
          <t>Success</t>
        </is>
      </c>
      <c r="L133" s="7" t="n">
        <v>0.2644905176673806</v>
      </c>
      <c r="M133" s="7" t="n">
        <v>0.5289810353347612</v>
      </c>
      <c r="N133" s="7" t="n">
        <v>2.115924141339045</v>
      </c>
    </row>
    <row r="134" ht="18" customHeight="1">
      <c r="A134" s="49" t="inlineStr">
        <is>
          <t>ACE-10133</t>
        </is>
      </c>
      <c r="B134" s="49" t="inlineStr">
        <is>
          <t>2026-05-07 13:43:36</t>
        </is>
      </c>
      <c r="C134" s="49" t="inlineStr">
        <is>
          <t>CUST-78874</t>
        </is>
      </c>
      <c r="D134" s="49" t="inlineStr">
        <is>
          <t>USD-PKR</t>
        </is>
      </c>
      <c r="E134" s="49" t="inlineStr">
        <is>
          <t>USD</t>
        </is>
      </c>
      <c r="F134" s="7" t="n">
        <v>196.8411729695065</v>
      </c>
      <c r="G134" s="8" t="n">
        <v>0.8</v>
      </c>
      <c r="H134" s="7" t="n">
        <v>157.4729383756053</v>
      </c>
      <c r="I134" s="7" t="n">
        <v>1.6</v>
      </c>
      <c r="J134" s="9" t="n">
        <v>0.019</v>
      </c>
      <c r="K134" s="49" t="inlineStr">
        <is>
          <t>Success</t>
        </is>
      </c>
      <c r="L134" s="7" t="n">
        <v>0.2362094075634079</v>
      </c>
      <c r="M134" s="7" t="n">
        <v>0</v>
      </c>
      <c r="N134" s="7" t="n">
        <v>1.889675260507263</v>
      </c>
    </row>
    <row r="135" ht="18" customHeight="1">
      <c r="A135" s="49" t="inlineStr">
        <is>
          <t>ACE-10134</t>
        </is>
      </c>
      <c r="B135" s="49" t="inlineStr">
        <is>
          <t>2026-05-13 16:33:26</t>
        </is>
      </c>
      <c r="C135" s="49" t="inlineStr">
        <is>
          <t>CUST-60620</t>
        </is>
      </c>
      <c r="D135" s="49" t="inlineStr">
        <is>
          <t>GBP-PKR</t>
        </is>
      </c>
      <c r="E135" s="49" t="inlineStr">
        <is>
          <t>GBP</t>
        </is>
      </c>
      <c r="F135" s="7" t="n">
        <v>292.1153756253515</v>
      </c>
      <c r="G135" s="8" t="n">
        <v>1</v>
      </c>
      <c r="H135" s="7" t="n">
        <v>292.1153756253515</v>
      </c>
      <c r="I135" s="7" t="n">
        <v>1.5</v>
      </c>
      <c r="J135" s="9" t="n">
        <v>0.021</v>
      </c>
      <c r="K135" s="49" t="inlineStr">
        <is>
          <t>Success</t>
        </is>
      </c>
      <c r="L135" s="7" t="n">
        <v>0.4381730634380273</v>
      </c>
      <c r="M135" s="7" t="n">
        <v>0.8763461268760546</v>
      </c>
      <c r="N135" s="7" t="n">
        <v>3.505384507504218</v>
      </c>
    </row>
    <row r="136" ht="18" customHeight="1">
      <c r="A136" s="49" t="inlineStr">
        <is>
          <t>ACE-10135</t>
        </is>
      </c>
      <c r="B136" s="49" t="inlineStr">
        <is>
          <t>2026-05-05 12:03:41</t>
        </is>
      </c>
      <c r="C136" s="49" t="inlineStr">
        <is>
          <t>CUST-81495</t>
        </is>
      </c>
      <c r="D136" s="49" t="inlineStr">
        <is>
          <t>GBP-PKR</t>
        </is>
      </c>
      <c r="E136" s="49" t="inlineStr">
        <is>
          <t>GBP</t>
        </is>
      </c>
      <c r="F136" s="7" t="n">
        <v>254.1303132495477</v>
      </c>
      <c r="G136" s="8" t="n">
        <v>1</v>
      </c>
      <c r="H136" s="7" t="n">
        <v>254.1303132495477</v>
      </c>
      <c r="I136" s="7" t="n">
        <v>1.5</v>
      </c>
      <c r="J136" s="9" t="n">
        <v>0.021</v>
      </c>
      <c r="K136" s="49" t="inlineStr">
        <is>
          <t>Success</t>
        </is>
      </c>
      <c r="L136" s="7" t="n">
        <v>0.3811954698743215</v>
      </c>
      <c r="M136" s="7" t="n">
        <v>0</v>
      </c>
      <c r="N136" s="7" t="n">
        <v>3.049563758994572</v>
      </c>
    </row>
    <row r="137" ht="18" customHeight="1">
      <c r="A137" s="49" t="inlineStr">
        <is>
          <t>ACE-10136</t>
        </is>
      </c>
      <c r="B137" s="49" t="inlineStr">
        <is>
          <t>2026-05-04 19:54:33</t>
        </is>
      </c>
      <c r="C137" s="49" t="inlineStr">
        <is>
          <t>CUST-58170</t>
        </is>
      </c>
      <c r="D137" s="49" t="inlineStr">
        <is>
          <t>USD-PKR</t>
        </is>
      </c>
      <c r="E137" s="49" t="inlineStr">
        <is>
          <t>USD</t>
        </is>
      </c>
      <c r="F137" s="7" t="n">
        <v>255.6018567747924</v>
      </c>
      <c r="G137" s="8" t="n">
        <v>0.8</v>
      </c>
      <c r="H137" s="7" t="n">
        <v>204.4814854198339</v>
      </c>
      <c r="I137" s="7" t="n">
        <v>1.6</v>
      </c>
      <c r="J137" s="9" t="n">
        <v>0.019</v>
      </c>
      <c r="K137" s="49" t="inlineStr">
        <is>
          <t>Success</t>
        </is>
      </c>
      <c r="L137" s="7" t="n">
        <v>0.3067222281297509</v>
      </c>
      <c r="M137" s="7" t="n">
        <v>0.6134444562595018</v>
      </c>
      <c r="N137" s="7" t="n">
        <v>2.453777825038007</v>
      </c>
    </row>
    <row r="138" ht="18" customHeight="1">
      <c r="A138" s="49" t="inlineStr">
        <is>
          <t>ACE-10137</t>
        </is>
      </c>
      <c r="B138" s="49" t="inlineStr">
        <is>
          <t>2026-05-09 15:57:32</t>
        </is>
      </c>
      <c r="C138" s="49" t="inlineStr">
        <is>
          <t>CUST-59656</t>
        </is>
      </c>
      <c r="D138" s="49" t="inlineStr">
        <is>
          <t>GBP-PKR</t>
        </is>
      </c>
      <c r="E138" s="49" t="inlineStr">
        <is>
          <t>GBP</t>
        </is>
      </c>
      <c r="F138" s="7" t="n">
        <v>257.6144980600874</v>
      </c>
      <c r="G138" s="8" t="n">
        <v>1</v>
      </c>
      <c r="H138" s="7" t="n">
        <v>257.6144980600874</v>
      </c>
      <c r="I138" s="7" t="n">
        <v>1.5</v>
      </c>
      <c r="J138" s="9" t="n">
        <v>0.021</v>
      </c>
      <c r="K138" s="49" t="inlineStr">
        <is>
          <t>Success</t>
        </is>
      </c>
      <c r="L138" s="7" t="n">
        <v>0.3864217470901312</v>
      </c>
      <c r="M138" s="7" t="n">
        <v>0</v>
      </c>
      <c r="N138" s="7" t="n">
        <v>3.091373976721049</v>
      </c>
    </row>
    <row r="139" ht="18" customHeight="1">
      <c r="A139" s="49" t="inlineStr">
        <is>
          <t>ACE-10138</t>
        </is>
      </c>
      <c r="B139" s="49" t="inlineStr">
        <is>
          <t>2026-05-08 15:56:22</t>
        </is>
      </c>
      <c r="C139" s="49" t="inlineStr">
        <is>
          <t>CUST-51747</t>
        </is>
      </c>
      <c r="D139" s="49" t="inlineStr">
        <is>
          <t>GBP-PKR</t>
        </is>
      </c>
      <c r="E139" s="49" t="inlineStr">
        <is>
          <t>GBP</t>
        </is>
      </c>
      <c r="F139" s="7" t="n">
        <v>269.7736978798491</v>
      </c>
      <c r="G139" s="8" t="n">
        <v>1</v>
      </c>
      <c r="H139" s="7" t="n">
        <v>269.7736978798491</v>
      </c>
      <c r="I139" s="7" t="n">
        <v>1.5</v>
      </c>
      <c r="J139" s="9" t="n">
        <v>0.021</v>
      </c>
      <c r="K139" s="49" t="inlineStr">
        <is>
          <t>Success</t>
        </is>
      </c>
      <c r="L139" s="7" t="n">
        <v>0.4046605468197737</v>
      </c>
      <c r="M139" s="7" t="n">
        <v>0</v>
      </c>
      <c r="N139" s="7" t="n">
        <v>3.23728437455819</v>
      </c>
    </row>
    <row r="140" ht="18" customHeight="1">
      <c r="A140" s="49" t="inlineStr">
        <is>
          <t>ACE-10139</t>
        </is>
      </c>
      <c r="B140" s="49" t="inlineStr">
        <is>
          <t>2026-05-12 11:24:05</t>
        </is>
      </c>
      <c r="C140" s="49" t="inlineStr">
        <is>
          <t>CUST-74570</t>
        </is>
      </c>
      <c r="D140" s="49" t="inlineStr">
        <is>
          <t>GBP-PKR</t>
        </is>
      </c>
      <c r="E140" s="49" t="inlineStr">
        <is>
          <t>GBP</t>
        </is>
      </c>
      <c r="F140" s="7" t="n">
        <v>302.2157979383373</v>
      </c>
      <c r="G140" s="8" t="n">
        <v>1</v>
      </c>
      <c r="H140" s="7" t="n">
        <v>302.2157979383373</v>
      </c>
      <c r="I140" s="7" t="n">
        <v>1.5</v>
      </c>
      <c r="J140" s="9" t="n">
        <v>0.021</v>
      </c>
      <c r="K140" s="49" t="inlineStr">
        <is>
          <t>Success</t>
        </is>
      </c>
      <c r="L140" s="7" t="n">
        <v>0.453323696907506</v>
      </c>
      <c r="M140" s="7" t="n">
        <v>0</v>
      </c>
      <c r="N140" s="7" t="n">
        <v>3.626589575260048</v>
      </c>
    </row>
    <row r="141" ht="18" customHeight="1">
      <c r="A141" s="49" t="inlineStr">
        <is>
          <t>ACE-10140</t>
        </is>
      </c>
      <c r="B141" s="49" t="inlineStr">
        <is>
          <t>2026-05-04 19:41:21</t>
        </is>
      </c>
      <c r="C141" s="49" t="inlineStr">
        <is>
          <t>CUST-59571</t>
        </is>
      </c>
      <c r="D141" s="49" t="inlineStr">
        <is>
          <t>USD-PKR</t>
        </is>
      </c>
      <c r="E141" s="49" t="inlineStr">
        <is>
          <t>USD</t>
        </is>
      </c>
      <c r="F141" s="7" t="n">
        <v>193.5510137566465</v>
      </c>
      <c r="G141" s="8" t="n">
        <v>0.8</v>
      </c>
      <c r="H141" s="7" t="n">
        <v>154.8408110053172</v>
      </c>
      <c r="I141" s="7" t="n">
        <v>1.6</v>
      </c>
      <c r="J141" s="9" t="n">
        <v>0.019</v>
      </c>
      <c r="K141" s="49" t="inlineStr">
        <is>
          <t>Success</t>
        </is>
      </c>
      <c r="L141" s="7" t="n">
        <v>0.2322612165079758</v>
      </c>
      <c r="M141" s="7" t="n">
        <v>0</v>
      </c>
      <c r="N141" s="7" t="n">
        <v>1.858089732063807</v>
      </c>
    </row>
    <row r="142" ht="18" customHeight="1">
      <c r="A142" s="49" t="inlineStr">
        <is>
          <t>ACE-10141</t>
        </is>
      </c>
      <c r="B142" s="49" t="inlineStr">
        <is>
          <t>2026-05-16 19:53:08</t>
        </is>
      </c>
      <c r="C142" s="49" t="inlineStr">
        <is>
          <t>CUST-99731</t>
        </is>
      </c>
      <c r="D142" s="49" t="inlineStr">
        <is>
          <t>EUR-PKR</t>
        </is>
      </c>
      <c r="E142" s="49" t="inlineStr">
        <is>
          <t>EUR</t>
        </is>
      </c>
      <c r="F142" s="7" t="n">
        <v>193.4018339438651</v>
      </c>
      <c r="G142" s="8" t="n">
        <v>0.85</v>
      </c>
      <c r="H142" s="7" t="n">
        <v>164.3915588522853</v>
      </c>
      <c r="I142" s="7" t="n">
        <v>1.275</v>
      </c>
      <c r="J142" s="9" t="n">
        <v>0.023</v>
      </c>
      <c r="K142" s="49" t="inlineStr">
        <is>
          <t>Success</t>
        </is>
      </c>
      <c r="L142" s="7" t="n">
        <v>0.246587338278428</v>
      </c>
      <c r="M142" s="7" t="n">
        <v>0</v>
      </c>
      <c r="N142" s="7" t="n">
        <v>2.46587338278428</v>
      </c>
    </row>
    <row r="143" ht="18" customHeight="1">
      <c r="A143" s="49" t="inlineStr">
        <is>
          <t>ACE-10142</t>
        </is>
      </c>
      <c r="B143" s="49" t="inlineStr">
        <is>
          <t>2026-05-01 09:01:16</t>
        </is>
      </c>
      <c r="C143" s="49" t="inlineStr">
        <is>
          <t>CUST-64133</t>
        </is>
      </c>
      <c r="D143" s="49" t="inlineStr">
        <is>
          <t>EUR-PKR</t>
        </is>
      </c>
      <c r="E143" s="49" t="inlineStr">
        <is>
          <t>EUR</t>
        </is>
      </c>
      <c r="F143" s="7" t="n">
        <v>215.4520432355553</v>
      </c>
      <c r="G143" s="8" t="n">
        <v>0.85</v>
      </c>
      <c r="H143" s="7" t="n">
        <v>183.134236750222</v>
      </c>
      <c r="I143" s="7" t="n">
        <v>1.275</v>
      </c>
      <c r="J143" s="9" t="n">
        <v>0.023</v>
      </c>
      <c r="K143" s="49" t="inlineStr">
        <is>
          <t>Success</t>
        </is>
      </c>
      <c r="L143" s="7" t="n">
        <v>0.274701355125333</v>
      </c>
      <c r="M143" s="7" t="n">
        <v>0</v>
      </c>
      <c r="N143" s="7" t="n">
        <v>2.74701355125333</v>
      </c>
    </row>
    <row r="144" ht="18" customHeight="1">
      <c r="A144" s="49" t="inlineStr">
        <is>
          <t>ACE-10143</t>
        </is>
      </c>
      <c r="B144" s="49" t="inlineStr">
        <is>
          <t>2026-05-24 17:33:27</t>
        </is>
      </c>
      <c r="C144" s="49" t="inlineStr">
        <is>
          <t>CUST-57286</t>
        </is>
      </c>
      <c r="D144" s="49" t="inlineStr">
        <is>
          <t>EUR-PKR</t>
        </is>
      </c>
      <c r="E144" s="49" t="inlineStr">
        <is>
          <t>EUR</t>
        </is>
      </c>
      <c r="F144" s="7" t="n">
        <v>160.9792941104897</v>
      </c>
      <c r="G144" s="8" t="n">
        <v>0.85</v>
      </c>
      <c r="H144" s="7" t="n">
        <v>136.8323999939163</v>
      </c>
      <c r="I144" s="7" t="n">
        <v>1.275</v>
      </c>
      <c r="J144" s="9" t="n">
        <v>0.023</v>
      </c>
      <c r="K144" s="49" t="inlineStr">
        <is>
          <t>Success</t>
        </is>
      </c>
      <c r="L144" s="7" t="n">
        <v>0.2052485999908744</v>
      </c>
      <c r="M144" s="7" t="n">
        <v>0</v>
      </c>
      <c r="N144" s="7" t="n">
        <v>2.052485999908744</v>
      </c>
    </row>
    <row r="145" ht="18" customHeight="1">
      <c r="A145" s="49" t="inlineStr">
        <is>
          <t>ACE-10144</t>
        </is>
      </c>
      <c r="B145" s="49" t="inlineStr">
        <is>
          <t>2026-05-04 08:15:26</t>
        </is>
      </c>
      <c r="C145" s="49" t="inlineStr">
        <is>
          <t>CUST-91874</t>
        </is>
      </c>
      <c r="D145" s="49" t="inlineStr">
        <is>
          <t>GBP-PKR</t>
        </is>
      </c>
      <c r="E145" s="49" t="inlineStr">
        <is>
          <t>GBP</t>
        </is>
      </c>
      <c r="F145" s="7" t="n">
        <v>283.7952390952913</v>
      </c>
      <c r="G145" s="8" t="n">
        <v>1</v>
      </c>
      <c r="H145" s="7" t="n">
        <v>283.7952390952913</v>
      </c>
      <c r="I145" s="7" t="n">
        <v>1.5</v>
      </c>
      <c r="J145" s="9" t="n">
        <v>0.021</v>
      </c>
      <c r="K145" s="49" t="inlineStr">
        <is>
          <t>Success</t>
        </is>
      </c>
      <c r="L145" s="7" t="n">
        <v>0.425692858642937</v>
      </c>
      <c r="M145" s="7" t="n">
        <v>0</v>
      </c>
      <c r="N145" s="7" t="n">
        <v>3.405542869143496</v>
      </c>
    </row>
    <row r="146" ht="18" customHeight="1">
      <c r="A146" s="49" t="inlineStr">
        <is>
          <t>ACE-10145</t>
        </is>
      </c>
      <c r="B146" s="49" t="inlineStr">
        <is>
          <t>2026-05-04 15:38:34</t>
        </is>
      </c>
      <c r="C146" s="49" t="inlineStr">
        <is>
          <t>CUST-51077</t>
        </is>
      </c>
      <c r="D146" s="49" t="inlineStr">
        <is>
          <t>USD-PKR</t>
        </is>
      </c>
      <c r="E146" s="49" t="inlineStr">
        <is>
          <t>USD</t>
        </is>
      </c>
      <c r="F146" s="7" t="n">
        <v>224.66621812753</v>
      </c>
      <c r="G146" s="8" t="n">
        <v>0.8</v>
      </c>
      <c r="H146" s="7" t="n">
        <v>179.732974502024</v>
      </c>
      <c r="I146" s="7" t="n">
        <v>1.6</v>
      </c>
      <c r="J146" s="9" t="n">
        <v>0.019</v>
      </c>
      <c r="K146" s="49" t="inlineStr">
        <is>
          <t>Success</t>
        </is>
      </c>
      <c r="L146" s="7" t="n">
        <v>0.269599461753036</v>
      </c>
      <c r="M146" s="7" t="n">
        <v>0</v>
      </c>
      <c r="N146" s="7" t="n">
        <v>2.156795694024288</v>
      </c>
    </row>
    <row r="147" ht="18" customHeight="1">
      <c r="A147" s="49" t="inlineStr">
        <is>
          <t>ACE-10146</t>
        </is>
      </c>
      <c r="B147" s="49" t="inlineStr">
        <is>
          <t>2026-05-23 10:18:27</t>
        </is>
      </c>
      <c r="C147" s="49" t="inlineStr">
        <is>
          <t>CUST-50102</t>
        </is>
      </c>
      <c r="D147" s="49" t="inlineStr">
        <is>
          <t>GBP-PKR</t>
        </is>
      </c>
      <c r="E147" s="49" t="inlineStr">
        <is>
          <t>GBP</t>
        </is>
      </c>
      <c r="F147" s="7" t="n">
        <v>301.2594610681267</v>
      </c>
      <c r="G147" s="8" t="n">
        <v>1</v>
      </c>
      <c r="H147" s="7" t="n">
        <v>301.2594610681267</v>
      </c>
      <c r="I147" s="7" t="n">
        <v>1.5</v>
      </c>
      <c r="J147" s="9" t="n">
        <v>0.021</v>
      </c>
      <c r="K147" s="49" t="inlineStr">
        <is>
          <t>Success</t>
        </is>
      </c>
      <c r="L147" s="7" t="n">
        <v>0.45188919160219</v>
      </c>
      <c r="M147" s="7" t="n">
        <v>0</v>
      </c>
      <c r="N147" s="7" t="n">
        <v>3.61511353281752</v>
      </c>
    </row>
    <row r="148" ht="18" customHeight="1">
      <c r="A148" s="49" t="inlineStr">
        <is>
          <t>ACE-10147</t>
        </is>
      </c>
      <c r="B148" s="49" t="inlineStr">
        <is>
          <t>2026-05-14 10:42:42</t>
        </is>
      </c>
      <c r="C148" s="49" t="inlineStr">
        <is>
          <t>CUST-55610</t>
        </is>
      </c>
      <c r="D148" s="49" t="inlineStr">
        <is>
          <t>GBP-PKR</t>
        </is>
      </c>
      <c r="E148" s="49" t="inlineStr">
        <is>
          <t>GBP</t>
        </is>
      </c>
      <c r="F148" s="7" t="n">
        <v>246.1877686769527</v>
      </c>
      <c r="G148" s="8" t="n">
        <v>1</v>
      </c>
      <c r="H148" s="7" t="n">
        <v>246.1877686769527</v>
      </c>
      <c r="I148" s="7" t="n">
        <v>1.5</v>
      </c>
      <c r="J148" s="9" t="n">
        <v>0.021</v>
      </c>
      <c r="K148" s="49" t="inlineStr">
        <is>
          <t>Success</t>
        </is>
      </c>
      <c r="L148" s="7" t="n">
        <v>0.369281653015429</v>
      </c>
      <c r="M148" s="7" t="n">
        <v>0</v>
      </c>
      <c r="N148" s="7" t="n">
        <v>2.954253224123432</v>
      </c>
    </row>
    <row r="149" ht="18" customHeight="1">
      <c r="A149" s="49" t="inlineStr">
        <is>
          <t>ACE-10148</t>
        </is>
      </c>
      <c r="B149" s="49" t="inlineStr">
        <is>
          <t>2026-05-17 16:32:50</t>
        </is>
      </c>
      <c r="C149" s="49" t="inlineStr">
        <is>
          <t>CUST-83267</t>
        </is>
      </c>
      <c r="D149" s="49" t="inlineStr">
        <is>
          <t>GBP-PKR</t>
        </is>
      </c>
      <c r="E149" s="49" t="inlineStr">
        <is>
          <t>GBP</t>
        </is>
      </c>
      <c r="F149" s="7" t="n">
        <v>244.1405152871076</v>
      </c>
      <c r="G149" s="8" t="n">
        <v>1</v>
      </c>
      <c r="H149" s="7" t="n">
        <v>244.1405152871076</v>
      </c>
      <c r="I149" s="7" t="n">
        <v>1.5</v>
      </c>
      <c r="J149" s="9" t="n">
        <v>0.021</v>
      </c>
      <c r="K149" s="49" t="inlineStr">
        <is>
          <t>Success</t>
        </is>
      </c>
      <c r="L149" s="7" t="n">
        <v>0.3662107729306613</v>
      </c>
      <c r="M149" s="7" t="n">
        <v>0</v>
      </c>
      <c r="N149" s="7" t="n">
        <v>2.929686183445291</v>
      </c>
    </row>
    <row r="150" ht="18" customHeight="1">
      <c r="A150" s="49" t="inlineStr">
        <is>
          <t>ACE-10149</t>
        </is>
      </c>
      <c r="B150" s="49" t="inlineStr">
        <is>
          <t>2026-05-16 08:40:24</t>
        </is>
      </c>
      <c r="C150" s="49" t="inlineStr">
        <is>
          <t>CUST-74464</t>
        </is>
      </c>
      <c r="D150" s="49" t="inlineStr">
        <is>
          <t>GBP-PKR</t>
        </is>
      </c>
      <c r="E150" s="49" t="inlineStr">
        <is>
          <t>GBP</t>
        </is>
      </c>
      <c r="F150" s="7" t="n">
        <v>293.5311480085196</v>
      </c>
      <c r="G150" s="8" t="n">
        <v>1</v>
      </c>
      <c r="H150" s="7" t="n">
        <v>293.5311480085196</v>
      </c>
      <c r="I150" s="7" t="n">
        <v>1.5</v>
      </c>
      <c r="J150" s="9" t="n">
        <v>0.021</v>
      </c>
      <c r="K150" s="49" t="inlineStr">
        <is>
          <t>Success</t>
        </is>
      </c>
      <c r="L150" s="7" t="n">
        <v>0.4402967220127794</v>
      </c>
      <c r="M150" s="7" t="n">
        <v>0</v>
      </c>
      <c r="N150" s="7" t="n">
        <v>3.522373776102235</v>
      </c>
    </row>
    <row r="151" ht="18" customHeight="1">
      <c r="A151" s="49" t="inlineStr">
        <is>
          <t>ACE-10150</t>
        </is>
      </c>
      <c r="B151" s="49" t="inlineStr">
        <is>
          <t>2026-05-03 13:15:46</t>
        </is>
      </c>
      <c r="C151" s="49" t="inlineStr">
        <is>
          <t>CUST-93063</t>
        </is>
      </c>
      <c r="D151" s="49" t="inlineStr">
        <is>
          <t>GBP-PKR</t>
        </is>
      </c>
      <c r="E151" s="49" t="inlineStr">
        <is>
          <t>GBP</t>
        </is>
      </c>
      <c r="F151" s="7" t="n">
        <v>287.0016803132746</v>
      </c>
      <c r="G151" s="8" t="n">
        <v>1</v>
      </c>
      <c r="H151" s="7" t="n">
        <v>287.0016803132746</v>
      </c>
      <c r="I151" s="7" t="n">
        <v>1.5</v>
      </c>
      <c r="J151" s="9" t="n">
        <v>0.021</v>
      </c>
      <c r="K151" s="49" t="inlineStr">
        <is>
          <t>Success</t>
        </is>
      </c>
      <c r="L151" s="7" t="n">
        <v>0.4305025204699119</v>
      </c>
      <c r="M151" s="7" t="n">
        <v>0.8610050409398239</v>
      </c>
      <c r="N151" s="7" t="n">
        <v>3.444020163759296</v>
      </c>
    </row>
    <row r="152" ht="18" customHeight="1">
      <c r="A152" s="49" t="inlineStr">
        <is>
          <t>ACE-10151</t>
        </is>
      </c>
      <c r="B152" s="49" t="inlineStr">
        <is>
          <t>2026-05-24 20:21:08</t>
        </is>
      </c>
      <c r="C152" s="49" t="inlineStr">
        <is>
          <t>CUST-52905</t>
        </is>
      </c>
      <c r="D152" s="49" t="inlineStr">
        <is>
          <t>USD-PKR</t>
        </is>
      </c>
      <c r="E152" s="49" t="inlineStr">
        <is>
          <t>USD</t>
        </is>
      </c>
      <c r="F152" s="7" t="n">
        <v>224.4553568233127</v>
      </c>
      <c r="G152" s="8" t="n">
        <v>0.8</v>
      </c>
      <c r="H152" s="7" t="n">
        <v>179.5642854586502</v>
      </c>
      <c r="I152" s="7" t="n">
        <v>1.6</v>
      </c>
      <c r="J152" s="9" t="n">
        <v>0.019</v>
      </c>
      <c r="K152" s="49" t="inlineStr">
        <is>
          <t>Success</t>
        </is>
      </c>
      <c r="L152" s="7" t="n">
        <v>0.2693464281879753</v>
      </c>
      <c r="M152" s="7" t="n">
        <v>0</v>
      </c>
      <c r="N152" s="7" t="n">
        <v>2.154771425503802</v>
      </c>
    </row>
    <row r="153" ht="18" customHeight="1">
      <c r="A153" s="49" t="inlineStr">
        <is>
          <t>ACE-10152</t>
        </is>
      </c>
      <c r="B153" s="49" t="inlineStr">
        <is>
          <t>2026-05-21 10:53:49</t>
        </is>
      </c>
      <c r="C153" s="49" t="inlineStr">
        <is>
          <t>CUST-94871</t>
        </is>
      </c>
      <c r="D153" s="49" t="inlineStr">
        <is>
          <t>EUR-PKR</t>
        </is>
      </c>
      <c r="E153" s="49" t="inlineStr">
        <is>
          <t>EUR</t>
        </is>
      </c>
      <c r="F153" s="7" t="n">
        <v>195.7168345852199</v>
      </c>
      <c r="G153" s="8" t="n">
        <v>0.85</v>
      </c>
      <c r="H153" s="7" t="n">
        <v>166.3593093974369</v>
      </c>
      <c r="I153" s="7" t="n">
        <v>1.275</v>
      </c>
      <c r="J153" s="9" t="n">
        <v>0.023</v>
      </c>
      <c r="K153" s="49" t="inlineStr">
        <is>
          <t>Success</t>
        </is>
      </c>
      <c r="L153" s="7" t="n">
        <v>0.2495389640961554</v>
      </c>
      <c r="M153" s="7" t="n">
        <v>0.4990779281923107</v>
      </c>
      <c r="N153" s="7" t="n">
        <v>2.495389640961553</v>
      </c>
    </row>
    <row r="154" ht="18" customHeight="1">
      <c r="A154" s="49" t="inlineStr">
        <is>
          <t>ACE-10153</t>
        </is>
      </c>
      <c r="B154" s="49" t="inlineStr">
        <is>
          <t>2026-05-21 10:51:08</t>
        </is>
      </c>
      <c r="C154" s="49" t="inlineStr">
        <is>
          <t>CUST-54135</t>
        </is>
      </c>
      <c r="D154" s="49" t="inlineStr">
        <is>
          <t>GBP-PKR</t>
        </is>
      </c>
      <c r="E154" s="49" t="inlineStr">
        <is>
          <t>GBP</t>
        </is>
      </c>
      <c r="F154" s="7" t="n">
        <v>260.2875889344206</v>
      </c>
      <c r="G154" s="8" t="n">
        <v>1</v>
      </c>
      <c r="H154" s="7" t="n">
        <v>260.2875889344206</v>
      </c>
      <c r="I154" s="7" t="n">
        <v>1.5</v>
      </c>
      <c r="J154" s="9" t="n">
        <v>0.021</v>
      </c>
      <c r="K154" s="49" t="inlineStr">
        <is>
          <t>Success</t>
        </is>
      </c>
      <c r="L154" s="7" t="n">
        <v>0.390431383401631</v>
      </c>
      <c r="M154" s="7" t="n">
        <v>0.7808627668032619</v>
      </c>
      <c r="N154" s="7" t="n">
        <v>3.123451067213048</v>
      </c>
    </row>
    <row r="155" ht="18" customHeight="1">
      <c r="A155" s="49" t="inlineStr">
        <is>
          <t>ACE-10154</t>
        </is>
      </c>
      <c r="B155" s="49" t="inlineStr">
        <is>
          <t>2026-05-02 12:12:02</t>
        </is>
      </c>
      <c r="C155" s="49" t="inlineStr">
        <is>
          <t>CUST-63072</t>
        </is>
      </c>
      <c r="D155" s="49" t="inlineStr">
        <is>
          <t>GBP-PKR</t>
        </is>
      </c>
      <c r="E155" s="49" t="inlineStr">
        <is>
          <t>GBP</t>
        </is>
      </c>
      <c r="F155" s="7" t="n">
        <v>285.1498902979121</v>
      </c>
      <c r="G155" s="8" t="n">
        <v>1</v>
      </c>
      <c r="H155" s="7" t="n">
        <v>285.1498902979121</v>
      </c>
      <c r="I155" s="7" t="n">
        <v>1.5</v>
      </c>
      <c r="J155" s="9" t="n">
        <v>0.021</v>
      </c>
      <c r="K155" s="49" t="inlineStr">
        <is>
          <t>Success</t>
        </is>
      </c>
      <c r="L155" s="7" t="n">
        <v>0.4277248354468681</v>
      </c>
      <c r="M155" s="7" t="n">
        <v>0</v>
      </c>
      <c r="N155" s="7" t="n">
        <v>3.421798683574945</v>
      </c>
    </row>
    <row r="156" ht="18" customHeight="1">
      <c r="A156" s="49" t="inlineStr">
        <is>
          <t>ACE-10155</t>
        </is>
      </c>
      <c r="B156" s="49" t="inlineStr">
        <is>
          <t>2026-05-10 16:25:52</t>
        </is>
      </c>
      <c r="C156" s="49" t="inlineStr">
        <is>
          <t>CUST-85588</t>
        </is>
      </c>
      <c r="D156" s="49" t="inlineStr">
        <is>
          <t>GBP-PKR</t>
        </is>
      </c>
      <c r="E156" s="49" t="inlineStr">
        <is>
          <t>GBP</t>
        </is>
      </c>
      <c r="F156" s="7" t="n">
        <v>286.8894214781643</v>
      </c>
      <c r="G156" s="8" t="n">
        <v>1</v>
      </c>
      <c r="H156" s="7" t="n">
        <v>286.8894214781643</v>
      </c>
      <c r="I156" s="7" t="n">
        <v>1.5</v>
      </c>
      <c r="J156" s="9" t="n">
        <v>0.021</v>
      </c>
      <c r="K156" s="49" t="inlineStr">
        <is>
          <t>Success</t>
        </is>
      </c>
      <c r="L156" s="7" t="n">
        <v>0.4303341322172465</v>
      </c>
      <c r="M156" s="7" t="n">
        <v>0</v>
      </c>
      <c r="N156" s="7" t="n">
        <v>3.442673057737972</v>
      </c>
    </row>
    <row r="157" ht="18" customHeight="1">
      <c r="A157" s="49" t="inlineStr">
        <is>
          <t>ACE-10156</t>
        </is>
      </c>
      <c r="B157" s="49" t="inlineStr">
        <is>
          <t>2026-05-21 11:18:22</t>
        </is>
      </c>
      <c r="C157" s="49" t="inlineStr">
        <is>
          <t>CUST-53132</t>
        </is>
      </c>
      <c r="D157" s="49" t="inlineStr">
        <is>
          <t>GBP-PKR</t>
        </is>
      </c>
      <c r="E157" s="49" t="inlineStr">
        <is>
          <t>GBP</t>
        </is>
      </c>
      <c r="F157" s="7" t="n">
        <v>259.3956393888716</v>
      </c>
      <c r="G157" s="8" t="n">
        <v>1</v>
      </c>
      <c r="H157" s="7" t="n">
        <v>259.3956393888716</v>
      </c>
      <c r="I157" s="7" t="n">
        <v>1.5</v>
      </c>
      <c r="J157" s="9" t="n">
        <v>0.021</v>
      </c>
      <c r="K157" s="49" t="inlineStr">
        <is>
          <t>Success</t>
        </is>
      </c>
      <c r="L157" s="7" t="n">
        <v>0.3890934590833074</v>
      </c>
      <c r="M157" s="7" t="n">
        <v>0</v>
      </c>
      <c r="N157" s="7" t="n">
        <v>3.11274767266646</v>
      </c>
    </row>
    <row r="158" ht="18" customHeight="1">
      <c r="A158" s="49" t="inlineStr">
        <is>
          <t>ACE-10157</t>
        </is>
      </c>
      <c r="B158" s="49" t="inlineStr">
        <is>
          <t>2026-05-04 20:23:27</t>
        </is>
      </c>
      <c r="C158" s="49" t="inlineStr">
        <is>
          <t>CUST-76215</t>
        </is>
      </c>
      <c r="D158" s="49" t="inlineStr">
        <is>
          <t>GBP-PKR</t>
        </is>
      </c>
      <c r="E158" s="49" t="inlineStr">
        <is>
          <t>GBP</t>
        </is>
      </c>
      <c r="F158" s="7" t="n">
        <v>335.7500734890949</v>
      </c>
      <c r="G158" s="8" t="n">
        <v>1</v>
      </c>
      <c r="H158" s="7" t="n">
        <v>335.7500734890949</v>
      </c>
      <c r="I158" s="7" t="n">
        <v>1.5</v>
      </c>
      <c r="J158" s="9" t="n">
        <v>0.021</v>
      </c>
      <c r="K158" s="49" t="inlineStr">
        <is>
          <t>Success</t>
        </is>
      </c>
      <c r="L158" s="7" t="n">
        <v>0.5036251102336423</v>
      </c>
      <c r="M158" s="7" t="n">
        <v>1.007250220467285</v>
      </c>
      <c r="N158" s="7" t="n">
        <v>4.029000881869139</v>
      </c>
    </row>
    <row r="159" ht="18" customHeight="1">
      <c r="A159" s="49" t="inlineStr">
        <is>
          <t>ACE-10158</t>
        </is>
      </c>
      <c r="B159" s="49" t="inlineStr">
        <is>
          <t>2026-05-13 13:11:31</t>
        </is>
      </c>
      <c r="C159" s="49" t="inlineStr">
        <is>
          <t>CUST-95355</t>
        </is>
      </c>
      <c r="D159" s="49" t="inlineStr">
        <is>
          <t>GBP-PKR</t>
        </is>
      </c>
      <c r="E159" s="49" t="inlineStr">
        <is>
          <t>GBP</t>
        </is>
      </c>
      <c r="F159" s="7" t="n">
        <v>292.1224008005741</v>
      </c>
      <c r="G159" s="8" t="n">
        <v>1</v>
      </c>
      <c r="H159" s="7" t="n">
        <v>292.1224008005741</v>
      </c>
      <c r="I159" s="7" t="n">
        <v>1.5</v>
      </c>
      <c r="J159" s="9" t="n">
        <v>0.021</v>
      </c>
      <c r="K159" s="49" t="inlineStr">
        <is>
          <t>Success</t>
        </is>
      </c>
      <c r="L159" s="7" t="n">
        <v>0.4381836012008611</v>
      </c>
      <c r="M159" s="7" t="n">
        <v>0.8763672024017223</v>
      </c>
      <c r="N159" s="7" t="n">
        <v>3.505468809606889</v>
      </c>
    </row>
    <row r="160" ht="18" customHeight="1">
      <c r="A160" s="49" t="inlineStr">
        <is>
          <t>ACE-10159</t>
        </is>
      </c>
      <c r="B160" s="49" t="inlineStr">
        <is>
          <t>2026-05-17 12:51:05</t>
        </is>
      </c>
      <c r="C160" s="49" t="inlineStr">
        <is>
          <t>CUST-97650</t>
        </is>
      </c>
      <c r="D160" s="49" t="inlineStr">
        <is>
          <t>GBP-PKR</t>
        </is>
      </c>
      <c r="E160" s="49" t="inlineStr">
        <is>
          <t>GBP</t>
        </is>
      </c>
      <c r="F160" s="7" t="n">
        <v>247.314116020175</v>
      </c>
      <c r="G160" s="8" t="n">
        <v>1</v>
      </c>
      <c r="H160" s="7" t="n">
        <v>247.314116020175</v>
      </c>
      <c r="I160" s="7" t="n">
        <v>1.5</v>
      </c>
      <c r="J160" s="9" t="n">
        <v>0.021</v>
      </c>
      <c r="K160" s="49" t="inlineStr">
        <is>
          <t>Success</t>
        </is>
      </c>
      <c r="L160" s="7" t="n">
        <v>0.3709711740302625</v>
      </c>
      <c r="M160" s="7" t="n">
        <v>0</v>
      </c>
      <c r="N160" s="7" t="n">
        <v>2.9677693922421</v>
      </c>
    </row>
    <row r="161" ht="18" customHeight="1">
      <c r="A161" s="49" t="inlineStr">
        <is>
          <t>ACE-10160</t>
        </is>
      </c>
      <c r="B161" s="49" t="inlineStr">
        <is>
          <t>2026-05-06 16:18:20</t>
        </is>
      </c>
      <c r="C161" s="49" t="inlineStr">
        <is>
          <t>CUST-56723</t>
        </is>
      </c>
      <c r="D161" s="49" t="inlineStr">
        <is>
          <t>USD-PKR</t>
        </is>
      </c>
      <c r="E161" s="49" t="inlineStr">
        <is>
          <t>USD</t>
        </is>
      </c>
      <c r="F161" s="7" t="n">
        <v>233.7571853626593</v>
      </c>
      <c r="G161" s="8" t="n">
        <v>0.8</v>
      </c>
      <c r="H161" s="7" t="n">
        <v>187.0057482901275</v>
      </c>
      <c r="I161" s="7" t="n">
        <v>1.6</v>
      </c>
      <c r="J161" s="9" t="n">
        <v>0.019</v>
      </c>
      <c r="K161" s="49" t="inlineStr">
        <is>
          <t>Success</t>
        </is>
      </c>
      <c r="L161" s="7" t="n">
        <v>0.2805086224351913</v>
      </c>
      <c r="M161" s="7" t="n">
        <v>0.5610172448703825</v>
      </c>
      <c r="N161" s="7" t="n">
        <v>2.24406897948153</v>
      </c>
    </row>
    <row r="162" ht="18" customHeight="1">
      <c r="A162" s="49" t="inlineStr">
        <is>
          <t>ACE-10161</t>
        </is>
      </c>
      <c r="B162" s="49" t="inlineStr">
        <is>
          <t>2026-05-10 15:38:45</t>
        </is>
      </c>
      <c r="C162" s="49" t="inlineStr">
        <is>
          <t>CUST-77925</t>
        </is>
      </c>
      <c r="D162" s="49" t="inlineStr">
        <is>
          <t>GBP-PKR</t>
        </is>
      </c>
      <c r="E162" s="49" t="inlineStr">
        <is>
          <t>GBP</t>
        </is>
      </c>
      <c r="F162" s="7" t="n">
        <v>252.7299269487895</v>
      </c>
      <c r="G162" s="8" t="n">
        <v>1</v>
      </c>
      <c r="H162" s="7" t="n">
        <v>252.7299269487895</v>
      </c>
      <c r="I162" s="7" t="n">
        <v>1.5</v>
      </c>
      <c r="J162" s="9" t="n">
        <v>0.021</v>
      </c>
      <c r="K162" s="49" t="inlineStr">
        <is>
          <t>Success</t>
        </is>
      </c>
      <c r="L162" s="7" t="n">
        <v>0.3790948904231843</v>
      </c>
      <c r="M162" s="7" t="n">
        <v>0</v>
      </c>
      <c r="N162" s="7" t="n">
        <v>3.032759123385475</v>
      </c>
    </row>
    <row r="163" ht="18" customHeight="1">
      <c r="A163" s="49" t="inlineStr">
        <is>
          <t>ACE-10162</t>
        </is>
      </c>
      <c r="B163" s="49" t="inlineStr">
        <is>
          <t>2026-05-15 08:46:55</t>
        </is>
      </c>
      <c r="C163" s="49" t="inlineStr">
        <is>
          <t>CUST-73105</t>
        </is>
      </c>
      <c r="D163" s="49" t="inlineStr">
        <is>
          <t>GBP-PKR</t>
        </is>
      </c>
      <c r="E163" s="49" t="inlineStr">
        <is>
          <t>GBP</t>
        </is>
      </c>
      <c r="F163" s="7" t="n">
        <v>301.4180174321332</v>
      </c>
      <c r="G163" s="8" t="n">
        <v>1</v>
      </c>
      <c r="H163" s="7" t="n">
        <v>301.4180174321332</v>
      </c>
      <c r="I163" s="7" t="n">
        <v>1.5</v>
      </c>
      <c r="J163" s="9" t="n">
        <v>0.021</v>
      </c>
      <c r="K163" s="49" t="inlineStr">
        <is>
          <t>Success</t>
        </is>
      </c>
      <c r="L163" s="7" t="n">
        <v>0.4521270261481998</v>
      </c>
      <c r="M163" s="7" t="n">
        <v>0</v>
      </c>
      <c r="N163" s="7" t="n">
        <v>3.617016209185598</v>
      </c>
    </row>
    <row r="164" ht="18" customHeight="1">
      <c r="A164" s="49" t="inlineStr">
        <is>
          <t>ACE-10163</t>
        </is>
      </c>
      <c r="B164" s="49" t="inlineStr">
        <is>
          <t>2026-05-21 20:03:04</t>
        </is>
      </c>
      <c r="C164" s="49" t="inlineStr">
        <is>
          <t>CUST-93986</t>
        </is>
      </c>
      <c r="D164" s="49" t="inlineStr">
        <is>
          <t>GBP-PKR</t>
        </is>
      </c>
      <c r="E164" s="49" t="inlineStr">
        <is>
          <t>GBP</t>
        </is>
      </c>
      <c r="F164" s="7" t="n">
        <v>312.826636804433</v>
      </c>
      <c r="G164" s="8" t="n">
        <v>1</v>
      </c>
      <c r="H164" s="7" t="n">
        <v>312.826636804433</v>
      </c>
      <c r="I164" s="7" t="n">
        <v>1.5</v>
      </c>
      <c r="J164" s="9" t="n">
        <v>0.021</v>
      </c>
      <c r="K164" s="49" t="inlineStr">
        <is>
          <t>Success</t>
        </is>
      </c>
      <c r="L164" s="7" t="n">
        <v>0.4692399552066495</v>
      </c>
      <c r="M164" s="7" t="n">
        <v>0</v>
      </c>
      <c r="N164" s="7" t="n">
        <v>3.753919641653196</v>
      </c>
    </row>
    <row r="165" ht="18" customHeight="1">
      <c r="A165" s="49" t="inlineStr">
        <is>
          <t>ACE-10164</t>
        </is>
      </c>
      <c r="B165" s="49" t="inlineStr">
        <is>
          <t>2026-05-24 18:10:01</t>
        </is>
      </c>
      <c r="C165" s="49" t="inlineStr">
        <is>
          <t>CUST-59357</t>
        </is>
      </c>
      <c r="D165" s="49" t="inlineStr">
        <is>
          <t>GBP-PKR</t>
        </is>
      </c>
      <c r="E165" s="49" t="inlineStr">
        <is>
          <t>GBP</t>
        </is>
      </c>
      <c r="F165" s="7" t="n">
        <v>256.6520743378039</v>
      </c>
      <c r="G165" s="8" t="n">
        <v>1</v>
      </c>
      <c r="H165" s="7" t="n">
        <v>256.6520743378039</v>
      </c>
      <c r="I165" s="7" t="n">
        <v>1.5</v>
      </c>
      <c r="J165" s="9" t="n">
        <v>0.021</v>
      </c>
      <c r="K165" s="49" t="inlineStr">
        <is>
          <t>Success</t>
        </is>
      </c>
      <c r="L165" s="7" t="n">
        <v>0.3849781115067059</v>
      </c>
      <c r="M165" s="7" t="n">
        <v>0.7699562230134118</v>
      </c>
      <c r="N165" s="7" t="n">
        <v>3.079824892053647</v>
      </c>
    </row>
    <row r="166" ht="18" customHeight="1">
      <c r="A166" s="49" t="inlineStr">
        <is>
          <t>ACE-10165</t>
        </is>
      </c>
      <c r="B166" s="49" t="inlineStr">
        <is>
          <t>2026-05-15 08:08:04</t>
        </is>
      </c>
      <c r="C166" s="49" t="inlineStr">
        <is>
          <t>CUST-65466</t>
        </is>
      </c>
      <c r="D166" s="49" t="inlineStr">
        <is>
          <t>EUR-PKR</t>
        </is>
      </c>
      <c r="E166" s="49" t="inlineStr">
        <is>
          <t>EUR</t>
        </is>
      </c>
      <c r="F166" s="7" t="n">
        <v>208.1713804850463</v>
      </c>
      <c r="G166" s="8" t="n">
        <v>0.85</v>
      </c>
      <c r="H166" s="7" t="n">
        <v>176.9456734122894</v>
      </c>
      <c r="I166" s="7" t="n">
        <v>1.275</v>
      </c>
      <c r="J166" s="9" t="n">
        <v>0.023</v>
      </c>
      <c r="K166" s="49" t="inlineStr">
        <is>
          <t>Success</t>
        </is>
      </c>
      <c r="L166" s="7" t="n">
        <v>0.265418510118434</v>
      </c>
      <c r="M166" s="7" t="n">
        <v>0</v>
      </c>
      <c r="N166" s="7" t="n">
        <v>2.65418510118434</v>
      </c>
    </row>
    <row r="167" ht="18" customHeight="1">
      <c r="A167" s="49" t="inlineStr">
        <is>
          <t>ACE-10166</t>
        </is>
      </c>
      <c r="B167" s="49" t="inlineStr">
        <is>
          <t>2026-05-13 17:02:38</t>
        </is>
      </c>
      <c r="C167" s="49" t="inlineStr">
        <is>
          <t>CUST-60055</t>
        </is>
      </c>
      <c r="D167" s="49" t="inlineStr">
        <is>
          <t>GBP-PKR</t>
        </is>
      </c>
      <c r="E167" s="49" t="inlineStr">
        <is>
          <t>GBP</t>
        </is>
      </c>
      <c r="F167" s="7" t="n">
        <v>290.3443684390344</v>
      </c>
      <c r="G167" s="8" t="n">
        <v>1</v>
      </c>
      <c r="H167" s="7" t="n">
        <v>290.3443684390344</v>
      </c>
      <c r="I167" s="7" t="n">
        <v>1.5</v>
      </c>
      <c r="J167" s="9" t="n">
        <v>0.021</v>
      </c>
      <c r="K167" s="49" t="inlineStr">
        <is>
          <t>Success</t>
        </is>
      </c>
      <c r="L167" s="7" t="n">
        <v>0.4355165526585517</v>
      </c>
      <c r="M167" s="7" t="n">
        <v>0.8710331053171033</v>
      </c>
      <c r="N167" s="7" t="n">
        <v>3.484132421268413</v>
      </c>
    </row>
    <row r="168" ht="18" customHeight="1">
      <c r="A168" s="49" t="inlineStr">
        <is>
          <t>ACE-10167</t>
        </is>
      </c>
      <c r="B168" s="49" t="inlineStr">
        <is>
          <t>2026-05-12 15:48:04</t>
        </is>
      </c>
      <c r="C168" s="49" t="inlineStr">
        <is>
          <t>CUST-87612</t>
        </is>
      </c>
      <c r="D168" s="49" t="inlineStr">
        <is>
          <t>GBP-PKR</t>
        </is>
      </c>
      <c r="E168" s="49" t="inlineStr">
        <is>
          <t>GBP</t>
        </is>
      </c>
      <c r="F168" s="7" t="n">
        <v>302.4740894733269</v>
      </c>
      <c r="G168" s="8" t="n">
        <v>1</v>
      </c>
      <c r="H168" s="7" t="n">
        <v>302.4740894733269</v>
      </c>
      <c r="I168" s="7" t="n">
        <v>1.5</v>
      </c>
      <c r="J168" s="9" t="n">
        <v>0.021</v>
      </c>
      <c r="K168" s="49" t="inlineStr">
        <is>
          <t>Success</t>
        </is>
      </c>
      <c r="L168" s="7" t="n">
        <v>0.4537111342099904</v>
      </c>
      <c r="M168" s="7" t="n">
        <v>0</v>
      </c>
      <c r="N168" s="7" t="n">
        <v>3.629689073679923</v>
      </c>
    </row>
    <row r="169" ht="18" customHeight="1">
      <c r="A169" s="49" t="inlineStr">
        <is>
          <t>ACE-10168</t>
        </is>
      </c>
      <c r="B169" s="49" t="inlineStr">
        <is>
          <t>2026-05-11 18:17:15</t>
        </is>
      </c>
      <c r="C169" s="49" t="inlineStr">
        <is>
          <t>CUST-57434</t>
        </is>
      </c>
      <c r="D169" s="49" t="inlineStr">
        <is>
          <t>USD-PKR</t>
        </is>
      </c>
      <c r="E169" s="49" t="inlineStr">
        <is>
          <t>USD</t>
        </is>
      </c>
      <c r="F169" s="7" t="n">
        <v>264.6231781062085</v>
      </c>
      <c r="G169" s="8" t="n">
        <v>0.8</v>
      </c>
      <c r="H169" s="7" t="n">
        <v>211.6985424849668</v>
      </c>
      <c r="I169" s="7" t="n">
        <v>1.6</v>
      </c>
      <c r="J169" s="9" t="n">
        <v>0.019</v>
      </c>
      <c r="K169" s="49" t="inlineStr">
        <is>
          <t>Success</t>
        </is>
      </c>
      <c r="L169" s="7" t="n">
        <v>0.3175478137274502</v>
      </c>
      <c r="M169" s="7" t="n">
        <v>0</v>
      </c>
      <c r="N169" s="7" t="n">
        <v>2.540382509819601</v>
      </c>
    </row>
    <row r="170" ht="18" customHeight="1">
      <c r="A170" s="49" t="inlineStr">
        <is>
          <t>ACE-10169</t>
        </is>
      </c>
      <c r="B170" s="49" t="inlineStr">
        <is>
          <t>2026-05-17 14:58:35</t>
        </is>
      </c>
      <c r="C170" s="49" t="inlineStr">
        <is>
          <t>CUST-57717</t>
        </is>
      </c>
      <c r="D170" s="49" t="inlineStr">
        <is>
          <t>GBP-PKR</t>
        </is>
      </c>
      <c r="E170" s="49" t="inlineStr">
        <is>
          <t>GBP</t>
        </is>
      </c>
      <c r="F170" s="7" t="n">
        <v>271.8500945975728</v>
      </c>
      <c r="G170" s="8" t="n">
        <v>1</v>
      </c>
      <c r="H170" s="7" t="n">
        <v>271.8500945975728</v>
      </c>
      <c r="I170" s="7" t="n">
        <v>1.5</v>
      </c>
      <c r="J170" s="9" t="n">
        <v>0.021</v>
      </c>
      <c r="K170" s="49" t="inlineStr">
        <is>
          <t>Success</t>
        </is>
      </c>
      <c r="L170" s="7" t="n">
        <v>0.4077751418963592</v>
      </c>
      <c r="M170" s="7" t="n">
        <v>0</v>
      </c>
      <c r="N170" s="7" t="n">
        <v>3.262201135170873</v>
      </c>
    </row>
    <row r="171" ht="18" customHeight="1">
      <c r="A171" s="49" t="inlineStr">
        <is>
          <t>ACE-10170</t>
        </is>
      </c>
      <c r="B171" s="49" t="inlineStr">
        <is>
          <t>2026-05-15 11:39:18</t>
        </is>
      </c>
      <c r="C171" s="49" t="inlineStr">
        <is>
          <t>CUST-95480</t>
        </is>
      </c>
      <c r="D171" s="49" t="inlineStr">
        <is>
          <t>GBP-PKR</t>
        </is>
      </c>
      <c r="E171" s="49" t="inlineStr">
        <is>
          <t>GBP</t>
        </is>
      </c>
      <c r="F171" s="7" t="n">
        <v>258.3760254230538</v>
      </c>
      <c r="G171" s="8" t="n">
        <v>1</v>
      </c>
      <c r="H171" s="7" t="n">
        <v>258.3760254230538</v>
      </c>
      <c r="I171" s="7" t="n">
        <v>1.5</v>
      </c>
      <c r="J171" s="9" t="n">
        <v>0.021</v>
      </c>
      <c r="K171" s="49" t="inlineStr">
        <is>
          <t>Success</t>
        </is>
      </c>
      <c r="L171" s="7" t="n">
        <v>0.3875640381345807</v>
      </c>
      <c r="M171" s="7" t="n">
        <v>0</v>
      </c>
      <c r="N171" s="7" t="n">
        <v>3.100512305076646</v>
      </c>
    </row>
    <row r="172" ht="18" customHeight="1">
      <c r="A172" s="49" t="inlineStr">
        <is>
          <t>ACE-10171</t>
        </is>
      </c>
      <c r="B172" s="49" t="inlineStr">
        <is>
          <t>2026-05-04 10:54:04</t>
        </is>
      </c>
      <c r="C172" s="49" t="inlineStr">
        <is>
          <t>CUST-79625</t>
        </is>
      </c>
      <c r="D172" s="49" t="inlineStr">
        <is>
          <t>EUR-PKR</t>
        </is>
      </c>
      <c r="E172" s="49" t="inlineStr">
        <is>
          <t>EUR</t>
        </is>
      </c>
      <c r="F172" s="7" t="n">
        <v>172.962123150136</v>
      </c>
      <c r="G172" s="8" t="n">
        <v>0.85</v>
      </c>
      <c r="H172" s="7" t="n">
        <v>147.0178046776156</v>
      </c>
      <c r="I172" s="7" t="n">
        <v>1.275</v>
      </c>
      <c r="J172" s="9" t="n">
        <v>0.023</v>
      </c>
      <c r="K172" s="49" t="inlineStr">
        <is>
          <t>Success</t>
        </is>
      </c>
      <c r="L172" s="7" t="n">
        <v>0.2205267070164234</v>
      </c>
      <c r="M172" s="7" t="n">
        <v>0.4410534140328468</v>
      </c>
      <c r="N172" s="7" t="n">
        <v>2.205267070164234</v>
      </c>
    </row>
    <row r="173" ht="18" customHeight="1">
      <c r="A173" s="49" t="inlineStr">
        <is>
          <t>ACE-10172</t>
        </is>
      </c>
      <c r="B173" s="49" t="inlineStr">
        <is>
          <t>2026-05-03 20:43:54</t>
        </is>
      </c>
      <c r="C173" s="49" t="inlineStr">
        <is>
          <t>CUST-70944</t>
        </is>
      </c>
      <c r="D173" s="49" t="inlineStr">
        <is>
          <t>GBP-PKR</t>
        </is>
      </c>
      <c r="E173" s="49" t="inlineStr">
        <is>
          <t>GBP</t>
        </is>
      </c>
      <c r="F173" s="7" t="n">
        <v>256.7771465506128</v>
      </c>
      <c r="G173" s="8" t="n">
        <v>1</v>
      </c>
      <c r="H173" s="7" t="n">
        <v>256.7771465506128</v>
      </c>
      <c r="I173" s="7" t="n">
        <v>1.5</v>
      </c>
      <c r="J173" s="9" t="n">
        <v>0.021</v>
      </c>
      <c r="K173" s="49" t="inlineStr">
        <is>
          <t>Success</t>
        </is>
      </c>
      <c r="L173" s="7" t="n">
        <v>0.3851657198259192</v>
      </c>
      <c r="M173" s="7" t="n">
        <v>0.7703314396518384</v>
      </c>
      <c r="N173" s="7" t="n">
        <v>3.081325758607353</v>
      </c>
    </row>
    <row r="174" ht="18" customHeight="1">
      <c r="A174" s="49" t="inlineStr">
        <is>
          <t>ACE-10173</t>
        </is>
      </c>
      <c r="B174" s="49" t="inlineStr">
        <is>
          <t>2026-05-18 16:18:57</t>
        </is>
      </c>
      <c r="C174" s="49" t="inlineStr">
        <is>
          <t>CUST-69657</t>
        </is>
      </c>
      <c r="D174" s="49" t="inlineStr">
        <is>
          <t>GBP-PKR</t>
        </is>
      </c>
      <c r="E174" s="49" t="inlineStr">
        <is>
          <t>GBP</t>
        </is>
      </c>
      <c r="F174" s="7" t="n">
        <v>276.4636734014019</v>
      </c>
      <c r="G174" s="8" t="n">
        <v>1</v>
      </c>
      <c r="H174" s="7" t="n">
        <v>276.4636734014019</v>
      </c>
      <c r="I174" s="7" t="n">
        <v>1.5</v>
      </c>
      <c r="J174" s="9" t="n">
        <v>0.021</v>
      </c>
      <c r="K174" s="49" t="inlineStr">
        <is>
          <t>Success</t>
        </is>
      </c>
      <c r="L174" s="7" t="n">
        <v>0.4146955101021028</v>
      </c>
      <c r="M174" s="7" t="n">
        <v>0.8293910202042056</v>
      </c>
      <c r="N174" s="7" t="n">
        <v>3.317564080816823</v>
      </c>
    </row>
    <row r="175" ht="18" customHeight="1">
      <c r="A175" s="49" t="inlineStr">
        <is>
          <t>ACE-10174</t>
        </is>
      </c>
      <c r="B175" s="49" t="inlineStr">
        <is>
          <t>2026-05-23 18:11:50</t>
        </is>
      </c>
      <c r="C175" s="49" t="inlineStr">
        <is>
          <t>CUST-73690</t>
        </is>
      </c>
      <c r="D175" s="49" t="inlineStr">
        <is>
          <t>GBP-PKR</t>
        </is>
      </c>
      <c r="E175" s="49" t="inlineStr">
        <is>
          <t>GBP</t>
        </is>
      </c>
      <c r="F175" s="7" t="n">
        <v>288.2720927594785</v>
      </c>
      <c r="G175" s="8" t="n">
        <v>1</v>
      </c>
      <c r="H175" s="7" t="n">
        <v>288.2720927594785</v>
      </c>
      <c r="I175" s="7" t="n">
        <v>1.5</v>
      </c>
      <c r="J175" s="9" t="n">
        <v>0.021</v>
      </c>
      <c r="K175" s="49" t="inlineStr">
        <is>
          <t>Success</t>
        </is>
      </c>
      <c r="L175" s="7" t="n">
        <v>0.4324081391392177</v>
      </c>
      <c r="M175" s="7" t="n">
        <v>0</v>
      </c>
      <c r="N175" s="7" t="n">
        <v>3.459265113113742</v>
      </c>
    </row>
    <row r="176" ht="18" customHeight="1">
      <c r="A176" s="49" t="inlineStr">
        <is>
          <t>ACE-10175</t>
        </is>
      </c>
      <c r="B176" s="49" t="inlineStr">
        <is>
          <t>2026-05-07 20:08:15</t>
        </is>
      </c>
      <c r="C176" s="49" t="inlineStr">
        <is>
          <t>CUST-82376</t>
        </is>
      </c>
      <c r="D176" s="49" t="inlineStr">
        <is>
          <t>GBP-PKR</t>
        </is>
      </c>
      <c r="E176" s="49" t="inlineStr">
        <is>
          <t>GBP</t>
        </is>
      </c>
      <c r="F176" s="7" t="n">
        <v>286.4198333184149</v>
      </c>
      <c r="G176" s="8" t="n">
        <v>1</v>
      </c>
      <c r="H176" s="7" t="n">
        <v>286.4198333184149</v>
      </c>
      <c r="I176" s="7" t="n">
        <v>1.5</v>
      </c>
      <c r="J176" s="9" t="n">
        <v>0.021</v>
      </c>
      <c r="K176" s="49" t="inlineStr">
        <is>
          <t>Success</t>
        </is>
      </c>
      <c r="L176" s="7" t="n">
        <v>0.4296297499776224</v>
      </c>
      <c r="M176" s="7" t="n">
        <v>0</v>
      </c>
      <c r="N176" s="7" t="n">
        <v>3.437037999820979</v>
      </c>
    </row>
    <row r="177" ht="18" customHeight="1">
      <c r="A177" s="49" t="inlineStr">
        <is>
          <t>ACE-10176</t>
        </is>
      </c>
      <c r="B177" s="49" t="inlineStr">
        <is>
          <t>2026-05-12 15:51:35</t>
        </is>
      </c>
      <c r="C177" s="49" t="inlineStr">
        <is>
          <t>CUST-58504</t>
        </is>
      </c>
      <c r="D177" s="49" t="inlineStr">
        <is>
          <t>USD-PKR</t>
        </is>
      </c>
      <c r="E177" s="49" t="inlineStr">
        <is>
          <t>USD</t>
        </is>
      </c>
      <c r="F177" s="7" t="n">
        <v>237.7799987696231</v>
      </c>
      <c r="G177" s="8" t="n">
        <v>0.8</v>
      </c>
      <c r="H177" s="7" t="n">
        <v>190.2239990156985</v>
      </c>
      <c r="I177" s="7" t="n">
        <v>1.6</v>
      </c>
      <c r="J177" s="9" t="n">
        <v>0.019</v>
      </c>
      <c r="K177" s="49" t="inlineStr">
        <is>
          <t>Success</t>
        </is>
      </c>
      <c r="L177" s="7" t="n">
        <v>0.2853359985235477</v>
      </c>
      <c r="M177" s="7" t="n">
        <v>0</v>
      </c>
      <c r="N177" s="7" t="n">
        <v>2.282687988188382</v>
      </c>
    </row>
    <row r="178" ht="18" customHeight="1">
      <c r="A178" s="49" t="inlineStr">
        <is>
          <t>ACE-10177</t>
        </is>
      </c>
      <c r="B178" s="49" t="inlineStr">
        <is>
          <t>2026-05-10 14:45:46</t>
        </is>
      </c>
      <c r="C178" s="49" t="inlineStr">
        <is>
          <t>CUST-81369</t>
        </is>
      </c>
      <c r="D178" s="49" t="inlineStr">
        <is>
          <t>GBP-PKR</t>
        </is>
      </c>
      <c r="E178" s="49" t="inlineStr">
        <is>
          <t>GBP</t>
        </is>
      </c>
      <c r="F178" s="7" t="n">
        <v>278.9659670153281</v>
      </c>
      <c r="G178" s="8" t="n">
        <v>1</v>
      </c>
      <c r="H178" s="7" t="n">
        <v>278.9659670153281</v>
      </c>
      <c r="I178" s="7" t="n">
        <v>1.5</v>
      </c>
      <c r="J178" s="9" t="n">
        <v>0.021</v>
      </c>
      <c r="K178" s="49" t="inlineStr">
        <is>
          <t>Success</t>
        </is>
      </c>
      <c r="L178" s="7" t="n">
        <v>0.4184489505229921</v>
      </c>
      <c r="M178" s="7" t="n">
        <v>0.8368979010459843</v>
      </c>
      <c r="N178" s="7" t="n">
        <v>3.347591604183937</v>
      </c>
    </row>
    <row r="179" ht="18" customHeight="1">
      <c r="A179" s="49" t="inlineStr">
        <is>
          <t>ACE-10178</t>
        </is>
      </c>
      <c r="B179" s="49" t="inlineStr">
        <is>
          <t>2026-05-19 09:08:20</t>
        </is>
      </c>
      <c r="C179" s="49" t="inlineStr">
        <is>
          <t>CUST-92096</t>
        </is>
      </c>
      <c r="D179" s="49" t="inlineStr">
        <is>
          <t>GBP-PKR</t>
        </is>
      </c>
      <c r="E179" s="49" t="inlineStr">
        <is>
          <t>GBP</t>
        </is>
      </c>
      <c r="F179" s="7" t="n">
        <v>322.1905081736014</v>
      </c>
      <c r="G179" s="8" t="n">
        <v>1</v>
      </c>
      <c r="H179" s="7" t="n">
        <v>322.1905081736014</v>
      </c>
      <c r="I179" s="7" t="n">
        <v>1.5</v>
      </c>
      <c r="J179" s="9" t="n">
        <v>0.021</v>
      </c>
      <c r="K179" s="49" t="inlineStr">
        <is>
          <t>Success</t>
        </is>
      </c>
      <c r="L179" s="7" t="n">
        <v>0.4832857622604022</v>
      </c>
      <c r="M179" s="7" t="n">
        <v>0</v>
      </c>
      <c r="N179" s="7" t="n">
        <v>3.866286098083217</v>
      </c>
    </row>
    <row r="180" ht="18" customHeight="1">
      <c r="A180" s="49" t="inlineStr">
        <is>
          <t>ACE-10179</t>
        </is>
      </c>
      <c r="B180" s="49" t="inlineStr">
        <is>
          <t>2026-05-17 13:08:56</t>
        </is>
      </c>
      <c r="C180" s="49" t="inlineStr">
        <is>
          <t>CUST-86130</t>
        </is>
      </c>
      <c r="D180" s="49" t="inlineStr">
        <is>
          <t>GBP-PKR</t>
        </is>
      </c>
      <c r="E180" s="49" t="inlineStr">
        <is>
          <t>GBP</t>
        </is>
      </c>
      <c r="F180" s="7" t="n">
        <v>271.3267786804965</v>
      </c>
      <c r="G180" s="8" t="n">
        <v>1</v>
      </c>
      <c r="H180" s="7" t="n">
        <v>271.3267786804965</v>
      </c>
      <c r="I180" s="7" t="n">
        <v>1.5</v>
      </c>
      <c r="J180" s="9" t="n">
        <v>0.021</v>
      </c>
      <c r="K180" s="49" t="inlineStr">
        <is>
          <t>Success</t>
        </is>
      </c>
      <c r="L180" s="7" t="n">
        <v>0.4069901680207448</v>
      </c>
      <c r="M180" s="7" t="n">
        <v>0</v>
      </c>
      <c r="N180" s="7" t="n">
        <v>3.255921344165959</v>
      </c>
    </row>
    <row r="181" ht="18" customHeight="1">
      <c r="A181" s="49" t="inlineStr">
        <is>
          <t>ACE-10180</t>
        </is>
      </c>
      <c r="B181" s="49" t="inlineStr">
        <is>
          <t>2026-05-05 14:32:58</t>
        </is>
      </c>
      <c r="C181" s="49" t="inlineStr">
        <is>
          <t>CUST-53631</t>
        </is>
      </c>
      <c r="D181" s="49" t="inlineStr">
        <is>
          <t>EUR-PKR</t>
        </is>
      </c>
      <c r="E181" s="49" t="inlineStr">
        <is>
          <t>EUR</t>
        </is>
      </c>
      <c r="F181" s="7" t="n">
        <v>248.1518826680872</v>
      </c>
      <c r="G181" s="8" t="n">
        <v>0.85</v>
      </c>
      <c r="H181" s="7" t="n">
        <v>210.9291002678741</v>
      </c>
      <c r="I181" s="7" t="n">
        <v>1.275</v>
      </c>
      <c r="J181" s="9" t="n">
        <v>0.023</v>
      </c>
      <c r="K181" s="49" t="inlineStr">
        <is>
          <t>Success</t>
        </is>
      </c>
      <c r="L181" s="7" t="n">
        <v>0.3163936504018112</v>
      </c>
      <c r="M181" s="7" t="n">
        <v>0</v>
      </c>
      <c r="N181" s="7" t="n">
        <v>3.163936504018111</v>
      </c>
    </row>
    <row r="182" ht="18" customHeight="1">
      <c r="A182" s="49" t="inlineStr">
        <is>
          <t>ACE-10181</t>
        </is>
      </c>
      <c r="B182" s="49" t="inlineStr">
        <is>
          <t>2026-05-10 10:10:20</t>
        </is>
      </c>
      <c r="C182" s="49" t="inlineStr">
        <is>
          <t>CUST-96486</t>
        </is>
      </c>
      <c r="D182" s="49" t="inlineStr">
        <is>
          <t>GBP-PKR</t>
        </is>
      </c>
      <c r="E182" s="49" t="inlineStr">
        <is>
          <t>GBP</t>
        </is>
      </c>
      <c r="F182" s="7" t="n">
        <v>296.5916681015823</v>
      </c>
      <c r="G182" s="8" t="n">
        <v>1</v>
      </c>
      <c r="H182" s="7" t="n">
        <v>296.5916681015823</v>
      </c>
      <c r="I182" s="7" t="n">
        <v>1.5</v>
      </c>
      <c r="J182" s="9" t="n">
        <v>0.021</v>
      </c>
      <c r="K182" s="49" t="inlineStr">
        <is>
          <t>Success</t>
        </is>
      </c>
      <c r="L182" s="7" t="n">
        <v>0.4448875021523734</v>
      </c>
      <c r="M182" s="7" t="n">
        <v>0.8897750043047469</v>
      </c>
      <c r="N182" s="7" t="n">
        <v>3.559100017218987</v>
      </c>
    </row>
    <row r="183" ht="18" customHeight="1">
      <c r="A183" s="49" t="inlineStr">
        <is>
          <t>ACE-10182</t>
        </is>
      </c>
      <c r="B183" s="49" t="inlineStr">
        <is>
          <t>2026-05-17 12:54:05</t>
        </is>
      </c>
      <c r="C183" s="49" t="inlineStr">
        <is>
          <t>CUST-66423</t>
        </is>
      </c>
      <c r="D183" s="49" t="inlineStr">
        <is>
          <t>GBP-PKR</t>
        </is>
      </c>
      <c r="E183" s="49" t="inlineStr">
        <is>
          <t>GBP</t>
        </is>
      </c>
      <c r="F183" s="7" t="n">
        <v>255.7176350175284</v>
      </c>
      <c r="G183" s="8" t="n">
        <v>1</v>
      </c>
      <c r="H183" s="7" t="n">
        <v>255.7176350175284</v>
      </c>
      <c r="I183" s="7" t="n">
        <v>1.5</v>
      </c>
      <c r="J183" s="9" t="n">
        <v>0.021</v>
      </c>
      <c r="K183" s="49" t="inlineStr">
        <is>
          <t>Success</t>
        </is>
      </c>
      <c r="L183" s="7" t="n">
        <v>0.3835764525262926</v>
      </c>
      <c r="M183" s="7" t="n">
        <v>0.7671529050525853</v>
      </c>
      <c r="N183" s="7" t="n">
        <v>3.068611620210341</v>
      </c>
    </row>
    <row r="184" ht="18" customHeight="1">
      <c r="A184" s="49" t="inlineStr">
        <is>
          <t>ACE-10183</t>
        </is>
      </c>
      <c r="B184" s="49" t="inlineStr">
        <is>
          <t>2026-05-09 10:40:19</t>
        </is>
      </c>
      <c r="C184" s="49" t="inlineStr">
        <is>
          <t>CUST-90267</t>
        </is>
      </c>
      <c r="D184" s="49" t="inlineStr">
        <is>
          <t>GBP-PKR</t>
        </is>
      </c>
      <c r="E184" s="49" t="inlineStr">
        <is>
          <t>GBP</t>
        </is>
      </c>
      <c r="F184" s="7" t="n">
        <v>250.3100509796269</v>
      </c>
      <c r="G184" s="8" t="n">
        <v>1</v>
      </c>
      <c r="H184" s="7" t="n">
        <v>250.3100509796269</v>
      </c>
      <c r="I184" s="7" t="n">
        <v>1.5</v>
      </c>
      <c r="J184" s="9" t="n">
        <v>0.021</v>
      </c>
      <c r="K184" s="49" t="inlineStr">
        <is>
          <t>Success</t>
        </is>
      </c>
      <c r="L184" s="7" t="n">
        <v>0.3754650764694403</v>
      </c>
      <c r="M184" s="7" t="n">
        <v>0</v>
      </c>
      <c r="N184" s="7" t="n">
        <v>3.003720611755523</v>
      </c>
    </row>
    <row r="185" ht="18" customHeight="1">
      <c r="A185" s="49" t="inlineStr">
        <is>
          <t>ACE-10184</t>
        </is>
      </c>
      <c r="B185" s="49" t="inlineStr">
        <is>
          <t>2026-05-06 17:37:09</t>
        </is>
      </c>
      <c r="C185" s="49" t="inlineStr">
        <is>
          <t>CUST-61219</t>
        </is>
      </c>
      <c r="D185" s="49" t="inlineStr">
        <is>
          <t>GBP-PKR</t>
        </is>
      </c>
      <c r="E185" s="49" t="inlineStr">
        <is>
          <t>GBP</t>
        </is>
      </c>
      <c r="F185" s="7" t="n">
        <v>292.3748888358958</v>
      </c>
      <c r="G185" s="8" t="n">
        <v>1</v>
      </c>
      <c r="H185" s="7" t="n">
        <v>292.3748888358958</v>
      </c>
      <c r="I185" s="7" t="n">
        <v>1.5</v>
      </c>
      <c r="J185" s="9" t="n">
        <v>0.021</v>
      </c>
      <c r="K185" s="49" t="inlineStr">
        <is>
          <t>Success</t>
        </is>
      </c>
      <c r="L185" s="7" t="n">
        <v>0.4385623332538437</v>
      </c>
      <c r="M185" s="7" t="n">
        <v>0.8771246665076874</v>
      </c>
      <c r="N185" s="7" t="n">
        <v>3.50849866603075</v>
      </c>
    </row>
    <row r="186" ht="18" customHeight="1">
      <c r="A186" s="49" t="inlineStr">
        <is>
          <t>ACE-10185</t>
        </is>
      </c>
      <c r="B186" s="49" t="inlineStr">
        <is>
          <t>2026-05-20 13:53:59</t>
        </is>
      </c>
      <c r="C186" s="49" t="inlineStr">
        <is>
          <t>CUST-86937</t>
        </is>
      </c>
      <c r="D186" s="49" t="inlineStr">
        <is>
          <t>GBP-PKR</t>
        </is>
      </c>
      <c r="E186" s="49" t="inlineStr">
        <is>
          <t>GBP</t>
        </is>
      </c>
      <c r="F186" s="7" t="n">
        <v>272.446788816303</v>
      </c>
      <c r="G186" s="8" t="n">
        <v>1</v>
      </c>
      <c r="H186" s="7" t="n">
        <v>272.446788816303</v>
      </c>
      <c r="I186" s="7" t="n">
        <v>1.5</v>
      </c>
      <c r="J186" s="9" t="n">
        <v>0.021</v>
      </c>
      <c r="K186" s="49" t="inlineStr">
        <is>
          <t>Success</t>
        </is>
      </c>
      <c r="L186" s="7" t="n">
        <v>0.4086701832244545</v>
      </c>
      <c r="M186" s="7" t="n">
        <v>0.8173403664489091</v>
      </c>
      <c r="N186" s="7" t="n">
        <v>3.269361465795636</v>
      </c>
    </row>
    <row r="187" ht="18" customHeight="1">
      <c r="A187" s="49" t="inlineStr">
        <is>
          <t>ACE-10186</t>
        </is>
      </c>
      <c r="B187" s="49" t="inlineStr">
        <is>
          <t>2026-05-03 08:41:49</t>
        </is>
      </c>
      <c r="C187" s="49" t="inlineStr">
        <is>
          <t>CUST-87799</t>
        </is>
      </c>
      <c r="D187" s="49" t="inlineStr">
        <is>
          <t>GBP-PKR</t>
        </is>
      </c>
      <c r="E187" s="49" t="inlineStr">
        <is>
          <t>GBP</t>
        </is>
      </c>
      <c r="F187" s="7" t="n">
        <v>299.2231609146492</v>
      </c>
      <c r="G187" s="8" t="n">
        <v>1</v>
      </c>
      <c r="H187" s="7" t="n">
        <v>299.2231609146492</v>
      </c>
      <c r="I187" s="7" t="n">
        <v>1.5</v>
      </c>
      <c r="J187" s="9" t="n">
        <v>0.021</v>
      </c>
      <c r="K187" s="49" t="inlineStr">
        <is>
          <t>Success</t>
        </is>
      </c>
      <c r="L187" s="7" t="n">
        <v>0.4488347413719738</v>
      </c>
      <c r="M187" s="7" t="n">
        <v>0</v>
      </c>
      <c r="N187" s="7" t="n">
        <v>3.59067793097579</v>
      </c>
    </row>
    <row r="188" ht="18" customHeight="1">
      <c r="A188" s="49" t="inlineStr">
        <is>
          <t>ACE-10187</t>
        </is>
      </c>
      <c r="B188" s="49" t="inlineStr">
        <is>
          <t>2026-05-19 14:39:40</t>
        </is>
      </c>
      <c r="C188" s="49" t="inlineStr">
        <is>
          <t>CUST-51984</t>
        </is>
      </c>
      <c r="D188" s="49" t="inlineStr">
        <is>
          <t>EUR-PKR</t>
        </is>
      </c>
      <c r="E188" s="49" t="inlineStr">
        <is>
          <t>EUR</t>
        </is>
      </c>
      <c r="F188" s="7" t="n">
        <v>198.2141148640641</v>
      </c>
      <c r="G188" s="8" t="n">
        <v>0.85</v>
      </c>
      <c r="H188" s="7" t="n">
        <v>168.4819976344545</v>
      </c>
      <c r="I188" s="7" t="n">
        <v>1.275</v>
      </c>
      <c r="J188" s="9" t="n">
        <v>0.023</v>
      </c>
      <c r="K188" s="49" t="inlineStr">
        <is>
          <t>Success</t>
        </is>
      </c>
      <c r="L188" s="7" t="n">
        <v>0.2527229964516817</v>
      </c>
      <c r="M188" s="7" t="n">
        <v>0.5054459929033635</v>
      </c>
      <c r="N188" s="7" t="n">
        <v>2.527229964516817</v>
      </c>
    </row>
    <row r="189" ht="18" customHeight="1">
      <c r="A189" s="49" t="inlineStr">
        <is>
          <t>ACE-10188</t>
        </is>
      </c>
      <c r="B189" s="49" t="inlineStr">
        <is>
          <t>2026-05-10 18:19:30</t>
        </is>
      </c>
      <c r="C189" s="49" t="inlineStr">
        <is>
          <t>CUST-66048</t>
        </is>
      </c>
      <c r="D189" s="49" t="inlineStr">
        <is>
          <t>USD-PKR</t>
        </is>
      </c>
      <c r="E189" s="49" t="inlineStr">
        <is>
          <t>USD</t>
        </is>
      </c>
      <c r="F189" s="7" t="n">
        <v>217.3142918181842</v>
      </c>
      <c r="G189" s="8" t="n">
        <v>0.8</v>
      </c>
      <c r="H189" s="7" t="n">
        <v>173.8514334545474</v>
      </c>
      <c r="I189" s="7" t="n">
        <v>1.6</v>
      </c>
      <c r="J189" s="9" t="n">
        <v>0.019</v>
      </c>
      <c r="K189" s="49" t="inlineStr">
        <is>
          <t>Success</t>
        </is>
      </c>
      <c r="L189" s="7" t="n">
        <v>0.2607771501818211</v>
      </c>
      <c r="M189" s="7" t="n">
        <v>0.5215543003636421</v>
      </c>
      <c r="N189" s="7" t="n">
        <v>2.086217201454569</v>
      </c>
    </row>
    <row r="190" ht="18" customHeight="1">
      <c r="A190" s="49" t="inlineStr">
        <is>
          <t>ACE-10189</t>
        </is>
      </c>
      <c r="B190" s="49" t="inlineStr">
        <is>
          <t>2026-05-10 15:04:44</t>
        </is>
      </c>
      <c r="C190" s="49" t="inlineStr">
        <is>
          <t>CUST-53926</t>
        </is>
      </c>
      <c r="D190" s="49" t="inlineStr">
        <is>
          <t>USD-PKR</t>
        </is>
      </c>
      <c r="E190" s="49" t="inlineStr">
        <is>
          <t>USD</t>
        </is>
      </c>
      <c r="F190" s="7" t="n">
        <v>201.1293381587671</v>
      </c>
      <c r="G190" s="8" t="n">
        <v>0.8</v>
      </c>
      <c r="H190" s="7" t="n">
        <v>160.9034705270137</v>
      </c>
      <c r="I190" s="7" t="n">
        <v>1.6</v>
      </c>
      <c r="J190" s="9" t="n">
        <v>0.019</v>
      </c>
      <c r="K190" s="49" t="inlineStr">
        <is>
          <t>Success</t>
        </is>
      </c>
      <c r="L190" s="7" t="n">
        <v>0.2413552057905206</v>
      </c>
      <c r="M190" s="7" t="n">
        <v>0</v>
      </c>
      <c r="N190" s="7" t="n">
        <v>1.930841646324164</v>
      </c>
    </row>
    <row r="191" ht="18" customHeight="1">
      <c r="A191" s="49" t="inlineStr">
        <is>
          <t>ACE-10190</t>
        </is>
      </c>
      <c r="B191" s="49" t="inlineStr">
        <is>
          <t>2026-05-15 11:21:38</t>
        </is>
      </c>
      <c r="C191" s="49" t="inlineStr">
        <is>
          <t>CUST-59415</t>
        </is>
      </c>
      <c r="D191" s="49" t="inlineStr">
        <is>
          <t>GBP-PKR</t>
        </is>
      </c>
      <c r="E191" s="49" t="inlineStr">
        <is>
          <t>GBP</t>
        </is>
      </c>
      <c r="F191" s="7" t="n">
        <v>239.4404829883724</v>
      </c>
      <c r="G191" s="8" t="n">
        <v>1</v>
      </c>
      <c r="H191" s="7" t="n">
        <v>239.4404829883724</v>
      </c>
      <c r="I191" s="7" t="n">
        <v>1.5</v>
      </c>
      <c r="J191" s="9" t="n">
        <v>0.021</v>
      </c>
      <c r="K191" s="49" t="inlineStr">
        <is>
          <t>Success</t>
        </is>
      </c>
      <c r="L191" s="7" t="n">
        <v>0.3591607244825585</v>
      </c>
      <c r="M191" s="7" t="n">
        <v>0.7183214489651171</v>
      </c>
      <c r="N191" s="7" t="n">
        <v>2.873285795860468</v>
      </c>
    </row>
    <row r="192" ht="18" customHeight="1">
      <c r="A192" s="49" t="inlineStr">
        <is>
          <t>ACE-10191</t>
        </is>
      </c>
      <c r="B192" s="49" t="inlineStr">
        <is>
          <t>2026-05-24 13:25:08</t>
        </is>
      </c>
      <c r="C192" s="49" t="inlineStr">
        <is>
          <t>CUST-99850</t>
        </is>
      </c>
      <c r="D192" s="49" t="inlineStr">
        <is>
          <t>GBP-PKR</t>
        </is>
      </c>
      <c r="E192" s="49" t="inlineStr">
        <is>
          <t>GBP</t>
        </is>
      </c>
      <c r="F192" s="7" t="n">
        <v>266.4370772804875</v>
      </c>
      <c r="G192" s="8" t="n">
        <v>1</v>
      </c>
      <c r="H192" s="7" t="n">
        <v>266.4370772804875</v>
      </c>
      <c r="I192" s="7" t="n">
        <v>1.5</v>
      </c>
      <c r="J192" s="9" t="n">
        <v>0.021</v>
      </c>
      <c r="K192" s="49" t="inlineStr">
        <is>
          <t>Success</t>
        </is>
      </c>
      <c r="L192" s="7" t="n">
        <v>0.3996556159207312</v>
      </c>
      <c r="M192" s="7" t="n">
        <v>0</v>
      </c>
      <c r="N192" s="7" t="n">
        <v>3.19724492736585</v>
      </c>
    </row>
    <row r="193" ht="18" customHeight="1">
      <c r="A193" s="49" t="inlineStr">
        <is>
          <t>ACE-10192</t>
        </is>
      </c>
      <c r="B193" s="49" t="inlineStr">
        <is>
          <t>2026-05-11 11:29:07</t>
        </is>
      </c>
      <c r="C193" s="49" t="inlineStr">
        <is>
          <t>CUST-67529</t>
        </is>
      </c>
      <c r="D193" s="49" t="inlineStr">
        <is>
          <t>GBP-PKR</t>
        </is>
      </c>
      <c r="E193" s="49" t="inlineStr">
        <is>
          <t>GBP</t>
        </is>
      </c>
      <c r="F193" s="7" t="n">
        <v>303.514529530747</v>
      </c>
      <c r="G193" s="8" t="n">
        <v>1</v>
      </c>
      <c r="H193" s="7" t="n">
        <v>303.514529530747</v>
      </c>
      <c r="I193" s="7" t="n">
        <v>1.5</v>
      </c>
      <c r="J193" s="9" t="n">
        <v>0.021</v>
      </c>
      <c r="K193" s="49" t="inlineStr">
        <is>
          <t>Success</t>
        </is>
      </c>
      <c r="L193" s="7" t="n">
        <v>0.4552717942961205</v>
      </c>
      <c r="M193" s="7" t="n">
        <v>0</v>
      </c>
      <c r="N193" s="7" t="n">
        <v>3.642174354368964</v>
      </c>
    </row>
    <row r="194" ht="18" customHeight="1">
      <c r="A194" s="49" t="inlineStr">
        <is>
          <t>ACE-10193</t>
        </is>
      </c>
      <c r="B194" s="49" t="inlineStr">
        <is>
          <t>2026-05-02 12:24:55</t>
        </is>
      </c>
      <c r="C194" s="49" t="inlineStr">
        <is>
          <t>CUST-90329</t>
        </is>
      </c>
      <c r="D194" s="49" t="inlineStr">
        <is>
          <t>GBP-PKR</t>
        </is>
      </c>
      <c r="E194" s="49" t="inlineStr">
        <is>
          <t>GBP</t>
        </is>
      </c>
      <c r="F194" s="7" t="n">
        <v>284.6325293411722</v>
      </c>
      <c r="G194" s="8" t="n">
        <v>1</v>
      </c>
      <c r="H194" s="7" t="n">
        <v>284.6325293411722</v>
      </c>
      <c r="I194" s="7" t="n">
        <v>1.5</v>
      </c>
      <c r="J194" s="9" t="n">
        <v>0.021</v>
      </c>
      <c r="K194" s="49" t="inlineStr">
        <is>
          <t>Success</t>
        </is>
      </c>
      <c r="L194" s="7" t="n">
        <v>0.4269487940117583</v>
      </c>
      <c r="M194" s="7" t="n">
        <v>0.8538975880235166</v>
      </c>
      <c r="N194" s="7" t="n">
        <v>3.415590352094066</v>
      </c>
    </row>
    <row r="195" ht="18" customHeight="1">
      <c r="A195" s="49" t="inlineStr">
        <is>
          <t>ACE-10194</t>
        </is>
      </c>
      <c r="B195" s="49" t="inlineStr">
        <is>
          <t>2026-05-06 13:59:36</t>
        </is>
      </c>
      <c r="C195" s="49" t="inlineStr">
        <is>
          <t>CUST-97259</t>
        </is>
      </c>
      <c r="D195" s="49" t="inlineStr">
        <is>
          <t>GBP-PKR</t>
        </is>
      </c>
      <c r="E195" s="49" t="inlineStr">
        <is>
          <t>GBP</t>
        </is>
      </c>
      <c r="F195" s="7" t="n">
        <v>245.9715122335842</v>
      </c>
      <c r="G195" s="8" t="n">
        <v>1</v>
      </c>
      <c r="H195" s="7" t="n">
        <v>245.9715122335842</v>
      </c>
      <c r="I195" s="7" t="n">
        <v>1.5</v>
      </c>
      <c r="J195" s="9" t="n">
        <v>0.021</v>
      </c>
      <c r="K195" s="49" t="inlineStr">
        <is>
          <t>Success</t>
        </is>
      </c>
      <c r="L195" s="7" t="n">
        <v>0.3689572683503763</v>
      </c>
      <c r="M195" s="7" t="n">
        <v>0.7379145367007527</v>
      </c>
      <c r="N195" s="7" t="n">
        <v>2.951658146803011</v>
      </c>
    </row>
    <row r="196" ht="18" customHeight="1">
      <c r="A196" s="49" t="inlineStr">
        <is>
          <t>ACE-10195</t>
        </is>
      </c>
      <c r="B196" s="49" t="inlineStr">
        <is>
          <t>2026-05-16 16:29:31</t>
        </is>
      </c>
      <c r="C196" s="49" t="inlineStr">
        <is>
          <t>CUST-70220</t>
        </is>
      </c>
      <c r="D196" s="49" t="inlineStr">
        <is>
          <t>GBP-PKR</t>
        </is>
      </c>
      <c r="E196" s="49" t="inlineStr">
        <is>
          <t>GBP</t>
        </is>
      </c>
      <c r="F196" s="7" t="n">
        <v>283.4703963740321</v>
      </c>
      <c r="G196" s="8" t="n">
        <v>1</v>
      </c>
      <c r="H196" s="7" t="n">
        <v>283.4703963740321</v>
      </c>
      <c r="I196" s="7" t="n">
        <v>1.5</v>
      </c>
      <c r="J196" s="9" t="n">
        <v>0.021</v>
      </c>
      <c r="K196" s="49" t="inlineStr">
        <is>
          <t>Success</t>
        </is>
      </c>
      <c r="L196" s="7" t="n">
        <v>0.4252055945610481</v>
      </c>
      <c r="M196" s="7" t="n">
        <v>0</v>
      </c>
      <c r="N196" s="7" t="n">
        <v>3.401644756488385</v>
      </c>
    </row>
    <row r="197" ht="18" customHeight="1">
      <c r="A197" s="49" t="inlineStr">
        <is>
          <t>ACE-10196</t>
        </is>
      </c>
      <c r="B197" s="49" t="inlineStr">
        <is>
          <t>2026-05-13 16:29:15</t>
        </is>
      </c>
      <c r="C197" s="49" t="inlineStr">
        <is>
          <t>CUST-64099</t>
        </is>
      </c>
      <c r="D197" s="49" t="inlineStr">
        <is>
          <t>GBP-PKR</t>
        </is>
      </c>
      <c r="E197" s="49" t="inlineStr">
        <is>
          <t>GBP</t>
        </is>
      </c>
      <c r="F197" s="7" t="n">
        <v>289.5480737664424</v>
      </c>
      <c r="G197" s="8" t="n">
        <v>1</v>
      </c>
      <c r="H197" s="7" t="n">
        <v>289.5480737664424</v>
      </c>
      <c r="I197" s="7" t="n">
        <v>1.5</v>
      </c>
      <c r="J197" s="9" t="n">
        <v>0.021</v>
      </c>
      <c r="K197" s="49" t="inlineStr">
        <is>
          <t>Success</t>
        </is>
      </c>
      <c r="L197" s="7" t="n">
        <v>0.4343221106496636</v>
      </c>
      <c r="M197" s="7" t="n">
        <v>0</v>
      </c>
      <c r="N197" s="7" t="n">
        <v>3.474576885197309</v>
      </c>
    </row>
    <row r="198" ht="18" customHeight="1">
      <c r="A198" s="49" t="inlineStr">
        <is>
          <t>ACE-10197</t>
        </is>
      </c>
      <c r="B198" s="49" t="inlineStr">
        <is>
          <t>2026-05-10 15:38:56</t>
        </is>
      </c>
      <c r="C198" s="49" t="inlineStr">
        <is>
          <t>CUST-92877</t>
        </is>
      </c>
      <c r="D198" s="49" t="inlineStr">
        <is>
          <t>GBP-PKR</t>
        </is>
      </c>
      <c r="E198" s="49" t="inlineStr">
        <is>
          <t>GBP</t>
        </is>
      </c>
      <c r="F198" s="7" t="n">
        <v>255.0357826799847</v>
      </c>
      <c r="G198" s="8" t="n">
        <v>1</v>
      </c>
      <c r="H198" s="7" t="n">
        <v>255.0357826799847</v>
      </c>
      <c r="I198" s="7" t="n">
        <v>1.5</v>
      </c>
      <c r="J198" s="9" t="n">
        <v>0.021</v>
      </c>
      <c r="K198" s="49" t="inlineStr">
        <is>
          <t>Success</t>
        </is>
      </c>
      <c r="L198" s="7" t="n">
        <v>0.382553674019977</v>
      </c>
      <c r="M198" s="7" t="n">
        <v>0</v>
      </c>
      <c r="N198" s="7" t="n">
        <v>3.060429392159816</v>
      </c>
    </row>
    <row r="199" ht="18" customHeight="1">
      <c r="A199" s="49" t="inlineStr">
        <is>
          <t>ACE-10198</t>
        </is>
      </c>
      <c r="B199" s="49" t="inlineStr">
        <is>
          <t>2026-05-01 09:27:08</t>
        </is>
      </c>
      <c r="C199" s="49" t="inlineStr">
        <is>
          <t>CUST-67332</t>
        </is>
      </c>
      <c r="D199" s="49" t="inlineStr">
        <is>
          <t>GBP-PKR</t>
        </is>
      </c>
      <c r="E199" s="49" t="inlineStr">
        <is>
          <t>GBP</t>
        </is>
      </c>
      <c r="F199" s="7" t="n">
        <v>282.9194176369433</v>
      </c>
      <c r="G199" s="8" t="n">
        <v>1</v>
      </c>
      <c r="H199" s="7" t="n">
        <v>282.9194176369433</v>
      </c>
      <c r="I199" s="7" t="n">
        <v>1.5</v>
      </c>
      <c r="J199" s="9" t="n">
        <v>0.021</v>
      </c>
      <c r="K199" s="49" t="inlineStr">
        <is>
          <t>Success</t>
        </is>
      </c>
      <c r="L199" s="7" t="n">
        <v>0.424379126455415</v>
      </c>
      <c r="M199" s="7" t="n">
        <v>0.84875825291083</v>
      </c>
      <c r="N199" s="7" t="n">
        <v>3.39503301164332</v>
      </c>
    </row>
    <row r="200" ht="18" customHeight="1">
      <c r="A200" s="49" t="inlineStr">
        <is>
          <t>ACE-10199</t>
        </is>
      </c>
      <c r="B200" s="49" t="inlineStr">
        <is>
          <t>2026-05-12 08:25:03</t>
        </is>
      </c>
      <c r="C200" s="49" t="inlineStr">
        <is>
          <t>CUST-87373</t>
        </is>
      </c>
      <c r="D200" s="49" t="inlineStr">
        <is>
          <t>GBP-PKR</t>
        </is>
      </c>
      <c r="E200" s="49" t="inlineStr">
        <is>
          <t>GBP</t>
        </is>
      </c>
      <c r="F200" s="7" t="n">
        <v>280.2299384785878</v>
      </c>
      <c r="G200" s="8" t="n">
        <v>1</v>
      </c>
      <c r="H200" s="7" t="n">
        <v>280.2299384785878</v>
      </c>
      <c r="I200" s="7" t="n">
        <v>1.5</v>
      </c>
      <c r="J200" s="9" t="n">
        <v>0.021</v>
      </c>
      <c r="K200" s="49" t="inlineStr">
        <is>
          <t>Success</t>
        </is>
      </c>
      <c r="L200" s="7" t="n">
        <v>0.4203449077178817</v>
      </c>
      <c r="M200" s="7" t="n">
        <v>0</v>
      </c>
      <c r="N200" s="7" t="n">
        <v>3.362759261743054</v>
      </c>
    </row>
    <row r="201" ht="18" customHeight="1">
      <c r="A201" s="49" t="inlineStr">
        <is>
          <t>ACE-10200</t>
        </is>
      </c>
      <c r="B201" s="49" t="inlineStr">
        <is>
          <t>2026-05-10 09:24:32</t>
        </is>
      </c>
      <c r="C201" s="49" t="inlineStr">
        <is>
          <t>CUST-79514</t>
        </is>
      </c>
      <c r="D201" s="49" t="inlineStr">
        <is>
          <t>GBP-PKR</t>
        </is>
      </c>
      <c r="E201" s="49" t="inlineStr">
        <is>
          <t>GBP</t>
        </is>
      </c>
      <c r="F201" s="7" t="n">
        <v>248.5123576778596</v>
      </c>
      <c r="G201" s="8" t="n">
        <v>1</v>
      </c>
      <c r="H201" s="7" t="n">
        <v>248.5123576778596</v>
      </c>
      <c r="I201" s="7" t="n">
        <v>1.5</v>
      </c>
      <c r="J201" s="9" t="n">
        <v>0.021</v>
      </c>
      <c r="K201" s="49" t="inlineStr">
        <is>
          <t>Success</t>
        </is>
      </c>
      <c r="L201" s="7" t="n">
        <v>0.3727685365167894</v>
      </c>
      <c r="M201" s="7" t="n">
        <v>0</v>
      </c>
      <c r="N201" s="7" t="n">
        <v>2.982148292134315</v>
      </c>
    </row>
    <row r="202" ht="18" customHeight="1">
      <c r="A202" s="49" t="inlineStr">
        <is>
          <t>ACE-10201</t>
        </is>
      </c>
      <c r="B202" s="49" t="inlineStr">
        <is>
          <t>2026-05-20 18:39:07</t>
        </is>
      </c>
      <c r="C202" s="49" t="inlineStr">
        <is>
          <t>CUST-58432</t>
        </is>
      </c>
      <c r="D202" s="49" t="inlineStr">
        <is>
          <t>USD-PKR</t>
        </is>
      </c>
      <c r="E202" s="49" t="inlineStr">
        <is>
          <t>USD</t>
        </is>
      </c>
      <c r="F202" s="7" t="n">
        <v>226.876605683564</v>
      </c>
      <c r="G202" s="8" t="n">
        <v>0.8</v>
      </c>
      <c r="H202" s="7" t="n">
        <v>181.5012845468513</v>
      </c>
      <c r="I202" s="7" t="n">
        <v>1.6</v>
      </c>
      <c r="J202" s="9" t="n">
        <v>0.019</v>
      </c>
      <c r="K202" s="49" t="inlineStr">
        <is>
          <t>Success</t>
        </is>
      </c>
      <c r="L202" s="7" t="n">
        <v>0.2722519268202769</v>
      </c>
      <c r="M202" s="7" t="n">
        <v>0</v>
      </c>
      <c r="N202" s="7" t="n">
        <v>2.178015414562215</v>
      </c>
    </row>
    <row r="203" ht="18" customHeight="1">
      <c r="A203" s="49" t="inlineStr">
        <is>
          <t>ACE-10202</t>
        </is>
      </c>
      <c r="B203" s="49" t="inlineStr">
        <is>
          <t>2026-05-11 16:23:48</t>
        </is>
      </c>
      <c r="C203" s="49" t="inlineStr">
        <is>
          <t>CUST-59454</t>
        </is>
      </c>
      <c r="D203" s="49" t="inlineStr">
        <is>
          <t>GBP-PKR</t>
        </is>
      </c>
      <c r="E203" s="49" t="inlineStr">
        <is>
          <t>GBP</t>
        </is>
      </c>
      <c r="F203" s="7" t="n">
        <v>294.6735271276953</v>
      </c>
      <c r="G203" s="8" t="n">
        <v>1</v>
      </c>
      <c r="H203" s="7" t="n">
        <v>294.6735271276953</v>
      </c>
      <c r="I203" s="7" t="n">
        <v>1.5</v>
      </c>
      <c r="J203" s="9" t="n">
        <v>0.021</v>
      </c>
      <c r="K203" s="49" t="inlineStr">
        <is>
          <t>Success</t>
        </is>
      </c>
      <c r="L203" s="7" t="n">
        <v>0.4420102906915429</v>
      </c>
      <c r="M203" s="7" t="n">
        <v>0</v>
      </c>
      <c r="N203" s="7" t="n">
        <v>3.536082325532343</v>
      </c>
    </row>
    <row r="204" ht="18" customHeight="1">
      <c r="A204" s="49" t="inlineStr">
        <is>
          <t>ACE-10203</t>
        </is>
      </c>
      <c r="B204" s="49" t="inlineStr">
        <is>
          <t>2026-05-17 08:02:02</t>
        </is>
      </c>
      <c r="C204" s="49" t="inlineStr">
        <is>
          <t>CUST-58980</t>
        </is>
      </c>
      <c r="D204" s="49" t="inlineStr">
        <is>
          <t>GBP-PKR</t>
        </is>
      </c>
      <c r="E204" s="49" t="inlineStr">
        <is>
          <t>GBP</t>
        </is>
      </c>
      <c r="F204" s="7" t="n">
        <v>310.4723127426706</v>
      </c>
      <c r="G204" s="8" t="n">
        <v>1</v>
      </c>
      <c r="H204" s="7" t="n">
        <v>310.4723127426706</v>
      </c>
      <c r="I204" s="7" t="n">
        <v>1.5</v>
      </c>
      <c r="J204" s="9" t="n">
        <v>0.021</v>
      </c>
      <c r="K204" s="49" t="inlineStr">
        <is>
          <t>Success</t>
        </is>
      </c>
      <c r="L204" s="7" t="n">
        <v>0.4657084691140059</v>
      </c>
      <c r="M204" s="7" t="n">
        <v>0.9314169382280117</v>
      </c>
      <c r="N204" s="7" t="n">
        <v>3.725667752912047</v>
      </c>
    </row>
    <row r="205" ht="18" customHeight="1">
      <c r="A205" s="49" t="inlineStr">
        <is>
          <t>ACE-10204</t>
        </is>
      </c>
      <c r="B205" s="49" t="inlineStr">
        <is>
          <t>2026-05-17 15:09:38</t>
        </is>
      </c>
      <c r="C205" s="49" t="inlineStr">
        <is>
          <t>CUST-83784</t>
        </is>
      </c>
      <c r="D205" s="49" t="inlineStr">
        <is>
          <t>GBP-PKR</t>
        </is>
      </c>
      <c r="E205" s="49" t="inlineStr">
        <is>
          <t>GBP</t>
        </is>
      </c>
      <c r="F205" s="7" t="n">
        <v>309.5655331157514</v>
      </c>
      <c r="G205" s="8" t="n">
        <v>1</v>
      </c>
      <c r="H205" s="7" t="n">
        <v>309.5655331157514</v>
      </c>
      <c r="I205" s="7" t="n">
        <v>1.5</v>
      </c>
      <c r="J205" s="9" t="n">
        <v>0.021</v>
      </c>
      <c r="K205" s="49" t="inlineStr">
        <is>
          <t>Success</t>
        </is>
      </c>
      <c r="L205" s="7" t="n">
        <v>0.464348299673627</v>
      </c>
      <c r="M205" s="7" t="n">
        <v>0.928696599347254</v>
      </c>
      <c r="N205" s="7" t="n">
        <v>3.714786397389016</v>
      </c>
    </row>
    <row r="206" ht="18" customHeight="1">
      <c r="A206" s="49" t="inlineStr">
        <is>
          <t>ACE-10205</t>
        </is>
      </c>
      <c r="B206" s="49" t="inlineStr">
        <is>
          <t>2026-05-11 10:25:39</t>
        </is>
      </c>
      <c r="C206" s="49" t="inlineStr">
        <is>
          <t>CUST-98452</t>
        </is>
      </c>
      <c r="D206" s="49" t="inlineStr">
        <is>
          <t>EUR-PKR</t>
        </is>
      </c>
      <c r="E206" s="49" t="inlineStr">
        <is>
          <t>EUR</t>
        </is>
      </c>
      <c r="F206" s="7" t="n">
        <v>164.7216591744805</v>
      </c>
      <c r="G206" s="8" t="n">
        <v>0.85</v>
      </c>
      <c r="H206" s="7" t="n">
        <v>140.0134102983084</v>
      </c>
      <c r="I206" s="7" t="n">
        <v>1.275</v>
      </c>
      <c r="J206" s="9" t="n">
        <v>0.023</v>
      </c>
      <c r="K206" s="49" t="inlineStr">
        <is>
          <t>Success</t>
        </is>
      </c>
      <c r="L206" s="7" t="n">
        <v>0.2100201154474627</v>
      </c>
      <c r="M206" s="7" t="n">
        <v>0</v>
      </c>
      <c r="N206" s="7" t="n">
        <v>2.100201154474626</v>
      </c>
    </row>
    <row r="207" ht="18" customHeight="1">
      <c r="A207" s="49" t="inlineStr">
        <is>
          <t>ACE-10206</t>
        </is>
      </c>
      <c r="B207" s="49" t="inlineStr">
        <is>
          <t>2026-05-17 16:34:31</t>
        </is>
      </c>
      <c r="C207" s="49" t="inlineStr">
        <is>
          <t>CUST-96447</t>
        </is>
      </c>
      <c r="D207" s="49" t="inlineStr">
        <is>
          <t>GBP-PKR</t>
        </is>
      </c>
      <c r="E207" s="49" t="inlineStr">
        <is>
          <t>GBP</t>
        </is>
      </c>
      <c r="F207" s="7" t="n">
        <v>253.6631229640683</v>
      </c>
      <c r="G207" s="8" t="n">
        <v>1</v>
      </c>
      <c r="H207" s="7" t="n">
        <v>253.6631229640683</v>
      </c>
      <c r="I207" s="7" t="n">
        <v>1.5</v>
      </c>
      <c r="J207" s="9" t="n">
        <v>0.021</v>
      </c>
      <c r="K207" s="49" t="inlineStr">
        <is>
          <t>Success</t>
        </is>
      </c>
      <c r="L207" s="7" t="n">
        <v>0.3804946844461024</v>
      </c>
      <c r="M207" s="7" t="n">
        <v>0</v>
      </c>
      <c r="N207" s="7" t="n">
        <v>3.043957475568819</v>
      </c>
    </row>
    <row r="208" ht="18" customHeight="1">
      <c r="A208" s="49" t="inlineStr">
        <is>
          <t>ACE-10207</t>
        </is>
      </c>
      <c r="B208" s="49" t="inlineStr">
        <is>
          <t>2026-05-01 13:21:43</t>
        </is>
      </c>
      <c r="C208" s="49" t="inlineStr">
        <is>
          <t>CUST-57183</t>
        </is>
      </c>
      <c r="D208" s="49" t="inlineStr">
        <is>
          <t>EUR-PKR</t>
        </is>
      </c>
      <c r="E208" s="49" t="inlineStr">
        <is>
          <t>EUR</t>
        </is>
      </c>
      <c r="F208" s="7" t="n">
        <v>199.0443369956002</v>
      </c>
      <c r="G208" s="8" t="n">
        <v>0.85</v>
      </c>
      <c r="H208" s="7" t="n">
        <v>169.1876864462602</v>
      </c>
      <c r="I208" s="7" t="n">
        <v>1.275</v>
      </c>
      <c r="J208" s="9" t="n">
        <v>0.023</v>
      </c>
      <c r="K208" s="49" t="inlineStr">
        <is>
          <t>Success</t>
        </is>
      </c>
      <c r="L208" s="7" t="n">
        <v>0.2537815296693903</v>
      </c>
      <c r="M208" s="7" t="n">
        <v>0</v>
      </c>
      <c r="N208" s="7" t="n">
        <v>2.537815296693903</v>
      </c>
    </row>
    <row r="209" ht="18" customHeight="1">
      <c r="A209" s="49" t="inlineStr">
        <is>
          <t>ACE-10208</t>
        </is>
      </c>
      <c r="B209" s="49" t="inlineStr">
        <is>
          <t>2026-05-24 19:40:01</t>
        </is>
      </c>
      <c r="C209" s="49" t="inlineStr">
        <is>
          <t>CUST-89119</t>
        </is>
      </c>
      <c r="D209" s="49" t="inlineStr">
        <is>
          <t>GBP-PKR</t>
        </is>
      </c>
      <c r="E209" s="49" t="inlineStr">
        <is>
          <t>GBP</t>
        </is>
      </c>
      <c r="F209" s="7" t="n">
        <v>293.2918529070174</v>
      </c>
      <c r="G209" s="8" t="n">
        <v>1</v>
      </c>
      <c r="H209" s="7" t="n">
        <v>293.2918529070174</v>
      </c>
      <c r="I209" s="7" t="n">
        <v>1.5</v>
      </c>
      <c r="J209" s="9" t="n">
        <v>0.021</v>
      </c>
      <c r="K209" s="49" t="inlineStr">
        <is>
          <t>Success</t>
        </is>
      </c>
      <c r="L209" s="7" t="n">
        <v>0.439937779360526</v>
      </c>
      <c r="M209" s="7" t="n">
        <v>0.8798755587210521</v>
      </c>
      <c r="N209" s="7" t="n">
        <v>3.519502234884208</v>
      </c>
    </row>
    <row r="210" ht="18" customHeight="1">
      <c r="A210" s="49" t="inlineStr">
        <is>
          <t>ACE-10209</t>
        </is>
      </c>
      <c r="B210" s="49" t="inlineStr">
        <is>
          <t>2026-05-19 17:14:46</t>
        </is>
      </c>
      <c r="C210" s="49" t="inlineStr">
        <is>
          <t>CUST-53365</t>
        </is>
      </c>
      <c r="D210" s="49" t="inlineStr">
        <is>
          <t>USD-PKR</t>
        </is>
      </c>
      <c r="E210" s="49" t="inlineStr">
        <is>
          <t>USD</t>
        </is>
      </c>
      <c r="F210" s="7" t="n">
        <v>230.4726764315155</v>
      </c>
      <c r="G210" s="8" t="n">
        <v>0.8</v>
      </c>
      <c r="H210" s="7" t="n">
        <v>184.3781411452125</v>
      </c>
      <c r="I210" s="7" t="n">
        <v>1.6</v>
      </c>
      <c r="J210" s="9" t="n">
        <v>0.019</v>
      </c>
      <c r="K210" s="49" t="inlineStr">
        <is>
          <t>Success</t>
        </is>
      </c>
      <c r="L210" s="7" t="n">
        <v>0.2765672117178187</v>
      </c>
      <c r="M210" s="7" t="n">
        <v>0</v>
      </c>
      <c r="N210" s="7" t="n">
        <v>2.212537693742549</v>
      </c>
    </row>
    <row r="211" ht="18" customHeight="1">
      <c r="A211" s="49" t="inlineStr">
        <is>
          <t>ACE-10210</t>
        </is>
      </c>
      <c r="B211" s="49" t="inlineStr">
        <is>
          <t>2026-05-21 19:39:49</t>
        </is>
      </c>
      <c r="C211" s="49" t="inlineStr">
        <is>
          <t>CUST-74916</t>
        </is>
      </c>
      <c r="D211" s="49" t="inlineStr">
        <is>
          <t>GBP-PKR</t>
        </is>
      </c>
      <c r="E211" s="49" t="inlineStr">
        <is>
          <t>GBP</t>
        </is>
      </c>
      <c r="F211" s="7" t="n">
        <v>409.5515383845415</v>
      </c>
      <c r="G211" s="8" t="n">
        <v>1</v>
      </c>
      <c r="H211" s="7" t="n">
        <v>409.5515383845415</v>
      </c>
      <c r="I211" s="7" t="n">
        <v>1.5</v>
      </c>
      <c r="J211" s="9" t="n">
        <v>0.021</v>
      </c>
      <c r="K211" s="49" t="inlineStr">
        <is>
          <t>Success</t>
        </is>
      </c>
      <c r="L211" s="7" t="n">
        <v>0.6143273075768123</v>
      </c>
      <c r="M211" s="7" t="n">
        <v>1.228654615153625</v>
      </c>
      <c r="N211" s="7" t="n">
        <v>4.914618460614498</v>
      </c>
    </row>
    <row r="212" ht="18" customHeight="1">
      <c r="A212" s="49" t="inlineStr">
        <is>
          <t>ACE-10211</t>
        </is>
      </c>
      <c r="B212" s="49" t="inlineStr">
        <is>
          <t>2026-05-02 17:44:07</t>
        </is>
      </c>
      <c r="C212" s="49" t="inlineStr">
        <is>
          <t>CUST-62503</t>
        </is>
      </c>
      <c r="D212" s="49" t="inlineStr">
        <is>
          <t>EUR-PKR</t>
        </is>
      </c>
      <c r="E212" s="49" t="inlineStr">
        <is>
          <t>EUR</t>
        </is>
      </c>
      <c r="F212" s="7" t="n">
        <v>200.1592146760227</v>
      </c>
      <c r="G212" s="8" t="n">
        <v>0.85</v>
      </c>
      <c r="H212" s="7" t="n">
        <v>170.1353324746193</v>
      </c>
      <c r="I212" s="7" t="n">
        <v>1.275</v>
      </c>
      <c r="J212" s="9" t="n">
        <v>0.023</v>
      </c>
      <c r="K212" s="49" t="inlineStr">
        <is>
          <t>Failed</t>
        </is>
      </c>
      <c r="L212" s="7" t="n">
        <v>0</v>
      </c>
      <c r="M212" s="7" t="n">
        <v>0</v>
      </c>
      <c r="N212" s="7" t="n">
        <v>0.5</v>
      </c>
    </row>
    <row r="213" ht="18" customHeight="1">
      <c r="A213" s="49" t="inlineStr">
        <is>
          <t>ACE-10212</t>
        </is>
      </c>
      <c r="B213" s="49" t="inlineStr">
        <is>
          <t>2026-05-11 14:09:26</t>
        </is>
      </c>
      <c r="C213" s="49" t="inlineStr">
        <is>
          <t>CUST-95252</t>
        </is>
      </c>
      <c r="D213" s="49" t="inlineStr">
        <is>
          <t>GBP-PKR</t>
        </is>
      </c>
      <c r="E213" s="49" t="inlineStr">
        <is>
          <t>GBP</t>
        </is>
      </c>
      <c r="F213" s="7" t="n">
        <v>312.1070279190173</v>
      </c>
      <c r="G213" s="8" t="n">
        <v>1</v>
      </c>
      <c r="H213" s="7" t="n">
        <v>312.1070279190173</v>
      </c>
      <c r="I213" s="7" t="n">
        <v>1.5</v>
      </c>
      <c r="J213" s="9" t="n">
        <v>0.021</v>
      </c>
      <c r="K213" s="49" t="inlineStr">
        <is>
          <t>Success</t>
        </is>
      </c>
      <c r="L213" s="7" t="n">
        <v>0.468160541878526</v>
      </c>
      <c r="M213" s="7" t="n">
        <v>0</v>
      </c>
      <c r="N213" s="7" t="n">
        <v>3.745284335028208</v>
      </c>
    </row>
    <row r="214" ht="18" customHeight="1">
      <c r="A214" s="49" t="inlineStr">
        <is>
          <t>ACE-10213</t>
        </is>
      </c>
      <c r="B214" s="49" t="inlineStr">
        <is>
          <t>2026-05-20 15:55:54</t>
        </is>
      </c>
      <c r="C214" s="49" t="inlineStr">
        <is>
          <t>CUST-98223</t>
        </is>
      </c>
      <c r="D214" s="49" t="inlineStr">
        <is>
          <t>USD-PKR</t>
        </is>
      </c>
      <c r="E214" s="49" t="inlineStr">
        <is>
          <t>USD</t>
        </is>
      </c>
      <c r="F214" s="7" t="n">
        <v>240.8146914796513</v>
      </c>
      <c r="G214" s="8" t="n">
        <v>0.8</v>
      </c>
      <c r="H214" s="7" t="n">
        <v>192.651753183721</v>
      </c>
      <c r="I214" s="7" t="n">
        <v>1.6</v>
      </c>
      <c r="J214" s="9" t="n">
        <v>0.019</v>
      </c>
      <c r="K214" s="49" t="inlineStr">
        <is>
          <t>Success</t>
        </is>
      </c>
      <c r="L214" s="7" t="n">
        <v>0.2889776297755816</v>
      </c>
      <c r="M214" s="7" t="n">
        <v>0.5779552595511631</v>
      </c>
      <c r="N214" s="7" t="n">
        <v>2.311821038204652</v>
      </c>
    </row>
    <row r="215" ht="18" customHeight="1">
      <c r="A215" s="49" t="inlineStr">
        <is>
          <t>ACE-10214</t>
        </is>
      </c>
      <c r="B215" s="49" t="inlineStr">
        <is>
          <t>2026-05-17 11:35:20</t>
        </is>
      </c>
      <c r="C215" s="49" t="inlineStr">
        <is>
          <t>CUST-93399</t>
        </is>
      </c>
      <c r="D215" s="49" t="inlineStr">
        <is>
          <t>GBP-PKR</t>
        </is>
      </c>
      <c r="E215" s="49" t="inlineStr">
        <is>
          <t>GBP</t>
        </is>
      </c>
      <c r="F215" s="7" t="n">
        <v>297.3555997917057</v>
      </c>
      <c r="G215" s="8" t="n">
        <v>1</v>
      </c>
      <c r="H215" s="7" t="n">
        <v>297.3555997917057</v>
      </c>
      <c r="I215" s="7" t="n">
        <v>1.5</v>
      </c>
      <c r="J215" s="9" t="n">
        <v>0.021</v>
      </c>
      <c r="K215" s="49" t="inlineStr">
        <is>
          <t>Success</t>
        </is>
      </c>
      <c r="L215" s="7" t="n">
        <v>0.4460333996875586</v>
      </c>
      <c r="M215" s="7" t="n">
        <v>0</v>
      </c>
      <c r="N215" s="7" t="n">
        <v>3.568267197500469</v>
      </c>
    </row>
    <row r="216" ht="18" customHeight="1">
      <c r="A216" s="49" t="inlineStr">
        <is>
          <t>ACE-10215</t>
        </is>
      </c>
      <c r="B216" s="49" t="inlineStr">
        <is>
          <t>2026-05-06 15:58:34</t>
        </is>
      </c>
      <c r="C216" s="49" t="inlineStr">
        <is>
          <t>CUST-72434</t>
        </is>
      </c>
      <c r="D216" s="49" t="inlineStr">
        <is>
          <t>GBP-PKR</t>
        </is>
      </c>
      <c r="E216" s="49" t="inlineStr">
        <is>
          <t>GBP</t>
        </is>
      </c>
      <c r="F216" s="7" t="n">
        <v>269.9569977456435</v>
      </c>
      <c r="G216" s="8" t="n">
        <v>1</v>
      </c>
      <c r="H216" s="7" t="n">
        <v>269.9569977456435</v>
      </c>
      <c r="I216" s="7" t="n">
        <v>1.5</v>
      </c>
      <c r="J216" s="9" t="n">
        <v>0.021</v>
      </c>
      <c r="K216" s="49" t="inlineStr">
        <is>
          <t>Success</t>
        </is>
      </c>
      <c r="L216" s="7" t="n">
        <v>0.4049354966184653</v>
      </c>
      <c r="M216" s="7" t="n">
        <v>0.8098709932369307</v>
      </c>
      <c r="N216" s="7" t="n">
        <v>3.239483972947723</v>
      </c>
    </row>
    <row r="217" ht="18" customHeight="1">
      <c r="A217" s="49" t="inlineStr">
        <is>
          <t>ACE-10216</t>
        </is>
      </c>
      <c r="B217" s="49" t="inlineStr">
        <is>
          <t>2026-05-24 18:41:51</t>
        </is>
      </c>
      <c r="C217" s="49" t="inlineStr">
        <is>
          <t>CUST-95436</t>
        </is>
      </c>
      <c r="D217" s="49" t="inlineStr">
        <is>
          <t>USD-PKR</t>
        </is>
      </c>
      <c r="E217" s="49" t="inlineStr">
        <is>
          <t>USD</t>
        </is>
      </c>
      <c r="F217" s="7" t="n">
        <v>236.1635251841696</v>
      </c>
      <c r="G217" s="8" t="n">
        <v>0.8</v>
      </c>
      <c r="H217" s="7" t="n">
        <v>188.9308201473357</v>
      </c>
      <c r="I217" s="7" t="n">
        <v>1.6</v>
      </c>
      <c r="J217" s="9" t="n">
        <v>0.019</v>
      </c>
      <c r="K217" s="49" t="inlineStr">
        <is>
          <t>Success</t>
        </is>
      </c>
      <c r="L217" s="7" t="n">
        <v>0.2833962302210036</v>
      </c>
      <c r="M217" s="7" t="n">
        <v>0</v>
      </c>
      <c r="N217" s="7" t="n">
        <v>2.267169841768029</v>
      </c>
    </row>
    <row r="218" ht="18" customHeight="1">
      <c r="A218" s="49" t="inlineStr">
        <is>
          <t>ACE-10217</t>
        </is>
      </c>
      <c r="B218" s="49" t="inlineStr">
        <is>
          <t>2026-05-08 12:35:19</t>
        </is>
      </c>
      <c r="C218" s="49" t="inlineStr">
        <is>
          <t>CUST-64736</t>
        </is>
      </c>
      <c r="D218" s="49" t="inlineStr">
        <is>
          <t>GBP-PKR</t>
        </is>
      </c>
      <c r="E218" s="49" t="inlineStr">
        <is>
          <t>GBP</t>
        </is>
      </c>
      <c r="F218" s="7" t="n">
        <v>257.8832805827666</v>
      </c>
      <c r="G218" s="8" t="n">
        <v>1</v>
      </c>
      <c r="H218" s="7" t="n">
        <v>257.8832805827666</v>
      </c>
      <c r="I218" s="7" t="n">
        <v>1.5</v>
      </c>
      <c r="J218" s="9" t="n">
        <v>0.021</v>
      </c>
      <c r="K218" s="49" t="inlineStr">
        <is>
          <t>Success</t>
        </is>
      </c>
      <c r="L218" s="7" t="n">
        <v>0.38682492087415</v>
      </c>
      <c r="M218" s="7" t="n">
        <v>0.7736498417483</v>
      </c>
      <c r="N218" s="7" t="n">
        <v>3.0945993669932</v>
      </c>
    </row>
    <row r="219" ht="18" customHeight="1">
      <c r="A219" s="49" t="inlineStr">
        <is>
          <t>ACE-10218</t>
        </is>
      </c>
      <c r="B219" s="49" t="inlineStr">
        <is>
          <t>2026-05-10 19:13:44</t>
        </is>
      </c>
      <c r="C219" s="49" t="inlineStr">
        <is>
          <t>CUST-96202</t>
        </is>
      </c>
      <c r="D219" s="49" t="inlineStr">
        <is>
          <t>GBP-PKR</t>
        </is>
      </c>
      <c r="E219" s="49" t="inlineStr">
        <is>
          <t>GBP</t>
        </is>
      </c>
      <c r="F219" s="7" t="n">
        <v>272.0831566350508</v>
      </c>
      <c r="G219" s="8" t="n">
        <v>1</v>
      </c>
      <c r="H219" s="7" t="n">
        <v>272.0831566350508</v>
      </c>
      <c r="I219" s="7" t="n">
        <v>1.5</v>
      </c>
      <c r="J219" s="9" t="n">
        <v>0.021</v>
      </c>
      <c r="K219" s="49" t="inlineStr">
        <is>
          <t>Success</t>
        </is>
      </c>
      <c r="L219" s="7" t="n">
        <v>0.4081247349525762</v>
      </c>
      <c r="M219" s="7" t="n">
        <v>0</v>
      </c>
      <c r="N219" s="7" t="n">
        <v>3.264997879620609</v>
      </c>
    </row>
    <row r="220" ht="18" customHeight="1">
      <c r="A220" s="49" t="inlineStr">
        <is>
          <t>ACE-10219</t>
        </is>
      </c>
      <c r="B220" s="49" t="inlineStr">
        <is>
          <t>2026-05-18 20:46:17</t>
        </is>
      </c>
      <c r="C220" s="49" t="inlineStr">
        <is>
          <t>CUST-68860</t>
        </is>
      </c>
      <c r="D220" s="49" t="inlineStr">
        <is>
          <t>USD-PKR</t>
        </is>
      </c>
      <c r="E220" s="49" t="inlineStr">
        <is>
          <t>USD</t>
        </is>
      </c>
      <c r="F220" s="7" t="n">
        <v>208.5317257574103</v>
      </c>
      <c r="G220" s="8" t="n">
        <v>0.8</v>
      </c>
      <c r="H220" s="7" t="n">
        <v>166.8253806059282</v>
      </c>
      <c r="I220" s="7" t="n">
        <v>1.6</v>
      </c>
      <c r="J220" s="9" t="n">
        <v>0.019</v>
      </c>
      <c r="K220" s="49" t="inlineStr">
        <is>
          <t>Success</t>
        </is>
      </c>
      <c r="L220" s="7" t="n">
        <v>0.2502380709088923</v>
      </c>
      <c r="M220" s="7" t="n">
        <v>0.5004761418177847</v>
      </c>
      <c r="N220" s="7" t="n">
        <v>2.001904567271139</v>
      </c>
    </row>
    <row r="221" ht="18" customHeight="1">
      <c r="A221" s="49" t="inlineStr">
        <is>
          <t>ACE-10220</t>
        </is>
      </c>
      <c r="B221" s="49" t="inlineStr">
        <is>
          <t>2026-05-13 14:52:22</t>
        </is>
      </c>
      <c r="C221" s="49" t="inlineStr">
        <is>
          <t>CUST-59599</t>
        </is>
      </c>
      <c r="D221" s="49" t="inlineStr">
        <is>
          <t>GBP-PKR</t>
        </is>
      </c>
      <c r="E221" s="49" t="inlineStr">
        <is>
          <t>GBP</t>
        </is>
      </c>
      <c r="F221" s="7" t="n">
        <v>280.893899760289</v>
      </c>
      <c r="G221" s="8" t="n">
        <v>1</v>
      </c>
      <c r="H221" s="7" t="n">
        <v>280.893899760289</v>
      </c>
      <c r="I221" s="7" t="n">
        <v>1.5</v>
      </c>
      <c r="J221" s="9" t="n">
        <v>0.021</v>
      </c>
      <c r="K221" s="49" t="inlineStr">
        <is>
          <t>Success</t>
        </is>
      </c>
      <c r="L221" s="7" t="n">
        <v>0.4213408496404335</v>
      </c>
      <c r="M221" s="7" t="n">
        <v>0</v>
      </c>
      <c r="N221" s="7" t="n">
        <v>3.370726797123468</v>
      </c>
    </row>
    <row r="222" ht="18" customHeight="1">
      <c r="A222" s="49" t="inlineStr">
        <is>
          <t>ACE-10221</t>
        </is>
      </c>
      <c r="B222" s="49" t="inlineStr">
        <is>
          <t>2026-05-23 09:22:59</t>
        </is>
      </c>
      <c r="C222" s="49" t="inlineStr">
        <is>
          <t>CUST-78991</t>
        </is>
      </c>
      <c r="D222" s="49" t="inlineStr">
        <is>
          <t>GBP-PKR</t>
        </is>
      </c>
      <c r="E222" s="49" t="inlineStr">
        <is>
          <t>GBP</t>
        </is>
      </c>
      <c r="F222" s="7" t="n">
        <v>351.1647406142492</v>
      </c>
      <c r="G222" s="8" t="n">
        <v>1</v>
      </c>
      <c r="H222" s="7" t="n">
        <v>351.1647406142492</v>
      </c>
      <c r="I222" s="7" t="n">
        <v>1.5</v>
      </c>
      <c r="J222" s="9" t="n">
        <v>0.021</v>
      </c>
      <c r="K222" s="49" t="inlineStr">
        <is>
          <t>Success</t>
        </is>
      </c>
      <c r="L222" s="7" t="n">
        <v>0.5267471109213738</v>
      </c>
      <c r="M222" s="7" t="n">
        <v>1.053494221842748</v>
      </c>
      <c r="N222" s="7" t="n">
        <v>4.213976887370991</v>
      </c>
    </row>
    <row r="223" ht="18" customHeight="1">
      <c r="A223" s="49" t="inlineStr">
        <is>
          <t>ACE-10222</t>
        </is>
      </c>
      <c r="B223" s="49" t="inlineStr">
        <is>
          <t>2026-05-07 11:52:34</t>
        </is>
      </c>
      <c r="C223" s="49" t="inlineStr">
        <is>
          <t>CUST-67768</t>
        </is>
      </c>
      <c r="D223" s="49" t="inlineStr">
        <is>
          <t>GBP-PKR</t>
        </is>
      </c>
      <c r="E223" s="49" t="inlineStr">
        <is>
          <t>GBP</t>
        </is>
      </c>
      <c r="F223" s="7" t="n">
        <v>231.1491293695802</v>
      </c>
      <c r="G223" s="8" t="n">
        <v>1</v>
      </c>
      <c r="H223" s="7" t="n">
        <v>231.1491293695802</v>
      </c>
      <c r="I223" s="7" t="n">
        <v>1.5</v>
      </c>
      <c r="J223" s="9" t="n">
        <v>0.021</v>
      </c>
      <c r="K223" s="49" t="inlineStr">
        <is>
          <t>Success</t>
        </is>
      </c>
      <c r="L223" s="7" t="n">
        <v>0.3467236940543703</v>
      </c>
      <c r="M223" s="7" t="n">
        <v>0.6934473881087405</v>
      </c>
      <c r="N223" s="7" t="n">
        <v>2.773789552434962</v>
      </c>
    </row>
    <row r="224" ht="18" customHeight="1">
      <c r="A224" s="49" t="inlineStr">
        <is>
          <t>ACE-10223</t>
        </is>
      </c>
      <c r="B224" s="49" t="inlineStr">
        <is>
          <t>2026-05-05 09:39:47</t>
        </is>
      </c>
      <c r="C224" s="49" t="inlineStr">
        <is>
          <t>CUST-88458</t>
        </is>
      </c>
      <c r="D224" s="49" t="inlineStr">
        <is>
          <t>GBP-PKR</t>
        </is>
      </c>
      <c r="E224" s="49" t="inlineStr">
        <is>
          <t>GBP</t>
        </is>
      </c>
      <c r="F224" s="7" t="n">
        <v>298.3942570121905</v>
      </c>
      <c r="G224" s="8" t="n">
        <v>1</v>
      </c>
      <c r="H224" s="7" t="n">
        <v>298.3942570121905</v>
      </c>
      <c r="I224" s="7" t="n">
        <v>1.5</v>
      </c>
      <c r="J224" s="9" t="n">
        <v>0.021</v>
      </c>
      <c r="K224" s="49" t="inlineStr">
        <is>
          <t>Success</t>
        </is>
      </c>
      <c r="L224" s="7" t="n">
        <v>0.4475913855182858</v>
      </c>
      <c r="M224" s="7" t="n">
        <v>0</v>
      </c>
      <c r="N224" s="7" t="n">
        <v>3.580731084146286</v>
      </c>
    </row>
    <row r="225" ht="18" customHeight="1">
      <c r="A225" s="49" t="inlineStr">
        <is>
          <t>ACE-10224</t>
        </is>
      </c>
      <c r="B225" s="49" t="inlineStr">
        <is>
          <t>2026-05-17 11:40:14</t>
        </is>
      </c>
      <c r="C225" s="49" t="inlineStr">
        <is>
          <t>CUST-53440</t>
        </is>
      </c>
      <c r="D225" s="49" t="inlineStr">
        <is>
          <t>GBP-PKR</t>
        </is>
      </c>
      <c r="E225" s="49" t="inlineStr">
        <is>
          <t>GBP</t>
        </is>
      </c>
      <c r="F225" s="7" t="n">
        <v>237.1085412021418</v>
      </c>
      <c r="G225" s="8" t="n">
        <v>1</v>
      </c>
      <c r="H225" s="7" t="n">
        <v>237.1085412021418</v>
      </c>
      <c r="I225" s="7" t="n">
        <v>1.5</v>
      </c>
      <c r="J225" s="9" t="n">
        <v>0.021</v>
      </c>
      <c r="K225" s="49" t="inlineStr">
        <is>
          <t>Success</t>
        </is>
      </c>
      <c r="L225" s="7" t="n">
        <v>0.3556628118032127</v>
      </c>
      <c r="M225" s="7" t="n">
        <v>0</v>
      </c>
      <c r="N225" s="7" t="n">
        <v>2.845302494425702</v>
      </c>
    </row>
    <row r="226" ht="18" customHeight="1">
      <c r="A226" s="49" t="inlineStr">
        <is>
          <t>ACE-10225</t>
        </is>
      </c>
      <c r="B226" s="49" t="inlineStr">
        <is>
          <t>2026-05-16 09:43:49</t>
        </is>
      </c>
      <c r="C226" s="49" t="inlineStr">
        <is>
          <t>CUST-59009</t>
        </is>
      </c>
      <c r="D226" s="49" t="inlineStr">
        <is>
          <t>EUR-PKR</t>
        </is>
      </c>
      <c r="E226" s="49" t="inlineStr">
        <is>
          <t>EUR</t>
        </is>
      </c>
      <c r="F226" s="7" t="n">
        <v>180.3376425225232</v>
      </c>
      <c r="G226" s="8" t="n">
        <v>0.85</v>
      </c>
      <c r="H226" s="7" t="n">
        <v>153.2869961441447</v>
      </c>
      <c r="I226" s="7" t="n">
        <v>1.275</v>
      </c>
      <c r="J226" s="9" t="n">
        <v>0.023</v>
      </c>
      <c r="K226" s="49" t="inlineStr">
        <is>
          <t>Failed</t>
        </is>
      </c>
      <c r="L226" s="7" t="n">
        <v>0</v>
      </c>
      <c r="M226" s="7" t="n">
        <v>0</v>
      </c>
      <c r="N226" s="7" t="n">
        <v>0.5</v>
      </c>
    </row>
    <row r="227" ht="18" customHeight="1">
      <c r="A227" s="49" t="inlineStr">
        <is>
          <t>ACE-10226</t>
        </is>
      </c>
      <c r="B227" s="49" t="inlineStr">
        <is>
          <t>2026-05-18 10:26:41</t>
        </is>
      </c>
      <c r="C227" s="49" t="inlineStr">
        <is>
          <t>CUST-81175</t>
        </is>
      </c>
      <c r="D227" s="49" t="inlineStr">
        <is>
          <t>GBP-PKR</t>
        </is>
      </c>
      <c r="E227" s="49" t="inlineStr">
        <is>
          <t>GBP</t>
        </is>
      </c>
      <c r="F227" s="7" t="n">
        <v>310.6555253807174</v>
      </c>
      <c r="G227" s="8" t="n">
        <v>1</v>
      </c>
      <c r="H227" s="7" t="n">
        <v>310.6555253807174</v>
      </c>
      <c r="I227" s="7" t="n">
        <v>1.5</v>
      </c>
      <c r="J227" s="9" t="n">
        <v>0.021</v>
      </c>
      <c r="K227" s="49" t="inlineStr">
        <is>
          <t>Success</t>
        </is>
      </c>
      <c r="L227" s="7" t="n">
        <v>0.4659832880710762</v>
      </c>
      <c r="M227" s="7" t="n">
        <v>0</v>
      </c>
      <c r="N227" s="7" t="n">
        <v>3.72786630456861</v>
      </c>
    </row>
    <row r="228" ht="18" customHeight="1">
      <c r="A228" s="49" t="inlineStr">
        <is>
          <t>ACE-10227</t>
        </is>
      </c>
      <c r="B228" s="49" t="inlineStr">
        <is>
          <t>2026-05-10 13:18:41</t>
        </is>
      </c>
      <c r="C228" s="49" t="inlineStr">
        <is>
          <t>CUST-53877</t>
        </is>
      </c>
      <c r="D228" s="49" t="inlineStr">
        <is>
          <t>GBP-PKR</t>
        </is>
      </c>
      <c r="E228" s="49" t="inlineStr">
        <is>
          <t>GBP</t>
        </is>
      </c>
      <c r="F228" s="7" t="n">
        <v>280.4001261571366</v>
      </c>
      <c r="G228" s="8" t="n">
        <v>1</v>
      </c>
      <c r="H228" s="7" t="n">
        <v>280.4001261571366</v>
      </c>
      <c r="I228" s="7" t="n">
        <v>1.5</v>
      </c>
      <c r="J228" s="9" t="n">
        <v>0.021</v>
      </c>
      <c r="K228" s="49" t="inlineStr">
        <is>
          <t>Success</t>
        </is>
      </c>
      <c r="L228" s="7" t="n">
        <v>0.4206001892357049</v>
      </c>
      <c r="M228" s="7" t="n">
        <v>0</v>
      </c>
      <c r="N228" s="7" t="n">
        <v>3.364801513885639</v>
      </c>
    </row>
    <row r="229" ht="18" customHeight="1">
      <c r="A229" s="49" t="inlineStr">
        <is>
          <t>ACE-10228</t>
        </is>
      </c>
      <c r="B229" s="49" t="inlineStr">
        <is>
          <t>2026-05-19 11:34:47</t>
        </is>
      </c>
      <c r="C229" s="49" t="inlineStr">
        <is>
          <t>CUST-97390</t>
        </is>
      </c>
      <c r="D229" s="49" t="inlineStr">
        <is>
          <t>GBP-PKR</t>
        </is>
      </c>
      <c r="E229" s="49" t="inlineStr">
        <is>
          <t>GBP</t>
        </is>
      </c>
      <c r="F229" s="7" t="n">
        <v>250.1385902788577</v>
      </c>
      <c r="G229" s="8" t="n">
        <v>1</v>
      </c>
      <c r="H229" s="7" t="n">
        <v>250.1385902788577</v>
      </c>
      <c r="I229" s="7" t="n">
        <v>1.5</v>
      </c>
      <c r="J229" s="9" t="n">
        <v>0.021</v>
      </c>
      <c r="K229" s="49" t="inlineStr">
        <is>
          <t>Success</t>
        </is>
      </c>
      <c r="L229" s="7" t="n">
        <v>0.3752078854182866</v>
      </c>
      <c r="M229" s="7" t="n">
        <v>0</v>
      </c>
      <c r="N229" s="7" t="n">
        <v>3.001663083346293</v>
      </c>
    </row>
    <row r="230" ht="18" customHeight="1">
      <c r="A230" s="49" t="inlineStr">
        <is>
          <t>ACE-10229</t>
        </is>
      </c>
      <c r="B230" s="49" t="inlineStr">
        <is>
          <t>2026-05-06 14:56:53</t>
        </is>
      </c>
      <c r="C230" s="49" t="inlineStr">
        <is>
          <t>CUST-61520</t>
        </is>
      </c>
      <c r="D230" s="49" t="inlineStr">
        <is>
          <t>USD-PKR</t>
        </is>
      </c>
      <c r="E230" s="49" t="inlineStr">
        <is>
          <t>USD</t>
        </is>
      </c>
      <c r="F230" s="7" t="n">
        <v>203.7914517144533</v>
      </c>
      <c r="G230" s="8" t="n">
        <v>0.8</v>
      </c>
      <c r="H230" s="7" t="n">
        <v>163.0331613715627</v>
      </c>
      <c r="I230" s="7" t="n">
        <v>1.6</v>
      </c>
      <c r="J230" s="9" t="n">
        <v>0.019</v>
      </c>
      <c r="K230" s="49" t="inlineStr">
        <is>
          <t>Success</t>
        </is>
      </c>
      <c r="L230" s="7" t="n">
        <v>0.244549742057344</v>
      </c>
      <c r="M230" s="7" t="n">
        <v>0</v>
      </c>
      <c r="N230" s="7" t="n">
        <v>1.956397936458752</v>
      </c>
    </row>
    <row r="231" ht="18" customHeight="1">
      <c r="A231" s="49" t="inlineStr">
        <is>
          <t>ACE-10230</t>
        </is>
      </c>
      <c r="B231" s="49" t="inlineStr">
        <is>
          <t>2026-05-13 20:31:11</t>
        </is>
      </c>
      <c r="C231" s="49" t="inlineStr">
        <is>
          <t>CUST-99086</t>
        </is>
      </c>
      <c r="D231" s="49" t="inlineStr">
        <is>
          <t>GBP-PKR</t>
        </is>
      </c>
      <c r="E231" s="49" t="inlineStr">
        <is>
          <t>GBP</t>
        </is>
      </c>
      <c r="F231" s="7" t="n">
        <v>298.1955197969619</v>
      </c>
      <c r="G231" s="8" t="n">
        <v>1</v>
      </c>
      <c r="H231" s="7" t="n">
        <v>298.1955197969619</v>
      </c>
      <c r="I231" s="7" t="n">
        <v>1.5</v>
      </c>
      <c r="J231" s="9" t="n">
        <v>0.021</v>
      </c>
      <c r="K231" s="49" t="inlineStr">
        <is>
          <t>Success</t>
        </is>
      </c>
      <c r="L231" s="7" t="n">
        <v>0.4472932796954429</v>
      </c>
      <c r="M231" s="7" t="n">
        <v>0.8945865593908858</v>
      </c>
      <c r="N231" s="7" t="n">
        <v>3.578346237563543</v>
      </c>
    </row>
    <row r="232" ht="18" customHeight="1">
      <c r="A232" s="49" t="inlineStr">
        <is>
          <t>ACE-10231</t>
        </is>
      </c>
      <c r="B232" s="49" t="inlineStr">
        <is>
          <t>2026-05-02 08:19:36</t>
        </is>
      </c>
      <c r="C232" s="49" t="inlineStr">
        <is>
          <t>CUST-89503</t>
        </is>
      </c>
      <c r="D232" s="49" t="inlineStr">
        <is>
          <t>GBP-PKR</t>
        </is>
      </c>
      <c r="E232" s="49" t="inlineStr">
        <is>
          <t>GBP</t>
        </is>
      </c>
      <c r="F232" s="7" t="n">
        <v>258.9805442099665</v>
      </c>
      <c r="G232" s="8" t="n">
        <v>1</v>
      </c>
      <c r="H232" s="7" t="n">
        <v>258.9805442099665</v>
      </c>
      <c r="I232" s="7" t="n">
        <v>1.5</v>
      </c>
      <c r="J232" s="9" t="n">
        <v>0.021</v>
      </c>
      <c r="K232" s="49" t="inlineStr">
        <is>
          <t>Success</t>
        </is>
      </c>
      <c r="L232" s="7" t="n">
        <v>0.3884708163149498</v>
      </c>
      <c r="M232" s="7" t="n">
        <v>0.7769416326298996</v>
      </c>
      <c r="N232" s="7" t="n">
        <v>3.107766530519598</v>
      </c>
    </row>
    <row r="233" ht="18" customHeight="1">
      <c r="A233" s="49" t="inlineStr">
        <is>
          <t>ACE-10232</t>
        </is>
      </c>
      <c r="B233" s="49" t="inlineStr">
        <is>
          <t>2026-05-10 15:41:34</t>
        </is>
      </c>
      <c r="C233" s="49" t="inlineStr">
        <is>
          <t>CUST-84361</t>
        </is>
      </c>
      <c r="D233" s="49" t="inlineStr">
        <is>
          <t>EUR-PKR</t>
        </is>
      </c>
      <c r="E233" s="49" t="inlineStr">
        <is>
          <t>EUR</t>
        </is>
      </c>
      <c r="F233" s="7" t="n">
        <v>193.1891829073703</v>
      </c>
      <c r="G233" s="8" t="n">
        <v>0.85</v>
      </c>
      <c r="H233" s="7" t="n">
        <v>164.2108054712648</v>
      </c>
      <c r="I233" s="7" t="n">
        <v>1.275</v>
      </c>
      <c r="J233" s="9" t="n">
        <v>0.023</v>
      </c>
      <c r="K233" s="49" t="inlineStr">
        <is>
          <t>Success</t>
        </is>
      </c>
      <c r="L233" s="7" t="n">
        <v>0.2463162082068971</v>
      </c>
      <c r="M233" s="7" t="n">
        <v>0.4926324164137943</v>
      </c>
      <c r="N233" s="7" t="n">
        <v>2.463162082068971</v>
      </c>
    </row>
    <row r="234" ht="18" customHeight="1">
      <c r="A234" s="49" t="inlineStr">
        <is>
          <t>ACE-10233</t>
        </is>
      </c>
      <c r="B234" s="49" t="inlineStr">
        <is>
          <t>2026-05-17 15:17:12</t>
        </is>
      </c>
      <c r="C234" s="49" t="inlineStr">
        <is>
          <t>CUST-57382</t>
        </is>
      </c>
      <c r="D234" s="49" t="inlineStr">
        <is>
          <t>GBP-PKR</t>
        </is>
      </c>
      <c r="E234" s="49" t="inlineStr">
        <is>
          <t>GBP</t>
        </is>
      </c>
      <c r="F234" s="7" t="n">
        <v>279.8760389652977</v>
      </c>
      <c r="G234" s="8" t="n">
        <v>1</v>
      </c>
      <c r="H234" s="7" t="n">
        <v>279.8760389652977</v>
      </c>
      <c r="I234" s="7" t="n">
        <v>1.5</v>
      </c>
      <c r="J234" s="9" t="n">
        <v>0.021</v>
      </c>
      <c r="K234" s="49" t="inlineStr">
        <is>
          <t>Success</t>
        </is>
      </c>
      <c r="L234" s="7" t="n">
        <v>0.4198140584479465</v>
      </c>
      <c r="M234" s="7" t="n">
        <v>0.839628116895893</v>
      </c>
      <c r="N234" s="7" t="n">
        <v>3.358512467583572</v>
      </c>
    </row>
    <row r="235" ht="18" customHeight="1">
      <c r="A235" s="49" t="inlineStr">
        <is>
          <t>ACE-10234</t>
        </is>
      </c>
      <c r="B235" s="49" t="inlineStr">
        <is>
          <t>2026-05-21 12:45:11</t>
        </is>
      </c>
      <c r="C235" s="49" t="inlineStr">
        <is>
          <t>CUST-50923</t>
        </is>
      </c>
      <c r="D235" s="49" t="inlineStr">
        <is>
          <t>GBP-PKR</t>
        </is>
      </c>
      <c r="E235" s="49" t="inlineStr">
        <is>
          <t>GBP</t>
        </is>
      </c>
      <c r="F235" s="7" t="n">
        <v>261.0284925985525</v>
      </c>
      <c r="G235" s="8" t="n">
        <v>1</v>
      </c>
      <c r="H235" s="7" t="n">
        <v>261.0284925985525</v>
      </c>
      <c r="I235" s="7" t="n">
        <v>1.5</v>
      </c>
      <c r="J235" s="9" t="n">
        <v>0.021</v>
      </c>
      <c r="K235" s="49" t="inlineStr">
        <is>
          <t>Success</t>
        </is>
      </c>
      <c r="L235" s="7" t="n">
        <v>0.3915427388978288</v>
      </c>
      <c r="M235" s="7" t="n">
        <v>0.7830854777956576</v>
      </c>
      <c r="N235" s="7" t="n">
        <v>3.132341911182631</v>
      </c>
    </row>
    <row r="236" ht="18" customHeight="1">
      <c r="A236" s="49" t="inlineStr">
        <is>
          <t>ACE-10235</t>
        </is>
      </c>
      <c r="B236" s="49" t="inlineStr">
        <is>
          <t>2026-05-19 18:48:12</t>
        </is>
      </c>
      <c r="C236" s="49" t="inlineStr">
        <is>
          <t>CUST-61501</t>
        </is>
      </c>
      <c r="D236" s="49" t="inlineStr">
        <is>
          <t>USD-PKR</t>
        </is>
      </c>
      <c r="E236" s="49" t="inlineStr">
        <is>
          <t>USD</t>
        </is>
      </c>
      <c r="F236" s="7" t="n">
        <v>271.2448599778994</v>
      </c>
      <c r="G236" s="8" t="n">
        <v>0.8</v>
      </c>
      <c r="H236" s="7" t="n">
        <v>216.9958879823195</v>
      </c>
      <c r="I236" s="7" t="n">
        <v>1.6</v>
      </c>
      <c r="J236" s="9" t="n">
        <v>0.019</v>
      </c>
      <c r="K236" s="49" t="inlineStr">
        <is>
          <t>Success</t>
        </is>
      </c>
      <c r="L236" s="7" t="n">
        <v>0.3254938319734793</v>
      </c>
      <c r="M236" s="7" t="n">
        <v>0.6509876639469586</v>
      </c>
      <c r="N236" s="7" t="n">
        <v>2.603950655787834</v>
      </c>
    </row>
    <row r="237" ht="18" customHeight="1">
      <c r="A237" s="49" t="inlineStr">
        <is>
          <t>ACE-10236</t>
        </is>
      </c>
      <c r="B237" s="49" t="inlineStr">
        <is>
          <t>2026-05-13 14:32:20</t>
        </is>
      </c>
      <c r="C237" s="49" t="inlineStr">
        <is>
          <t>CUST-55684</t>
        </is>
      </c>
      <c r="D237" s="49" t="inlineStr">
        <is>
          <t>GBP-PKR</t>
        </is>
      </c>
      <c r="E237" s="49" t="inlineStr">
        <is>
          <t>GBP</t>
        </is>
      </c>
      <c r="F237" s="7" t="n">
        <v>296.8365068962231</v>
      </c>
      <c r="G237" s="8" t="n">
        <v>1</v>
      </c>
      <c r="H237" s="7" t="n">
        <v>296.8365068962231</v>
      </c>
      <c r="I237" s="7" t="n">
        <v>1.5</v>
      </c>
      <c r="J237" s="9" t="n">
        <v>0.021</v>
      </c>
      <c r="K237" s="49" t="inlineStr">
        <is>
          <t>Success</t>
        </is>
      </c>
      <c r="L237" s="7" t="n">
        <v>0.4452547603443347</v>
      </c>
      <c r="M237" s="7" t="n">
        <v>0</v>
      </c>
      <c r="N237" s="7" t="n">
        <v>3.562038082754678</v>
      </c>
    </row>
    <row r="238" ht="18" customHeight="1">
      <c r="A238" s="49" t="inlineStr">
        <is>
          <t>ACE-10237</t>
        </is>
      </c>
      <c r="B238" s="49" t="inlineStr">
        <is>
          <t>2026-05-05 15:20:59</t>
        </is>
      </c>
      <c r="C238" s="49" t="inlineStr">
        <is>
          <t>CUST-66256</t>
        </is>
      </c>
      <c r="D238" s="49" t="inlineStr">
        <is>
          <t>USD-PKR</t>
        </is>
      </c>
      <c r="E238" s="49" t="inlineStr">
        <is>
          <t>USD</t>
        </is>
      </c>
      <c r="F238" s="7" t="n">
        <v>178.7723641165213</v>
      </c>
      <c r="G238" s="8" t="n">
        <v>0.8</v>
      </c>
      <c r="H238" s="7" t="n">
        <v>143.017891293217</v>
      </c>
      <c r="I238" s="7" t="n">
        <v>1.6</v>
      </c>
      <c r="J238" s="9" t="n">
        <v>0.019</v>
      </c>
      <c r="K238" s="49" t="inlineStr">
        <is>
          <t>Failed</t>
        </is>
      </c>
      <c r="L238" s="7" t="n">
        <v>0</v>
      </c>
      <c r="M238" s="7" t="n">
        <v>0</v>
      </c>
      <c r="N238" s="7" t="n">
        <v>0.5</v>
      </c>
    </row>
    <row r="239" ht="18" customHeight="1">
      <c r="A239" s="49" t="inlineStr">
        <is>
          <t>ACE-10238</t>
        </is>
      </c>
      <c r="B239" s="49" t="inlineStr">
        <is>
          <t>2026-05-13 11:28:48</t>
        </is>
      </c>
      <c r="C239" s="49" t="inlineStr">
        <is>
          <t>CUST-67497</t>
        </is>
      </c>
      <c r="D239" s="49" t="inlineStr">
        <is>
          <t>GBP-PKR</t>
        </is>
      </c>
      <c r="E239" s="49" t="inlineStr">
        <is>
          <t>GBP</t>
        </is>
      </c>
      <c r="F239" s="7" t="n">
        <v>283.8469074794577</v>
      </c>
      <c r="G239" s="8" t="n">
        <v>1</v>
      </c>
      <c r="H239" s="7" t="n">
        <v>283.8469074794577</v>
      </c>
      <c r="I239" s="7" t="n">
        <v>1.5</v>
      </c>
      <c r="J239" s="9" t="n">
        <v>0.021</v>
      </c>
      <c r="K239" s="49" t="inlineStr">
        <is>
          <t>Success</t>
        </is>
      </c>
      <c r="L239" s="7" t="n">
        <v>0.4257703612191866</v>
      </c>
      <c r="M239" s="7" t="n">
        <v>0</v>
      </c>
      <c r="N239" s="7" t="n">
        <v>3.406162889753493</v>
      </c>
    </row>
    <row r="240" ht="18" customHeight="1">
      <c r="A240" s="49" t="inlineStr">
        <is>
          <t>ACE-10239</t>
        </is>
      </c>
      <c r="B240" s="49" t="inlineStr">
        <is>
          <t>2026-05-24 17:00:16</t>
        </is>
      </c>
      <c r="C240" s="49" t="inlineStr">
        <is>
          <t>CUST-92839</t>
        </is>
      </c>
      <c r="D240" s="49" t="inlineStr">
        <is>
          <t>GBP-PKR</t>
        </is>
      </c>
      <c r="E240" s="49" t="inlineStr">
        <is>
          <t>GBP</t>
        </is>
      </c>
      <c r="F240" s="7" t="n">
        <v>260.7627412893912</v>
      </c>
      <c r="G240" s="8" t="n">
        <v>1</v>
      </c>
      <c r="H240" s="7" t="n">
        <v>260.7627412893912</v>
      </c>
      <c r="I240" s="7" t="n">
        <v>1.5</v>
      </c>
      <c r="J240" s="9" t="n">
        <v>0.021</v>
      </c>
      <c r="K240" s="49" t="inlineStr">
        <is>
          <t>Success</t>
        </is>
      </c>
      <c r="L240" s="7" t="n">
        <v>0.3911441119340868</v>
      </c>
      <c r="M240" s="7" t="n">
        <v>0</v>
      </c>
      <c r="N240" s="7" t="n">
        <v>3.129152895472694</v>
      </c>
    </row>
    <row r="241" ht="18" customHeight="1">
      <c r="A241" s="49" t="inlineStr">
        <is>
          <t>ACE-10240</t>
        </is>
      </c>
      <c r="B241" s="49" t="inlineStr">
        <is>
          <t>2026-05-22 09:29:19</t>
        </is>
      </c>
      <c r="C241" s="49" t="inlineStr">
        <is>
          <t>CUST-60467</t>
        </is>
      </c>
      <c r="D241" s="49" t="inlineStr">
        <is>
          <t>GBP-PKR</t>
        </is>
      </c>
      <c r="E241" s="49" t="inlineStr">
        <is>
          <t>GBP</t>
        </is>
      </c>
      <c r="F241" s="7" t="n">
        <v>303.394195932946</v>
      </c>
      <c r="G241" s="8" t="n">
        <v>1</v>
      </c>
      <c r="H241" s="7" t="n">
        <v>303.394195932946</v>
      </c>
      <c r="I241" s="7" t="n">
        <v>1.5</v>
      </c>
      <c r="J241" s="9" t="n">
        <v>0.021</v>
      </c>
      <c r="K241" s="49" t="inlineStr">
        <is>
          <t>Success</t>
        </is>
      </c>
      <c r="L241" s="7" t="n">
        <v>0.4550912938994191</v>
      </c>
      <c r="M241" s="7" t="n">
        <v>0</v>
      </c>
      <c r="N241" s="7" t="n">
        <v>3.640730351195353</v>
      </c>
    </row>
    <row r="242" ht="18" customHeight="1">
      <c r="A242" s="49" t="inlineStr">
        <is>
          <t>ACE-10241</t>
        </is>
      </c>
      <c r="B242" s="49" t="inlineStr">
        <is>
          <t>2026-05-23 20:19:44</t>
        </is>
      </c>
      <c r="C242" s="49" t="inlineStr">
        <is>
          <t>CUST-57694</t>
        </is>
      </c>
      <c r="D242" s="49" t="inlineStr">
        <is>
          <t>USD-PKR</t>
        </is>
      </c>
      <c r="E242" s="49" t="inlineStr">
        <is>
          <t>USD</t>
        </is>
      </c>
      <c r="F242" s="7" t="n">
        <v>202.2238945613077</v>
      </c>
      <c r="G242" s="8" t="n">
        <v>0.8</v>
      </c>
      <c r="H242" s="7" t="n">
        <v>161.7791156490462</v>
      </c>
      <c r="I242" s="7" t="n">
        <v>1.6</v>
      </c>
      <c r="J242" s="9" t="n">
        <v>0.019</v>
      </c>
      <c r="K242" s="49" t="inlineStr">
        <is>
          <t>Success</t>
        </is>
      </c>
      <c r="L242" s="7" t="n">
        <v>0.2426686734735693</v>
      </c>
      <c r="M242" s="7" t="n">
        <v>0.4853373469471386</v>
      </c>
      <c r="N242" s="7" t="n">
        <v>1.941349387788554</v>
      </c>
    </row>
    <row r="243" ht="18" customHeight="1">
      <c r="A243" s="49" t="inlineStr">
        <is>
          <t>ACE-10242</t>
        </is>
      </c>
      <c r="B243" s="49" t="inlineStr">
        <is>
          <t>2026-05-12 17:14:14</t>
        </is>
      </c>
      <c r="C243" s="49" t="inlineStr">
        <is>
          <t>CUST-58753</t>
        </is>
      </c>
      <c r="D243" s="49" t="inlineStr">
        <is>
          <t>EUR-PKR</t>
        </is>
      </c>
      <c r="E243" s="49" t="inlineStr">
        <is>
          <t>EUR</t>
        </is>
      </c>
      <c r="F243" s="7" t="n">
        <v>186.8956478135946</v>
      </c>
      <c r="G243" s="8" t="n">
        <v>0.85</v>
      </c>
      <c r="H243" s="7" t="n">
        <v>158.8613006415554</v>
      </c>
      <c r="I243" s="7" t="n">
        <v>1.275</v>
      </c>
      <c r="J243" s="9" t="n">
        <v>0.023</v>
      </c>
      <c r="K243" s="49" t="inlineStr">
        <is>
          <t>Success</t>
        </is>
      </c>
      <c r="L243" s="7" t="n">
        <v>0.2382919509623331</v>
      </c>
      <c r="M243" s="7" t="n">
        <v>0</v>
      </c>
      <c r="N243" s="7" t="n">
        <v>2.382919509623331</v>
      </c>
    </row>
    <row r="244" ht="18" customHeight="1">
      <c r="A244" s="49" t="inlineStr">
        <is>
          <t>ACE-10243</t>
        </is>
      </c>
      <c r="B244" s="49" t="inlineStr">
        <is>
          <t>2026-05-20 13:26:44</t>
        </is>
      </c>
      <c r="C244" s="49" t="inlineStr">
        <is>
          <t>CUST-85994</t>
        </is>
      </c>
      <c r="D244" s="49" t="inlineStr">
        <is>
          <t>GBP-PKR</t>
        </is>
      </c>
      <c r="E244" s="49" t="inlineStr">
        <is>
          <t>GBP</t>
        </is>
      </c>
      <c r="F244" s="7" t="n">
        <v>293.0339085226609</v>
      </c>
      <c r="G244" s="8" t="n">
        <v>1</v>
      </c>
      <c r="H244" s="7" t="n">
        <v>293.0339085226609</v>
      </c>
      <c r="I244" s="7" t="n">
        <v>1.5</v>
      </c>
      <c r="J244" s="9" t="n">
        <v>0.021</v>
      </c>
      <c r="K244" s="49" t="inlineStr">
        <is>
          <t>Success</t>
        </is>
      </c>
      <c r="L244" s="7" t="n">
        <v>0.4395508627839913</v>
      </c>
      <c r="M244" s="7" t="n">
        <v>0.8791017255679826</v>
      </c>
      <c r="N244" s="7" t="n">
        <v>3.51640690227193</v>
      </c>
    </row>
    <row r="245" ht="18" customHeight="1">
      <c r="A245" s="49" t="inlineStr">
        <is>
          <t>ACE-10244</t>
        </is>
      </c>
      <c r="B245" s="49" t="inlineStr">
        <is>
          <t>2026-05-22 11:48:15</t>
        </is>
      </c>
      <c r="C245" s="49" t="inlineStr">
        <is>
          <t>CUST-94586</t>
        </is>
      </c>
      <c r="D245" s="49" t="inlineStr">
        <is>
          <t>GBP-PKR</t>
        </is>
      </c>
      <c r="E245" s="49" t="inlineStr">
        <is>
          <t>GBP</t>
        </is>
      </c>
      <c r="F245" s="7" t="n">
        <v>303.798642753622</v>
      </c>
      <c r="G245" s="8" t="n">
        <v>1</v>
      </c>
      <c r="H245" s="7" t="n">
        <v>303.798642753622</v>
      </c>
      <c r="I245" s="7" t="n">
        <v>1.5</v>
      </c>
      <c r="J245" s="9" t="n">
        <v>0.021</v>
      </c>
      <c r="K245" s="49" t="inlineStr">
        <is>
          <t>Success</t>
        </is>
      </c>
      <c r="L245" s="7" t="n">
        <v>0.455697964130433</v>
      </c>
      <c r="M245" s="7" t="n">
        <v>0.911395928260866</v>
      </c>
      <c r="N245" s="7" t="n">
        <v>3.645583713043464</v>
      </c>
    </row>
    <row r="246" ht="18" customHeight="1">
      <c r="A246" s="49" t="inlineStr">
        <is>
          <t>ACE-10245</t>
        </is>
      </c>
      <c r="B246" s="49" t="inlineStr">
        <is>
          <t>2026-05-03 16:28:33</t>
        </is>
      </c>
      <c r="C246" s="49" t="inlineStr">
        <is>
          <t>CUST-96122</t>
        </is>
      </c>
      <c r="D246" s="49" t="inlineStr">
        <is>
          <t>GBP-PKR</t>
        </is>
      </c>
      <c r="E246" s="49" t="inlineStr">
        <is>
          <t>GBP</t>
        </is>
      </c>
      <c r="F246" s="7" t="n">
        <v>247.0918086395912</v>
      </c>
      <c r="G246" s="8" t="n">
        <v>1</v>
      </c>
      <c r="H246" s="7" t="n">
        <v>247.0918086395912</v>
      </c>
      <c r="I246" s="7" t="n">
        <v>1.5</v>
      </c>
      <c r="J246" s="9" t="n">
        <v>0.021</v>
      </c>
      <c r="K246" s="49" t="inlineStr">
        <is>
          <t>Success</t>
        </is>
      </c>
      <c r="L246" s="7" t="n">
        <v>0.3706377129593869</v>
      </c>
      <c r="M246" s="7" t="n">
        <v>0.7412754259187737</v>
      </c>
      <c r="N246" s="7" t="n">
        <v>2.965101703675095</v>
      </c>
    </row>
    <row r="247" ht="18" customHeight="1">
      <c r="A247" s="49" t="inlineStr">
        <is>
          <t>ACE-10246</t>
        </is>
      </c>
      <c r="B247" s="49" t="inlineStr">
        <is>
          <t>2026-05-04 08:53:35</t>
        </is>
      </c>
      <c r="C247" s="49" t="inlineStr">
        <is>
          <t>CUST-83127</t>
        </is>
      </c>
      <c r="D247" s="49" t="inlineStr">
        <is>
          <t>GBP-PKR</t>
        </is>
      </c>
      <c r="E247" s="49" t="inlineStr">
        <is>
          <t>GBP</t>
        </is>
      </c>
      <c r="F247" s="7" t="n">
        <v>269.4383156095094</v>
      </c>
      <c r="G247" s="8" t="n">
        <v>1</v>
      </c>
      <c r="H247" s="7" t="n">
        <v>269.4383156095094</v>
      </c>
      <c r="I247" s="7" t="n">
        <v>1.5</v>
      </c>
      <c r="J247" s="9" t="n">
        <v>0.021</v>
      </c>
      <c r="K247" s="49" t="inlineStr">
        <is>
          <t>Success</t>
        </is>
      </c>
      <c r="L247" s="7" t="n">
        <v>0.4041574734142641</v>
      </c>
      <c r="M247" s="7" t="n">
        <v>0</v>
      </c>
      <c r="N247" s="7" t="n">
        <v>3.233259787314113</v>
      </c>
    </row>
    <row r="248" ht="18" customHeight="1">
      <c r="A248" s="49" t="inlineStr">
        <is>
          <t>ACE-10247</t>
        </is>
      </c>
      <c r="B248" s="49" t="inlineStr">
        <is>
          <t>2026-05-06 13:54:33</t>
        </is>
      </c>
      <c r="C248" s="49" t="inlineStr">
        <is>
          <t>CUST-78956</t>
        </is>
      </c>
      <c r="D248" s="49" t="inlineStr">
        <is>
          <t>GBP-PKR</t>
        </is>
      </c>
      <c r="E248" s="49" t="inlineStr">
        <is>
          <t>GBP</t>
        </is>
      </c>
      <c r="F248" s="7" t="n">
        <v>265.6806628683521</v>
      </c>
      <c r="G248" s="8" t="n">
        <v>1</v>
      </c>
      <c r="H248" s="7" t="n">
        <v>265.6806628683521</v>
      </c>
      <c r="I248" s="7" t="n">
        <v>1.5</v>
      </c>
      <c r="J248" s="9" t="n">
        <v>0.021</v>
      </c>
      <c r="K248" s="49" t="inlineStr">
        <is>
          <t>Success</t>
        </is>
      </c>
      <c r="L248" s="7" t="n">
        <v>0.3985209943025282</v>
      </c>
      <c r="M248" s="7" t="n">
        <v>0</v>
      </c>
      <c r="N248" s="7" t="n">
        <v>3.188167954420225</v>
      </c>
    </row>
    <row r="249" ht="18" customHeight="1">
      <c r="A249" s="49" t="inlineStr">
        <is>
          <t>ACE-10248</t>
        </is>
      </c>
      <c r="B249" s="49" t="inlineStr">
        <is>
          <t>2026-05-19 15:05:57</t>
        </is>
      </c>
      <c r="C249" s="49" t="inlineStr">
        <is>
          <t>CUST-83447</t>
        </is>
      </c>
      <c r="D249" s="49" t="inlineStr">
        <is>
          <t>GBP-PKR</t>
        </is>
      </c>
      <c r="E249" s="49" t="inlineStr">
        <is>
          <t>GBP</t>
        </is>
      </c>
      <c r="F249" s="7" t="n">
        <v>260.9833676757502</v>
      </c>
      <c r="G249" s="8" t="n">
        <v>1</v>
      </c>
      <c r="H249" s="7" t="n">
        <v>260.9833676757502</v>
      </c>
      <c r="I249" s="7" t="n">
        <v>1.5</v>
      </c>
      <c r="J249" s="9" t="n">
        <v>0.021</v>
      </c>
      <c r="K249" s="49" t="inlineStr">
        <is>
          <t>Success</t>
        </is>
      </c>
      <c r="L249" s="7" t="n">
        <v>0.3914750515136253</v>
      </c>
      <c r="M249" s="7" t="n">
        <v>0</v>
      </c>
      <c r="N249" s="7" t="n">
        <v>3.131800412109003</v>
      </c>
    </row>
    <row r="250" ht="18" customHeight="1">
      <c r="A250" s="49" t="inlineStr">
        <is>
          <t>ACE-10249</t>
        </is>
      </c>
      <c r="B250" s="49" t="inlineStr">
        <is>
          <t>2026-05-05 16:26:29</t>
        </is>
      </c>
      <c r="C250" s="49" t="inlineStr">
        <is>
          <t>CUST-86956</t>
        </is>
      </c>
      <c r="D250" s="49" t="inlineStr">
        <is>
          <t>GBP-PKR</t>
        </is>
      </c>
      <c r="E250" s="49" t="inlineStr">
        <is>
          <t>GBP</t>
        </is>
      </c>
      <c r="F250" s="7" t="n">
        <v>332.3986585081273</v>
      </c>
      <c r="G250" s="8" t="n">
        <v>1</v>
      </c>
      <c r="H250" s="7" t="n">
        <v>332.3986585081273</v>
      </c>
      <c r="I250" s="7" t="n">
        <v>1.5</v>
      </c>
      <c r="J250" s="9" t="n">
        <v>0.021</v>
      </c>
      <c r="K250" s="49" t="inlineStr">
        <is>
          <t>Success</t>
        </is>
      </c>
      <c r="L250" s="7" t="n">
        <v>0.4985979877621909</v>
      </c>
      <c r="M250" s="7" t="n">
        <v>0</v>
      </c>
      <c r="N250" s="7" t="n">
        <v>3.988783902097527</v>
      </c>
    </row>
    <row r="251" ht="18" customHeight="1">
      <c r="A251" s="49" t="inlineStr">
        <is>
          <t>ACE-10250</t>
        </is>
      </c>
      <c r="B251" s="49" t="inlineStr">
        <is>
          <t>2026-05-10 19:01:25</t>
        </is>
      </c>
      <c r="C251" s="49" t="inlineStr">
        <is>
          <t>CUST-66676</t>
        </is>
      </c>
      <c r="D251" s="49" t="inlineStr">
        <is>
          <t>GBP-PKR</t>
        </is>
      </c>
      <c r="E251" s="49" t="inlineStr">
        <is>
          <t>GBP</t>
        </is>
      </c>
      <c r="F251" s="7" t="n">
        <v>290.1180108774101</v>
      </c>
      <c r="G251" s="8" t="n">
        <v>1</v>
      </c>
      <c r="H251" s="7" t="n">
        <v>290.1180108774101</v>
      </c>
      <c r="I251" s="7" t="n">
        <v>1.5</v>
      </c>
      <c r="J251" s="9" t="n">
        <v>0.021</v>
      </c>
      <c r="K251" s="49" t="inlineStr">
        <is>
          <t>Success</t>
        </is>
      </c>
      <c r="L251" s="7" t="n">
        <v>0.4351770163161152</v>
      </c>
      <c r="M251" s="7" t="n">
        <v>0.8703540326322303</v>
      </c>
      <c r="N251" s="7" t="n">
        <v>3.481416130528921</v>
      </c>
    </row>
    <row r="252" ht="18" customHeight="1">
      <c r="A252" s="49" t="inlineStr">
        <is>
          <t>ACE-10251</t>
        </is>
      </c>
      <c r="B252" s="49" t="inlineStr">
        <is>
          <t>2026-05-19 09:02:27</t>
        </is>
      </c>
      <c r="C252" s="49" t="inlineStr">
        <is>
          <t>CUST-72579</t>
        </is>
      </c>
      <c r="D252" s="49" t="inlineStr">
        <is>
          <t>GBP-PKR</t>
        </is>
      </c>
      <c r="E252" s="49" t="inlineStr">
        <is>
          <t>GBP</t>
        </is>
      </c>
      <c r="F252" s="7" t="n">
        <v>245.5992660163499</v>
      </c>
      <c r="G252" s="8" t="n">
        <v>1</v>
      </c>
      <c r="H252" s="7" t="n">
        <v>245.5992660163499</v>
      </c>
      <c r="I252" s="7" t="n">
        <v>1.5</v>
      </c>
      <c r="J252" s="9" t="n">
        <v>0.021</v>
      </c>
      <c r="K252" s="49" t="inlineStr">
        <is>
          <t>Success</t>
        </is>
      </c>
      <c r="L252" s="7" t="n">
        <v>0.3683988990245249</v>
      </c>
      <c r="M252" s="7" t="n">
        <v>0</v>
      </c>
      <c r="N252" s="7" t="n">
        <v>2.947191192196199</v>
      </c>
    </row>
    <row r="253" ht="18" customHeight="1">
      <c r="A253" s="49" t="inlineStr">
        <is>
          <t>ACE-10252</t>
        </is>
      </c>
      <c r="B253" s="49" t="inlineStr">
        <is>
          <t>2026-05-02 09:59:30</t>
        </is>
      </c>
      <c r="C253" s="49" t="inlineStr">
        <is>
          <t>CUST-52079</t>
        </is>
      </c>
      <c r="D253" s="49" t="inlineStr">
        <is>
          <t>GBP-PKR</t>
        </is>
      </c>
      <c r="E253" s="49" t="inlineStr">
        <is>
          <t>GBP</t>
        </is>
      </c>
      <c r="F253" s="7" t="n">
        <v>305.3857702460651</v>
      </c>
      <c r="G253" s="8" t="n">
        <v>1</v>
      </c>
      <c r="H253" s="7" t="n">
        <v>305.3857702460651</v>
      </c>
      <c r="I253" s="7" t="n">
        <v>1.5</v>
      </c>
      <c r="J253" s="9" t="n">
        <v>0.021</v>
      </c>
      <c r="K253" s="49" t="inlineStr">
        <is>
          <t>Success</t>
        </is>
      </c>
      <c r="L253" s="7" t="n">
        <v>0.4580786553690976</v>
      </c>
      <c r="M253" s="7" t="n">
        <v>0</v>
      </c>
      <c r="N253" s="7" t="n">
        <v>3.664629242952781</v>
      </c>
    </row>
    <row r="254" ht="18" customHeight="1">
      <c r="A254" s="49" t="inlineStr">
        <is>
          <t>ACE-10253</t>
        </is>
      </c>
      <c r="B254" s="49" t="inlineStr">
        <is>
          <t>2026-05-05 20:41:46</t>
        </is>
      </c>
      <c r="C254" s="49" t="inlineStr">
        <is>
          <t>CUST-92328</t>
        </is>
      </c>
      <c r="D254" s="49" t="inlineStr">
        <is>
          <t>GBP-PKR</t>
        </is>
      </c>
      <c r="E254" s="49" t="inlineStr">
        <is>
          <t>GBP</t>
        </is>
      </c>
      <c r="F254" s="7" t="n">
        <v>344.4693864778824</v>
      </c>
      <c r="G254" s="8" t="n">
        <v>1</v>
      </c>
      <c r="H254" s="7" t="n">
        <v>344.4693864778824</v>
      </c>
      <c r="I254" s="7" t="n">
        <v>1.5</v>
      </c>
      <c r="J254" s="9" t="n">
        <v>0.021</v>
      </c>
      <c r="K254" s="49" t="inlineStr">
        <is>
          <t>Success</t>
        </is>
      </c>
      <c r="L254" s="7" t="n">
        <v>0.5167040797168235</v>
      </c>
      <c r="M254" s="7" t="n">
        <v>0</v>
      </c>
      <c r="N254" s="7" t="n">
        <v>4.133632637734588</v>
      </c>
    </row>
    <row r="255" ht="18" customHeight="1">
      <c r="A255" s="49" t="inlineStr">
        <is>
          <t>ACE-10254</t>
        </is>
      </c>
      <c r="B255" s="49" t="inlineStr">
        <is>
          <t>2026-05-13 15:55:58</t>
        </is>
      </c>
      <c r="C255" s="49" t="inlineStr">
        <is>
          <t>CUST-74739</t>
        </is>
      </c>
      <c r="D255" s="49" t="inlineStr">
        <is>
          <t>GBP-PKR</t>
        </is>
      </c>
      <c r="E255" s="49" t="inlineStr">
        <is>
          <t>GBP</t>
        </is>
      </c>
      <c r="F255" s="7" t="n">
        <v>308.9057237537452</v>
      </c>
      <c r="G255" s="8" t="n">
        <v>1</v>
      </c>
      <c r="H255" s="7" t="n">
        <v>308.9057237537452</v>
      </c>
      <c r="I255" s="7" t="n">
        <v>1.5</v>
      </c>
      <c r="J255" s="9" t="n">
        <v>0.021</v>
      </c>
      <c r="K255" s="49" t="inlineStr">
        <is>
          <t>Success</t>
        </is>
      </c>
      <c r="L255" s="7" t="n">
        <v>0.4633585856306179</v>
      </c>
      <c r="M255" s="7" t="n">
        <v>0.9267171712612358</v>
      </c>
      <c r="N255" s="7" t="n">
        <v>3.706868685044943</v>
      </c>
    </row>
    <row r="256" ht="18" customHeight="1">
      <c r="A256" s="49" t="inlineStr">
        <is>
          <t>ACE-10255</t>
        </is>
      </c>
      <c r="B256" s="49" t="inlineStr">
        <is>
          <t>2026-05-22 16:08:41</t>
        </is>
      </c>
      <c r="C256" s="49" t="inlineStr">
        <is>
          <t>CUST-72791</t>
        </is>
      </c>
      <c r="D256" s="49" t="inlineStr">
        <is>
          <t>GBP-PKR</t>
        </is>
      </c>
      <c r="E256" s="49" t="inlineStr">
        <is>
          <t>GBP</t>
        </is>
      </c>
      <c r="F256" s="7" t="n">
        <v>239.3322147383144</v>
      </c>
      <c r="G256" s="8" t="n">
        <v>1</v>
      </c>
      <c r="H256" s="7" t="n">
        <v>239.3322147383144</v>
      </c>
      <c r="I256" s="7" t="n">
        <v>1.5</v>
      </c>
      <c r="J256" s="9" t="n">
        <v>0.021</v>
      </c>
      <c r="K256" s="49" t="inlineStr">
        <is>
          <t>Success</t>
        </is>
      </c>
      <c r="L256" s="7" t="n">
        <v>0.3589983221074716</v>
      </c>
      <c r="M256" s="7" t="n">
        <v>0.7179966442149431</v>
      </c>
      <c r="N256" s="7" t="n">
        <v>2.871986576859773</v>
      </c>
    </row>
    <row r="257" ht="18" customHeight="1">
      <c r="A257" s="49" t="inlineStr">
        <is>
          <t>ACE-10256</t>
        </is>
      </c>
      <c r="B257" s="49" t="inlineStr">
        <is>
          <t>2026-05-13 16:08:46</t>
        </is>
      </c>
      <c r="C257" s="49" t="inlineStr">
        <is>
          <t>CUST-64594</t>
        </is>
      </c>
      <c r="D257" s="49" t="inlineStr">
        <is>
          <t>GBP-PKR</t>
        </is>
      </c>
      <c r="E257" s="49" t="inlineStr">
        <is>
          <t>GBP</t>
        </is>
      </c>
      <c r="F257" s="7" t="n">
        <v>265.4339930122546</v>
      </c>
      <c r="G257" s="8" t="n">
        <v>1</v>
      </c>
      <c r="H257" s="7" t="n">
        <v>265.4339930122546</v>
      </c>
      <c r="I257" s="7" t="n">
        <v>1.5</v>
      </c>
      <c r="J257" s="9" t="n">
        <v>0.021</v>
      </c>
      <c r="K257" s="49" t="inlineStr">
        <is>
          <t>Success</t>
        </is>
      </c>
      <c r="L257" s="7" t="n">
        <v>0.3981509895183818</v>
      </c>
      <c r="M257" s="7" t="n">
        <v>0.7963019790367637</v>
      </c>
      <c r="N257" s="7" t="n">
        <v>3.185207916147055</v>
      </c>
    </row>
    <row r="258" ht="18" customHeight="1">
      <c r="A258" s="49" t="inlineStr">
        <is>
          <t>ACE-10257</t>
        </is>
      </c>
      <c r="B258" s="49" t="inlineStr">
        <is>
          <t>2026-05-10 15:43:46</t>
        </is>
      </c>
      <c r="C258" s="49" t="inlineStr">
        <is>
          <t>CUST-85680</t>
        </is>
      </c>
      <c r="D258" s="49" t="inlineStr">
        <is>
          <t>GBP-PKR</t>
        </is>
      </c>
      <c r="E258" s="49" t="inlineStr">
        <is>
          <t>GBP</t>
        </is>
      </c>
      <c r="F258" s="7" t="n">
        <v>316.2334536149783</v>
      </c>
      <c r="G258" s="8" t="n">
        <v>1</v>
      </c>
      <c r="H258" s="7" t="n">
        <v>316.2334536149783</v>
      </c>
      <c r="I258" s="7" t="n">
        <v>1.5</v>
      </c>
      <c r="J258" s="9" t="n">
        <v>0.021</v>
      </c>
      <c r="K258" s="49" t="inlineStr">
        <is>
          <t>Success</t>
        </is>
      </c>
      <c r="L258" s="7" t="n">
        <v>0.4743501804224675</v>
      </c>
      <c r="M258" s="7" t="n">
        <v>0</v>
      </c>
      <c r="N258" s="7" t="n">
        <v>3.79480144337974</v>
      </c>
    </row>
    <row r="259" ht="18" customHeight="1">
      <c r="A259" s="49" t="inlineStr">
        <is>
          <t>ACE-10258</t>
        </is>
      </c>
      <c r="B259" s="49" t="inlineStr">
        <is>
          <t>2026-05-08 11:29:22</t>
        </is>
      </c>
      <c r="C259" s="49" t="inlineStr">
        <is>
          <t>CUST-60166</t>
        </is>
      </c>
      <c r="D259" s="49" t="inlineStr">
        <is>
          <t>GBP-PKR</t>
        </is>
      </c>
      <c r="E259" s="49" t="inlineStr">
        <is>
          <t>GBP</t>
        </is>
      </c>
      <c r="F259" s="7" t="n">
        <v>259.5690242416005</v>
      </c>
      <c r="G259" s="8" t="n">
        <v>1</v>
      </c>
      <c r="H259" s="7" t="n">
        <v>259.5690242416005</v>
      </c>
      <c r="I259" s="7" t="n">
        <v>1.5</v>
      </c>
      <c r="J259" s="9" t="n">
        <v>0.021</v>
      </c>
      <c r="K259" s="49" t="inlineStr">
        <is>
          <t>Success</t>
        </is>
      </c>
      <c r="L259" s="7" t="n">
        <v>0.3893535363624007</v>
      </c>
      <c r="M259" s="7" t="n">
        <v>0.7787070727248014</v>
      </c>
      <c r="N259" s="7" t="n">
        <v>3.114828290899206</v>
      </c>
    </row>
    <row r="260" ht="18" customHeight="1">
      <c r="A260" s="49" t="inlineStr">
        <is>
          <t>ACE-10259</t>
        </is>
      </c>
      <c r="B260" s="49" t="inlineStr">
        <is>
          <t>2026-05-24 20:07:02</t>
        </is>
      </c>
      <c r="C260" s="49" t="inlineStr">
        <is>
          <t>CUST-93266</t>
        </is>
      </c>
      <c r="D260" s="49" t="inlineStr">
        <is>
          <t>USD-PKR</t>
        </is>
      </c>
      <c r="E260" s="49" t="inlineStr">
        <is>
          <t>USD</t>
        </is>
      </c>
      <c r="F260" s="7" t="n">
        <v>228.8368923205034</v>
      </c>
      <c r="G260" s="8" t="n">
        <v>0.8</v>
      </c>
      <c r="H260" s="7" t="n">
        <v>183.0695138564028</v>
      </c>
      <c r="I260" s="7" t="n">
        <v>1.6</v>
      </c>
      <c r="J260" s="9" t="n">
        <v>0.019</v>
      </c>
      <c r="K260" s="49" t="inlineStr">
        <is>
          <t>Success</t>
        </is>
      </c>
      <c r="L260" s="7" t="n">
        <v>0.2746042707846041</v>
      </c>
      <c r="M260" s="7" t="n">
        <v>0.5492085415692083</v>
      </c>
      <c r="N260" s="7" t="n">
        <v>2.196834166276833</v>
      </c>
    </row>
    <row r="261" ht="18" customHeight="1">
      <c r="A261" s="49" t="inlineStr">
        <is>
          <t>ACE-10260</t>
        </is>
      </c>
      <c r="B261" s="49" t="inlineStr">
        <is>
          <t>2026-05-01 11:13:04</t>
        </is>
      </c>
      <c r="C261" s="49" t="inlineStr">
        <is>
          <t>CUST-56612</t>
        </is>
      </c>
      <c r="D261" s="49" t="inlineStr">
        <is>
          <t>GBP-PKR</t>
        </is>
      </c>
      <c r="E261" s="49" t="inlineStr">
        <is>
          <t>GBP</t>
        </is>
      </c>
      <c r="F261" s="7" t="n">
        <v>301.0429689394565</v>
      </c>
      <c r="G261" s="8" t="n">
        <v>1</v>
      </c>
      <c r="H261" s="7" t="n">
        <v>301.0429689394565</v>
      </c>
      <c r="I261" s="7" t="n">
        <v>1.5</v>
      </c>
      <c r="J261" s="9" t="n">
        <v>0.021</v>
      </c>
      <c r="K261" s="49" t="inlineStr">
        <is>
          <t>Success</t>
        </is>
      </c>
      <c r="L261" s="7" t="n">
        <v>0.4515644534091848</v>
      </c>
      <c r="M261" s="7" t="n">
        <v>0</v>
      </c>
      <c r="N261" s="7" t="n">
        <v>3.612515627273478</v>
      </c>
    </row>
    <row r="262" ht="18" customHeight="1">
      <c r="A262" s="49" t="inlineStr">
        <is>
          <t>ACE-10261</t>
        </is>
      </c>
      <c r="B262" s="49" t="inlineStr">
        <is>
          <t>2026-05-22 19:55:03</t>
        </is>
      </c>
      <c r="C262" s="49" t="inlineStr">
        <is>
          <t>CUST-66038</t>
        </is>
      </c>
      <c r="D262" s="49" t="inlineStr">
        <is>
          <t>USD-PKR</t>
        </is>
      </c>
      <c r="E262" s="49" t="inlineStr">
        <is>
          <t>USD</t>
        </is>
      </c>
      <c r="F262" s="7" t="n">
        <v>199.5239938842526</v>
      </c>
      <c r="G262" s="8" t="n">
        <v>0.8</v>
      </c>
      <c r="H262" s="7" t="n">
        <v>159.6191951074021</v>
      </c>
      <c r="I262" s="7" t="n">
        <v>1.6</v>
      </c>
      <c r="J262" s="9" t="n">
        <v>0.019</v>
      </c>
      <c r="K262" s="49" t="inlineStr">
        <is>
          <t>Success</t>
        </is>
      </c>
      <c r="L262" s="7" t="n">
        <v>0.2394287926611031</v>
      </c>
      <c r="M262" s="7" t="n">
        <v>0</v>
      </c>
      <c r="N262" s="7" t="n">
        <v>1.915430341288825</v>
      </c>
    </row>
    <row r="263" ht="18" customHeight="1">
      <c r="A263" s="49" t="inlineStr">
        <is>
          <t>ACE-10262</t>
        </is>
      </c>
      <c r="B263" s="49" t="inlineStr">
        <is>
          <t>2026-05-08 16:13:48</t>
        </is>
      </c>
      <c r="C263" s="49" t="inlineStr">
        <is>
          <t>CUST-53699</t>
        </is>
      </c>
      <c r="D263" s="49" t="inlineStr">
        <is>
          <t>GBP-PKR</t>
        </is>
      </c>
      <c r="E263" s="49" t="inlineStr">
        <is>
          <t>GBP</t>
        </is>
      </c>
      <c r="F263" s="7" t="n">
        <v>276.9500230101028</v>
      </c>
      <c r="G263" s="8" t="n">
        <v>1</v>
      </c>
      <c r="H263" s="7" t="n">
        <v>276.9500230101028</v>
      </c>
      <c r="I263" s="7" t="n">
        <v>1.5</v>
      </c>
      <c r="J263" s="9" t="n">
        <v>0.021</v>
      </c>
      <c r="K263" s="49" t="inlineStr">
        <is>
          <t>Success</t>
        </is>
      </c>
      <c r="L263" s="7" t="n">
        <v>0.4154250345151542</v>
      </c>
      <c r="M263" s="7" t="n">
        <v>0.8308500690303084</v>
      </c>
      <c r="N263" s="7" t="n">
        <v>3.323400276121234</v>
      </c>
    </row>
    <row r="264" ht="18" customHeight="1">
      <c r="A264" s="49" t="inlineStr">
        <is>
          <t>ACE-10263</t>
        </is>
      </c>
      <c r="B264" s="49" t="inlineStr">
        <is>
          <t>2026-05-08 19:36:20</t>
        </is>
      </c>
      <c r="C264" s="49" t="inlineStr">
        <is>
          <t>CUST-87845</t>
        </is>
      </c>
      <c r="D264" s="49" t="inlineStr">
        <is>
          <t>USD-PKR</t>
        </is>
      </c>
      <c r="E264" s="49" t="inlineStr">
        <is>
          <t>USD</t>
        </is>
      </c>
      <c r="F264" s="7" t="n">
        <v>158.3014002422716</v>
      </c>
      <c r="G264" s="8" t="n">
        <v>0.8</v>
      </c>
      <c r="H264" s="7" t="n">
        <v>126.6411201938173</v>
      </c>
      <c r="I264" s="7" t="n">
        <v>1.6</v>
      </c>
      <c r="J264" s="9" t="n">
        <v>0.019</v>
      </c>
      <c r="K264" s="49" t="inlineStr">
        <is>
          <t>Success</t>
        </is>
      </c>
      <c r="L264" s="7" t="n">
        <v>0.1899616802907259</v>
      </c>
      <c r="M264" s="7" t="n">
        <v>0.3799233605814518</v>
      </c>
      <c r="N264" s="7" t="n">
        <v>1.519693442325807</v>
      </c>
    </row>
    <row r="265" ht="18" customHeight="1">
      <c r="A265" s="49" t="inlineStr">
        <is>
          <t>ACE-10264</t>
        </is>
      </c>
      <c r="B265" s="49" t="inlineStr">
        <is>
          <t>2026-05-11 11:19:56</t>
        </is>
      </c>
      <c r="C265" s="49" t="inlineStr">
        <is>
          <t>CUST-59388</t>
        </is>
      </c>
      <c r="D265" s="49" t="inlineStr">
        <is>
          <t>GBP-PKR</t>
        </is>
      </c>
      <c r="E265" s="49" t="inlineStr">
        <is>
          <t>GBP</t>
        </is>
      </c>
      <c r="F265" s="7" t="n">
        <v>251.4768252160511</v>
      </c>
      <c r="G265" s="8" t="n">
        <v>1</v>
      </c>
      <c r="H265" s="7" t="n">
        <v>251.4768252160511</v>
      </c>
      <c r="I265" s="7" t="n">
        <v>1.5</v>
      </c>
      <c r="J265" s="9" t="n">
        <v>0.021</v>
      </c>
      <c r="K265" s="49" t="inlineStr">
        <is>
          <t>Success</t>
        </is>
      </c>
      <c r="L265" s="7" t="n">
        <v>0.3772152378240767</v>
      </c>
      <c r="M265" s="7" t="n">
        <v>0</v>
      </c>
      <c r="N265" s="7" t="n">
        <v>3.017721902592613</v>
      </c>
    </row>
    <row r="266" ht="18" customHeight="1">
      <c r="A266" s="49" t="inlineStr">
        <is>
          <t>ACE-10265</t>
        </is>
      </c>
      <c r="B266" s="49" t="inlineStr">
        <is>
          <t>2026-05-14 12:17:03</t>
        </is>
      </c>
      <c r="C266" s="49" t="inlineStr">
        <is>
          <t>CUST-86485</t>
        </is>
      </c>
      <c r="D266" s="49" t="inlineStr">
        <is>
          <t>GBP-PKR</t>
        </is>
      </c>
      <c r="E266" s="49" t="inlineStr">
        <is>
          <t>GBP</t>
        </is>
      </c>
      <c r="F266" s="7" t="n">
        <v>271.6549753241134</v>
      </c>
      <c r="G266" s="8" t="n">
        <v>1</v>
      </c>
      <c r="H266" s="7" t="n">
        <v>271.6549753241134</v>
      </c>
      <c r="I266" s="7" t="n">
        <v>1.5</v>
      </c>
      <c r="J266" s="9" t="n">
        <v>0.021</v>
      </c>
      <c r="K266" s="49" t="inlineStr">
        <is>
          <t>Success</t>
        </is>
      </c>
      <c r="L266" s="7" t="n">
        <v>0.4074824629861701</v>
      </c>
      <c r="M266" s="7" t="n">
        <v>0.8149649259723402</v>
      </c>
      <c r="N266" s="7" t="n">
        <v>3.259859703889361</v>
      </c>
    </row>
    <row r="267" ht="18" customHeight="1">
      <c r="A267" s="49" t="inlineStr">
        <is>
          <t>ACE-10266</t>
        </is>
      </c>
      <c r="B267" s="49" t="inlineStr">
        <is>
          <t>2026-05-06 18:43:27</t>
        </is>
      </c>
      <c r="C267" s="49" t="inlineStr">
        <is>
          <t>CUST-86428</t>
        </is>
      </c>
      <c r="D267" s="49" t="inlineStr">
        <is>
          <t>USD-PKR</t>
        </is>
      </c>
      <c r="E267" s="49" t="inlineStr">
        <is>
          <t>USD</t>
        </is>
      </c>
      <c r="F267" s="7" t="n">
        <v>193.2238242609366</v>
      </c>
      <c r="G267" s="8" t="n">
        <v>0.8</v>
      </c>
      <c r="H267" s="7" t="n">
        <v>154.5790594087493</v>
      </c>
      <c r="I267" s="7" t="n">
        <v>1.6</v>
      </c>
      <c r="J267" s="9" t="n">
        <v>0.019</v>
      </c>
      <c r="K267" s="49" t="inlineStr">
        <is>
          <t>Success</t>
        </is>
      </c>
      <c r="L267" s="7" t="n">
        <v>0.2318685891131239</v>
      </c>
      <c r="M267" s="7" t="n">
        <v>0.4637371782262479</v>
      </c>
      <c r="N267" s="7" t="n">
        <v>1.854948712904992</v>
      </c>
    </row>
    <row r="268" ht="18" customHeight="1">
      <c r="A268" s="49" t="inlineStr">
        <is>
          <t>ACE-10267</t>
        </is>
      </c>
      <c r="B268" s="49" t="inlineStr">
        <is>
          <t>2026-05-21 18:24:50</t>
        </is>
      </c>
      <c r="C268" s="49" t="inlineStr">
        <is>
          <t>CUST-84371</t>
        </is>
      </c>
      <c r="D268" s="49" t="inlineStr">
        <is>
          <t>GBP-PKR</t>
        </is>
      </c>
      <c r="E268" s="49" t="inlineStr">
        <is>
          <t>GBP</t>
        </is>
      </c>
      <c r="F268" s="7" t="n">
        <v>328.005617106569</v>
      </c>
      <c r="G268" s="8" t="n">
        <v>1</v>
      </c>
      <c r="H268" s="7" t="n">
        <v>328.005617106569</v>
      </c>
      <c r="I268" s="7" t="n">
        <v>1.5</v>
      </c>
      <c r="J268" s="9" t="n">
        <v>0.021</v>
      </c>
      <c r="K268" s="49" t="inlineStr">
        <is>
          <t>Success</t>
        </is>
      </c>
      <c r="L268" s="7" t="n">
        <v>0.4920084256598535</v>
      </c>
      <c r="M268" s="7" t="n">
        <v>0</v>
      </c>
      <c r="N268" s="7" t="n">
        <v>3.936067405278828</v>
      </c>
    </row>
    <row r="269" ht="18" customHeight="1">
      <c r="A269" s="49" t="inlineStr">
        <is>
          <t>ACE-10268</t>
        </is>
      </c>
      <c r="B269" s="49" t="inlineStr">
        <is>
          <t>2026-05-05 12:24:11</t>
        </is>
      </c>
      <c r="C269" s="49" t="inlineStr">
        <is>
          <t>CUST-99441</t>
        </is>
      </c>
      <c r="D269" s="49" t="inlineStr">
        <is>
          <t>GBP-PKR</t>
        </is>
      </c>
      <c r="E269" s="49" t="inlineStr">
        <is>
          <t>GBP</t>
        </is>
      </c>
      <c r="F269" s="7" t="n">
        <v>241.4772982028437</v>
      </c>
      <c r="G269" s="8" t="n">
        <v>1</v>
      </c>
      <c r="H269" s="7" t="n">
        <v>241.4772982028437</v>
      </c>
      <c r="I269" s="7" t="n">
        <v>1.5</v>
      </c>
      <c r="J269" s="9" t="n">
        <v>0.021</v>
      </c>
      <c r="K269" s="49" t="inlineStr">
        <is>
          <t>Success</t>
        </is>
      </c>
      <c r="L269" s="7" t="n">
        <v>0.3622159473042656</v>
      </c>
      <c r="M269" s="7" t="n">
        <v>0</v>
      </c>
      <c r="N269" s="7" t="n">
        <v>2.897727578434125</v>
      </c>
    </row>
    <row r="270" ht="18" customHeight="1">
      <c r="A270" s="49" t="inlineStr">
        <is>
          <t>ACE-10269</t>
        </is>
      </c>
      <c r="B270" s="49" t="inlineStr">
        <is>
          <t>2026-05-08 12:54:45</t>
        </is>
      </c>
      <c r="C270" s="49" t="inlineStr">
        <is>
          <t>CUST-59460</t>
        </is>
      </c>
      <c r="D270" s="49" t="inlineStr">
        <is>
          <t>EUR-PKR</t>
        </is>
      </c>
      <c r="E270" s="49" t="inlineStr">
        <is>
          <t>EUR</t>
        </is>
      </c>
      <c r="F270" s="7" t="n">
        <v>180.9136098160318</v>
      </c>
      <c r="G270" s="8" t="n">
        <v>0.85</v>
      </c>
      <c r="H270" s="7" t="n">
        <v>153.776568343627</v>
      </c>
      <c r="I270" s="7" t="n">
        <v>1.275</v>
      </c>
      <c r="J270" s="9" t="n">
        <v>0.023</v>
      </c>
      <c r="K270" s="49" t="inlineStr">
        <is>
          <t>Success</t>
        </is>
      </c>
      <c r="L270" s="7" t="n">
        <v>0.2306648525154405</v>
      </c>
      <c r="M270" s="7" t="n">
        <v>0.4613297050308811</v>
      </c>
      <c r="N270" s="7" t="n">
        <v>2.306648525154405</v>
      </c>
    </row>
    <row r="271" ht="18" customHeight="1">
      <c r="A271" s="49" t="inlineStr">
        <is>
          <t>ACE-10270</t>
        </is>
      </c>
      <c r="B271" s="49" t="inlineStr">
        <is>
          <t>2026-05-18 14:26:35</t>
        </is>
      </c>
      <c r="C271" s="49" t="inlineStr">
        <is>
          <t>CUST-84733</t>
        </is>
      </c>
      <c r="D271" s="49" t="inlineStr">
        <is>
          <t>GBP-PKR</t>
        </is>
      </c>
      <c r="E271" s="49" t="inlineStr">
        <is>
          <t>GBP</t>
        </is>
      </c>
      <c r="F271" s="7" t="n">
        <v>282.2698874338724</v>
      </c>
      <c r="G271" s="8" t="n">
        <v>1</v>
      </c>
      <c r="H271" s="7" t="n">
        <v>282.2698874338724</v>
      </c>
      <c r="I271" s="7" t="n">
        <v>1.5</v>
      </c>
      <c r="J271" s="9" t="n">
        <v>0.021</v>
      </c>
      <c r="K271" s="49" t="inlineStr">
        <is>
          <t>Success</t>
        </is>
      </c>
      <c r="L271" s="7" t="n">
        <v>0.4234048311508087</v>
      </c>
      <c r="M271" s="7" t="n">
        <v>0</v>
      </c>
      <c r="N271" s="7" t="n">
        <v>3.387238649206469</v>
      </c>
    </row>
    <row r="272" ht="18" customHeight="1">
      <c r="A272" s="49" t="inlineStr">
        <is>
          <t>ACE-10271</t>
        </is>
      </c>
      <c r="B272" s="49" t="inlineStr">
        <is>
          <t>2026-05-07 13:41:05</t>
        </is>
      </c>
      <c r="C272" s="49" t="inlineStr">
        <is>
          <t>CUST-79477</t>
        </is>
      </c>
      <c r="D272" s="49" t="inlineStr">
        <is>
          <t>GBP-PKR</t>
        </is>
      </c>
      <c r="E272" s="49" t="inlineStr">
        <is>
          <t>GBP</t>
        </is>
      </c>
      <c r="F272" s="7" t="n">
        <v>321.7957192896287</v>
      </c>
      <c r="G272" s="8" t="n">
        <v>1</v>
      </c>
      <c r="H272" s="7" t="n">
        <v>321.7957192896287</v>
      </c>
      <c r="I272" s="7" t="n">
        <v>1.5</v>
      </c>
      <c r="J272" s="9" t="n">
        <v>0.021</v>
      </c>
      <c r="K272" s="49" t="inlineStr">
        <is>
          <t>Success</t>
        </is>
      </c>
      <c r="L272" s="7" t="n">
        <v>0.482693578934443</v>
      </c>
      <c r="M272" s="7" t="n">
        <v>0</v>
      </c>
      <c r="N272" s="7" t="n">
        <v>3.861548631475544</v>
      </c>
    </row>
    <row r="273" ht="18" customHeight="1">
      <c r="A273" s="49" t="inlineStr">
        <is>
          <t>ACE-10272</t>
        </is>
      </c>
      <c r="B273" s="49" t="inlineStr">
        <is>
          <t>2026-05-24 11:03:17</t>
        </is>
      </c>
      <c r="C273" s="49" t="inlineStr">
        <is>
          <t>CUST-74718</t>
        </is>
      </c>
      <c r="D273" s="49" t="inlineStr">
        <is>
          <t>GBP-PKR</t>
        </is>
      </c>
      <c r="E273" s="49" t="inlineStr">
        <is>
          <t>GBP</t>
        </is>
      </c>
      <c r="F273" s="7" t="n">
        <v>241.3391940236938</v>
      </c>
      <c r="G273" s="8" t="n">
        <v>1</v>
      </c>
      <c r="H273" s="7" t="n">
        <v>241.3391940236938</v>
      </c>
      <c r="I273" s="7" t="n">
        <v>1.5</v>
      </c>
      <c r="J273" s="9" t="n">
        <v>0.021</v>
      </c>
      <c r="K273" s="49" t="inlineStr">
        <is>
          <t>Success</t>
        </is>
      </c>
      <c r="L273" s="7" t="n">
        <v>0.3620087910355407</v>
      </c>
      <c r="M273" s="7" t="n">
        <v>0.7240175820710815</v>
      </c>
      <c r="N273" s="7" t="n">
        <v>2.896070328284326</v>
      </c>
    </row>
    <row r="274" ht="18" customHeight="1">
      <c r="A274" s="49" t="inlineStr">
        <is>
          <t>ACE-10273</t>
        </is>
      </c>
      <c r="B274" s="49" t="inlineStr">
        <is>
          <t>2026-05-03 11:51:48</t>
        </is>
      </c>
      <c r="C274" s="49" t="inlineStr">
        <is>
          <t>CUST-88507</t>
        </is>
      </c>
      <c r="D274" s="49" t="inlineStr">
        <is>
          <t>GBP-PKR</t>
        </is>
      </c>
      <c r="E274" s="49" t="inlineStr">
        <is>
          <t>GBP</t>
        </is>
      </c>
      <c r="F274" s="7" t="n">
        <v>312.9695740742663</v>
      </c>
      <c r="G274" s="8" t="n">
        <v>1</v>
      </c>
      <c r="H274" s="7" t="n">
        <v>312.9695740742663</v>
      </c>
      <c r="I274" s="7" t="n">
        <v>1.5</v>
      </c>
      <c r="J274" s="9" t="n">
        <v>0.021</v>
      </c>
      <c r="K274" s="49" t="inlineStr">
        <is>
          <t>Success</t>
        </is>
      </c>
      <c r="L274" s="7" t="n">
        <v>0.4694543611113994</v>
      </c>
      <c r="M274" s="7" t="n">
        <v>0</v>
      </c>
      <c r="N274" s="7" t="n">
        <v>3.755634888891195</v>
      </c>
    </row>
    <row r="275" ht="18" customHeight="1">
      <c r="A275" s="49" t="inlineStr">
        <is>
          <t>ACE-10274</t>
        </is>
      </c>
      <c r="B275" s="49" t="inlineStr">
        <is>
          <t>2026-05-16 11:55:58</t>
        </is>
      </c>
      <c r="C275" s="49" t="inlineStr">
        <is>
          <t>CUST-71821</t>
        </is>
      </c>
      <c r="D275" s="49" t="inlineStr">
        <is>
          <t>GBP-PKR</t>
        </is>
      </c>
      <c r="E275" s="49" t="inlineStr">
        <is>
          <t>GBP</t>
        </is>
      </c>
      <c r="F275" s="7" t="n">
        <v>278.8887367499094</v>
      </c>
      <c r="G275" s="8" t="n">
        <v>1</v>
      </c>
      <c r="H275" s="7" t="n">
        <v>278.8887367499094</v>
      </c>
      <c r="I275" s="7" t="n">
        <v>1.5</v>
      </c>
      <c r="J275" s="9" t="n">
        <v>0.021</v>
      </c>
      <c r="K275" s="49" t="inlineStr">
        <is>
          <t>Success</t>
        </is>
      </c>
      <c r="L275" s="7" t="n">
        <v>0.4183331051248641</v>
      </c>
      <c r="M275" s="7" t="n">
        <v>0.8366662102497282</v>
      </c>
      <c r="N275" s="7" t="n">
        <v>3.346664840998913</v>
      </c>
    </row>
    <row r="276" ht="18" customHeight="1">
      <c r="A276" s="49" t="inlineStr">
        <is>
          <t>ACE-10275</t>
        </is>
      </c>
      <c r="B276" s="49" t="inlineStr">
        <is>
          <t>2026-05-07 11:47:07</t>
        </is>
      </c>
      <c r="C276" s="49" t="inlineStr">
        <is>
          <t>CUST-98947</t>
        </is>
      </c>
      <c r="D276" s="49" t="inlineStr">
        <is>
          <t>GBP-PKR</t>
        </is>
      </c>
      <c r="E276" s="49" t="inlineStr">
        <is>
          <t>GBP</t>
        </is>
      </c>
      <c r="F276" s="7" t="n">
        <v>252.5574475947427</v>
      </c>
      <c r="G276" s="8" t="n">
        <v>1</v>
      </c>
      <c r="H276" s="7" t="n">
        <v>252.5574475947427</v>
      </c>
      <c r="I276" s="7" t="n">
        <v>1.5</v>
      </c>
      <c r="J276" s="9" t="n">
        <v>0.021</v>
      </c>
      <c r="K276" s="49" t="inlineStr">
        <is>
          <t>Success</t>
        </is>
      </c>
      <c r="L276" s="7" t="n">
        <v>0.3788361713921141</v>
      </c>
      <c r="M276" s="7" t="n">
        <v>0</v>
      </c>
      <c r="N276" s="7" t="n">
        <v>3.030689371136913</v>
      </c>
    </row>
    <row r="277" ht="18" customHeight="1">
      <c r="A277" s="49" t="inlineStr">
        <is>
          <t>ACE-10276</t>
        </is>
      </c>
      <c r="B277" s="49" t="inlineStr">
        <is>
          <t>2026-05-08 19:38:45</t>
        </is>
      </c>
      <c r="C277" s="49" t="inlineStr">
        <is>
          <t>CUST-63402</t>
        </is>
      </c>
      <c r="D277" s="49" t="inlineStr">
        <is>
          <t>GBP-PKR</t>
        </is>
      </c>
      <c r="E277" s="49" t="inlineStr">
        <is>
          <t>GBP</t>
        </is>
      </c>
      <c r="F277" s="7" t="n">
        <v>291.7799582614071</v>
      </c>
      <c r="G277" s="8" t="n">
        <v>1</v>
      </c>
      <c r="H277" s="7" t="n">
        <v>291.7799582614071</v>
      </c>
      <c r="I277" s="7" t="n">
        <v>1.5</v>
      </c>
      <c r="J277" s="9" t="n">
        <v>0.021</v>
      </c>
      <c r="K277" s="49" t="inlineStr">
        <is>
          <t>Success</t>
        </is>
      </c>
      <c r="L277" s="7" t="n">
        <v>0.4376699373921107</v>
      </c>
      <c r="M277" s="7" t="n">
        <v>0</v>
      </c>
      <c r="N277" s="7" t="n">
        <v>3.501359499136885</v>
      </c>
    </row>
    <row r="278" ht="18" customHeight="1">
      <c r="A278" s="49" t="inlineStr">
        <is>
          <t>ACE-10277</t>
        </is>
      </c>
      <c r="B278" s="49" t="inlineStr">
        <is>
          <t>2026-05-11 20:18:24</t>
        </is>
      </c>
      <c r="C278" s="49" t="inlineStr">
        <is>
          <t>CUST-80556</t>
        </is>
      </c>
      <c r="D278" s="49" t="inlineStr">
        <is>
          <t>GBP-PKR</t>
        </is>
      </c>
      <c r="E278" s="49" t="inlineStr">
        <is>
          <t>GBP</t>
        </is>
      </c>
      <c r="F278" s="7" t="n">
        <v>284.2049329202844</v>
      </c>
      <c r="G278" s="8" t="n">
        <v>1</v>
      </c>
      <c r="H278" s="7" t="n">
        <v>284.2049329202844</v>
      </c>
      <c r="I278" s="7" t="n">
        <v>1.5</v>
      </c>
      <c r="J278" s="9" t="n">
        <v>0.021</v>
      </c>
      <c r="K278" s="49" t="inlineStr">
        <is>
          <t>Success</t>
        </is>
      </c>
      <c r="L278" s="7" t="n">
        <v>0.4263073993804266</v>
      </c>
      <c r="M278" s="7" t="n">
        <v>0</v>
      </c>
      <c r="N278" s="7" t="n">
        <v>3.410459195043412</v>
      </c>
    </row>
    <row r="279" ht="18" customHeight="1">
      <c r="A279" s="49" t="inlineStr">
        <is>
          <t>ACE-10278</t>
        </is>
      </c>
      <c r="B279" s="49" t="inlineStr">
        <is>
          <t>2026-05-09 13:32:56</t>
        </is>
      </c>
      <c r="C279" s="49" t="inlineStr">
        <is>
          <t>CUST-82589</t>
        </is>
      </c>
      <c r="D279" s="49" t="inlineStr">
        <is>
          <t>GBP-PKR</t>
        </is>
      </c>
      <c r="E279" s="49" t="inlineStr">
        <is>
          <t>GBP</t>
        </is>
      </c>
      <c r="F279" s="7" t="n">
        <v>262.3731994085647</v>
      </c>
      <c r="G279" s="8" t="n">
        <v>1</v>
      </c>
      <c r="H279" s="7" t="n">
        <v>262.3731994085647</v>
      </c>
      <c r="I279" s="7" t="n">
        <v>1.5</v>
      </c>
      <c r="J279" s="9" t="n">
        <v>0.021</v>
      </c>
      <c r="K279" s="49" t="inlineStr">
        <is>
          <t>Success</t>
        </is>
      </c>
      <c r="L279" s="7" t="n">
        <v>0.3935597991128471</v>
      </c>
      <c r="M279" s="7" t="n">
        <v>0.7871195982256941</v>
      </c>
      <c r="N279" s="7" t="n">
        <v>3.148478392902776</v>
      </c>
    </row>
    <row r="280" ht="18" customHeight="1">
      <c r="A280" s="49" t="inlineStr">
        <is>
          <t>ACE-10279</t>
        </is>
      </c>
      <c r="B280" s="49" t="inlineStr">
        <is>
          <t>2026-05-24 15:48:53</t>
        </is>
      </c>
      <c r="C280" s="49" t="inlineStr">
        <is>
          <t>CUST-70986</t>
        </is>
      </c>
      <c r="D280" s="49" t="inlineStr">
        <is>
          <t>GBP-PKR</t>
        </is>
      </c>
      <c r="E280" s="49" t="inlineStr">
        <is>
          <t>GBP</t>
        </is>
      </c>
      <c r="F280" s="7" t="n">
        <v>280.5550077138572</v>
      </c>
      <c r="G280" s="8" t="n">
        <v>1</v>
      </c>
      <c r="H280" s="7" t="n">
        <v>280.5550077138572</v>
      </c>
      <c r="I280" s="7" t="n">
        <v>1.5</v>
      </c>
      <c r="J280" s="9" t="n">
        <v>0.021</v>
      </c>
      <c r="K280" s="49" t="inlineStr">
        <is>
          <t>Success</t>
        </is>
      </c>
      <c r="L280" s="7" t="n">
        <v>0.4208325115707858</v>
      </c>
      <c r="M280" s="7" t="n">
        <v>0</v>
      </c>
      <c r="N280" s="7" t="n">
        <v>3.366660092566287</v>
      </c>
    </row>
    <row r="281" ht="18" customHeight="1">
      <c r="A281" s="49" t="inlineStr">
        <is>
          <t>ACE-10280</t>
        </is>
      </c>
      <c r="B281" s="49" t="inlineStr">
        <is>
          <t>2026-05-14 08:36:55</t>
        </is>
      </c>
      <c r="C281" s="49" t="inlineStr">
        <is>
          <t>CUST-64501</t>
        </is>
      </c>
      <c r="D281" s="49" t="inlineStr">
        <is>
          <t>GBP-PKR</t>
        </is>
      </c>
      <c r="E281" s="49" t="inlineStr">
        <is>
          <t>GBP</t>
        </is>
      </c>
      <c r="F281" s="7" t="n">
        <v>268.0727083376482</v>
      </c>
      <c r="G281" s="8" t="n">
        <v>1</v>
      </c>
      <c r="H281" s="7" t="n">
        <v>268.0727083376482</v>
      </c>
      <c r="I281" s="7" t="n">
        <v>1.5</v>
      </c>
      <c r="J281" s="9" t="n">
        <v>0.021</v>
      </c>
      <c r="K281" s="49" t="inlineStr">
        <is>
          <t>Success</t>
        </is>
      </c>
      <c r="L281" s="7" t="n">
        <v>0.4021090625064723</v>
      </c>
      <c r="M281" s="7" t="n">
        <v>0</v>
      </c>
      <c r="N281" s="7" t="n">
        <v>3.216872500051778</v>
      </c>
    </row>
    <row r="282" ht="18" customHeight="1">
      <c r="A282" s="49" t="inlineStr">
        <is>
          <t>ACE-10281</t>
        </is>
      </c>
      <c r="B282" s="49" t="inlineStr">
        <is>
          <t>2026-05-18 17:37:46</t>
        </is>
      </c>
      <c r="C282" s="49" t="inlineStr">
        <is>
          <t>CUST-77366</t>
        </is>
      </c>
      <c r="D282" s="49" t="inlineStr">
        <is>
          <t>GBP-PKR</t>
        </is>
      </c>
      <c r="E282" s="49" t="inlineStr">
        <is>
          <t>GBP</t>
        </is>
      </c>
      <c r="F282" s="7" t="n">
        <v>281.7841458791506</v>
      </c>
      <c r="G282" s="8" t="n">
        <v>1</v>
      </c>
      <c r="H282" s="7" t="n">
        <v>281.7841458791506</v>
      </c>
      <c r="I282" s="7" t="n">
        <v>1.5</v>
      </c>
      <c r="J282" s="9" t="n">
        <v>0.021</v>
      </c>
      <c r="K282" s="49" t="inlineStr">
        <is>
          <t>Success</t>
        </is>
      </c>
      <c r="L282" s="7" t="n">
        <v>0.422676218818726</v>
      </c>
      <c r="M282" s="7" t="n">
        <v>0</v>
      </c>
      <c r="N282" s="7" t="n">
        <v>3.381409750549808</v>
      </c>
    </row>
    <row r="283" ht="18" customHeight="1">
      <c r="A283" s="49" t="inlineStr">
        <is>
          <t>ACE-10282</t>
        </is>
      </c>
      <c r="B283" s="49" t="inlineStr">
        <is>
          <t>2026-05-08 14:36:53</t>
        </is>
      </c>
      <c r="C283" s="49" t="inlineStr">
        <is>
          <t>CUST-66104</t>
        </is>
      </c>
      <c r="D283" s="49" t="inlineStr">
        <is>
          <t>GBP-PKR</t>
        </is>
      </c>
      <c r="E283" s="49" t="inlineStr">
        <is>
          <t>GBP</t>
        </is>
      </c>
      <c r="F283" s="7" t="n">
        <v>297.6751140941209</v>
      </c>
      <c r="G283" s="8" t="n">
        <v>1</v>
      </c>
      <c r="H283" s="7" t="n">
        <v>297.6751140941209</v>
      </c>
      <c r="I283" s="7" t="n">
        <v>1.5</v>
      </c>
      <c r="J283" s="9" t="n">
        <v>0.021</v>
      </c>
      <c r="K283" s="49" t="inlineStr">
        <is>
          <t>Success</t>
        </is>
      </c>
      <c r="L283" s="7" t="n">
        <v>0.4465126711411813</v>
      </c>
      <c r="M283" s="7" t="n">
        <v>0.8930253422823626</v>
      </c>
      <c r="N283" s="7" t="n">
        <v>3.572101369129451</v>
      </c>
    </row>
    <row r="284" ht="18" customHeight="1">
      <c r="A284" s="49" t="inlineStr">
        <is>
          <t>ACE-10283</t>
        </is>
      </c>
      <c r="B284" s="49" t="inlineStr">
        <is>
          <t>2026-05-22 13:16:48</t>
        </is>
      </c>
      <c r="C284" s="49" t="inlineStr">
        <is>
          <t>CUST-82022</t>
        </is>
      </c>
      <c r="D284" s="49" t="inlineStr">
        <is>
          <t>GBP-PKR</t>
        </is>
      </c>
      <c r="E284" s="49" t="inlineStr">
        <is>
          <t>GBP</t>
        </is>
      </c>
      <c r="F284" s="7" t="n">
        <v>326.4873764700124</v>
      </c>
      <c r="G284" s="8" t="n">
        <v>1</v>
      </c>
      <c r="H284" s="7" t="n">
        <v>326.4873764700124</v>
      </c>
      <c r="I284" s="7" t="n">
        <v>1.5</v>
      </c>
      <c r="J284" s="9" t="n">
        <v>0.021</v>
      </c>
      <c r="K284" s="49" t="inlineStr">
        <is>
          <t>Success</t>
        </is>
      </c>
      <c r="L284" s="7" t="n">
        <v>0.4897310647050186</v>
      </c>
      <c r="M284" s="7" t="n">
        <v>0.9794621294100373</v>
      </c>
      <c r="N284" s="7" t="n">
        <v>3.917848517640149</v>
      </c>
    </row>
    <row r="285" ht="18" customHeight="1">
      <c r="A285" s="49" t="inlineStr">
        <is>
          <t>ACE-10284</t>
        </is>
      </c>
      <c r="B285" s="49" t="inlineStr">
        <is>
          <t>2026-05-16 15:10:46</t>
        </is>
      </c>
      <c r="C285" s="49" t="inlineStr">
        <is>
          <t>CUST-73080</t>
        </is>
      </c>
      <c r="D285" s="49" t="inlineStr">
        <is>
          <t>GBP-PKR</t>
        </is>
      </c>
      <c r="E285" s="49" t="inlineStr">
        <is>
          <t>GBP</t>
        </is>
      </c>
      <c r="F285" s="7" t="n">
        <v>246.1664795759452</v>
      </c>
      <c r="G285" s="8" t="n">
        <v>1</v>
      </c>
      <c r="H285" s="7" t="n">
        <v>246.1664795759452</v>
      </c>
      <c r="I285" s="7" t="n">
        <v>1.5</v>
      </c>
      <c r="J285" s="9" t="n">
        <v>0.021</v>
      </c>
      <c r="K285" s="49" t="inlineStr">
        <is>
          <t>Success</t>
        </is>
      </c>
      <c r="L285" s="7" t="n">
        <v>0.3692497193639178</v>
      </c>
      <c r="M285" s="7" t="n">
        <v>0.7384994387278355</v>
      </c>
      <c r="N285" s="7" t="n">
        <v>2.953997754911342</v>
      </c>
    </row>
    <row r="286" ht="18" customHeight="1">
      <c r="A286" s="49" t="inlineStr">
        <is>
          <t>ACE-10285</t>
        </is>
      </c>
      <c r="B286" s="49" t="inlineStr">
        <is>
          <t>2026-05-16 10:58:56</t>
        </is>
      </c>
      <c r="C286" s="49" t="inlineStr">
        <is>
          <t>CUST-85529</t>
        </is>
      </c>
      <c r="D286" s="49" t="inlineStr">
        <is>
          <t>GBP-PKR</t>
        </is>
      </c>
      <c r="E286" s="49" t="inlineStr">
        <is>
          <t>GBP</t>
        </is>
      </c>
      <c r="F286" s="7" t="n">
        <v>344.8442757987589</v>
      </c>
      <c r="G286" s="8" t="n">
        <v>1</v>
      </c>
      <c r="H286" s="7" t="n">
        <v>344.8442757987589</v>
      </c>
      <c r="I286" s="7" t="n">
        <v>1.5</v>
      </c>
      <c r="J286" s="9" t="n">
        <v>0.021</v>
      </c>
      <c r="K286" s="49" t="inlineStr">
        <is>
          <t>Success</t>
        </is>
      </c>
      <c r="L286" s="7" t="n">
        <v>0.5172664136981383</v>
      </c>
      <c r="M286" s="7" t="n">
        <v>1.034532827396277</v>
      </c>
      <c r="N286" s="7" t="n">
        <v>4.138131309585106</v>
      </c>
    </row>
    <row r="287" ht="18" customHeight="1">
      <c r="A287" s="49" t="inlineStr">
        <is>
          <t>ACE-10286</t>
        </is>
      </c>
      <c r="B287" s="49" t="inlineStr">
        <is>
          <t>2026-05-17 08:53:54</t>
        </is>
      </c>
      <c r="C287" s="49" t="inlineStr">
        <is>
          <t>CUST-54871</t>
        </is>
      </c>
      <c r="D287" s="49" t="inlineStr">
        <is>
          <t>USD-PKR</t>
        </is>
      </c>
      <c r="E287" s="49" t="inlineStr">
        <is>
          <t>USD</t>
        </is>
      </c>
      <c r="F287" s="7" t="n">
        <v>180.0831639976737</v>
      </c>
      <c r="G287" s="8" t="n">
        <v>0.8</v>
      </c>
      <c r="H287" s="7" t="n">
        <v>144.066531198139</v>
      </c>
      <c r="I287" s="7" t="n">
        <v>1.6</v>
      </c>
      <c r="J287" s="9" t="n">
        <v>0.019</v>
      </c>
      <c r="K287" s="49" t="inlineStr">
        <is>
          <t>Success</t>
        </is>
      </c>
      <c r="L287" s="7" t="n">
        <v>0.2160997967972085</v>
      </c>
      <c r="M287" s="7" t="n">
        <v>0.432199593594417</v>
      </c>
      <c r="N287" s="7" t="n">
        <v>1.728798374377668</v>
      </c>
    </row>
    <row r="288" ht="18" customHeight="1">
      <c r="A288" s="49" t="inlineStr">
        <is>
          <t>ACE-10287</t>
        </is>
      </c>
      <c r="B288" s="49" t="inlineStr">
        <is>
          <t>2026-05-01 14:08:53</t>
        </is>
      </c>
      <c r="C288" s="49" t="inlineStr">
        <is>
          <t>CUST-91333</t>
        </is>
      </c>
      <c r="D288" s="49" t="inlineStr">
        <is>
          <t>GBP-PKR</t>
        </is>
      </c>
      <c r="E288" s="49" t="inlineStr">
        <is>
          <t>GBP</t>
        </is>
      </c>
      <c r="F288" s="7" t="n">
        <v>274.4066399604869</v>
      </c>
      <c r="G288" s="8" t="n">
        <v>1</v>
      </c>
      <c r="H288" s="7" t="n">
        <v>274.4066399604869</v>
      </c>
      <c r="I288" s="7" t="n">
        <v>1.5</v>
      </c>
      <c r="J288" s="9" t="n">
        <v>0.021</v>
      </c>
      <c r="K288" s="49" t="inlineStr">
        <is>
          <t>Success</t>
        </is>
      </c>
      <c r="L288" s="7" t="n">
        <v>0.4116099599407303</v>
      </c>
      <c r="M288" s="7" t="n">
        <v>0.8232199198814606</v>
      </c>
      <c r="N288" s="7" t="n">
        <v>3.292879679525842</v>
      </c>
    </row>
    <row r="289" ht="18" customHeight="1">
      <c r="A289" s="49" t="inlineStr">
        <is>
          <t>ACE-10288</t>
        </is>
      </c>
      <c r="B289" s="49" t="inlineStr">
        <is>
          <t>2026-05-01 11:32:29</t>
        </is>
      </c>
      <c r="C289" s="49" t="inlineStr">
        <is>
          <t>CUST-74458</t>
        </is>
      </c>
      <c r="D289" s="49" t="inlineStr">
        <is>
          <t>GBP-PKR</t>
        </is>
      </c>
      <c r="E289" s="49" t="inlineStr">
        <is>
          <t>GBP</t>
        </is>
      </c>
      <c r="F289" s="7" t="n">
        <v>295.4859602336329</v>
      </c>
      <c r="G289" s="8" t="n">
        <v>1</v>
      </c>
      <c r="H289" s="7" t="n">
        <v>295.4859602336329</v>
      </c>
      <c r="I289" s="7" t="n">
        <v>1.5</v>
      </c>
      <c r="J289" s="9" t="n">
        <v>0.021</v>
      </c>
      <c r="K289" s="49" t="inlineStr">
        <is>
          <t>Success</t>
        </is>
      </c>
      <c r="L289" s="7" t="n">
        <v>0.4432289403504493</v>
      </c>
      <c r="M289" s="7" t="n">
        <v>0.8864578807008986</v>
      </c>
      <c r="N289" s="7" t="n">
        <v>3.545831522803594</v>
      </c>
    </row>
    <row r="290" ht="18" customHeight="1">
      <c r="A290" s="49" t="inlineStr">
        <is>
          <t>ACE-10289</t>
        </is>
      </c>
      <c r="B290" s="49" t="inlineStr">
        <is>
          <t>2026-05-20 15:42:31</t>
        </is>
      </c>
      <c r="C290" s="49" t="inlineStr">
        <is>
          <t>CUST-51030</t>
        </is>
      </c>
      <c r="D290" s="49" t="inlineStr">
        <is>
          <t>EUR-PKR</t>
        </is>
      </c>
      <c r="E290" s="49" t="inlineStr">
        <is>
          <t>EUR</t>
        </is>
      </c>
      <c r="F290" s="7" t="n">
        <v>194.4399274265931</v>
      </c>
      <c r="G290" s="8" t="n">
        <v>0.85</v>
      </c>
      <c r="H290" s="7" t="n">
        <v>165.2739383126041</v>
      </c>
      <c r="I290" s="7" t="n">
        <v>1.275</v>
      </c>
      <c r="J290" s="9" t="n">
        <v>0.023</v>
      </c>
      <c r="K290" s="49" t="inlineStr">
        <is>
          <t>Failed</t>
        </is>
      </c>
      <c r="L290" s="7" t="n">
        <v>0</v>
      </c>
      <c r="M290" s="7" t="n">
        <v>0</v>
      </c>
      <c r="N290" s="7" t="n">
        <v>0.5</v>
      </c>
    </row>
    <row r="291" ht="18" customHeight="1">
      <c r="A291" s="49" t="inlineStr">
        <is>
          <t>ACE-10290</t>
        </is>
      </c>
      <c r="B291" s="49" t="inlineStr">
        <is>
          <t>2026-05-18 14:00:01</t>
        </is>
      </c>
      <c r="C291" s="49" t="inlineStr">
        <is>
          <t>CUST-84695</t>
        </is>
      </c>
      <c r="D291" s="49" t="inlineStr">
        <is>
          <t>USD-PKR</t>
        </is>
      </c>
      <c r="E291" s="49" t="inlineStr">
        <is>
          <t>USD</t>
        </is>
      </c>
      <c r="F291" s="7" t="n">
        <v>205.6874110744727</v>
      </c>
      <c r="G291" s="8" t="n">
        <v>0.8</v>
      </c>
      <c r="H291" s="7" t="n">
        <v>164.5499288595782</v>
      </c>
      <c r="I291" s="7" t="n">
        <v>1.6</v>
      </c>
      <c r="J291" s="9" t="n">
        <v>0.019</v>
      </c>
      <c r="K291" s="49" t="inlineStr">
        <is>
          <t>Success</t>
        </is>
      </c>
      <c r="L291" s="7" t="n">
        <v>0.2468248932893672</v>
      </c>
      <c r="M291" s="7" t="n">
        <v>0</v>
      </c>
      <c r="N291" s="7" t="n">
        <v>1.974599146314938</v>
      </c>
    </row>
    <row r="292" ht="18" customHeight="1">
      <c r="A292" s="49" t="inlineStr">
        <is>
          <t>ACE-10291</t>
        </is>
      </c>
      <c r="B292" s="49" t="inlineStr">
        <is>
          <t>2026-05-10 08:32:52</t>
        </is>
      </c>
      <c r="C292" s="49" t="inlineStr">
        <is>
          <t>CUST-95734</t>
        </is>
      </c>
      <c r="D292" s="49" t="inlineStr">
        <is>
          <t>GBP-PKR</t>
        </is>
      </c>
      <c r="E292" s="49" t="inlineStr">
        <is>
          <t>GBP</t>
        </is>
      </c>
      <c r="F292" s="7" t="n">
        <v>272.8650575066413</v>
      </c>
      <c r="G292" s="8" t="n">
        <v>1</v>
      </c>
      <c r="H292" s="7" t="n">
        <v>272.8650575066413</v>
      </c>
      <c r="I292" s="7" t="n">
        <v>1.5</v>
      </c>
      <c r="J292" s="9" t="n">
        <v>0.021</v>
      </c>
      <c r="K292" s="49" t="inlineStr">
        <is>
          <t>Success</t>
        </is>
      </c>
      <c r="L292" s="7" t="n">
        <v>0.4092975862599619</v>
      </c>
      <c r="M292" s="7" t="n">
        <v>0.8185951725199239</v>
      </c>
      <c r="N292" s="7" t="n">
        <v>3.274380690079695</v>
      </c>
    </row>
    <row r="293" ht="18" customHeight="1">
      <c r="A293" s="49" t="inlineStr">
        <is>
          <t>ACE-10292</t>
        </is>
      </c>
      <c r="B293" s="49" t="inlineStr">
        <is>
          <t>2026-05-06 09:58:06</t>
        </is>
      </c>
      <c r="C293" s="49" t="inlineStr">
        <is>
          <t>CUST-84366</t>
        </is>
      </c>
      <c r="D293" s="49" t="inlineStr">
        <is>
          <t>GBP-PKR</t>
        </is>
      </c>
      <c r="E293" s="49" t="inlineStr">
        <is>
          <t>GBP</t>
        </is>
      </c>
      <c r="F293" s="7" t="n">
        <v>265.2013926727245</v>
      </c>
      <c r="G293" s="8" t="n">
        <v>1</v>
      </c>
      <c r="H293" s="7" t="n">
        <v>265.2013926727245</v>
      </c>
      <c r="I293" s="7" t="n">
        <v>1.5</v>
      </c>
      <c r="J293" s="9" t="n">
        <v>0.021</v>
      </c>
      <c r="K293" s="49" t="inlineStr">
        <is>
          <t>Success</t>
        </is>
      </c>
      <c r="L293" s="7" t="n">
        <v>0.3978020890090868</v>
      </c>
      <c r="M293" s="7" t="n">
        <v>0</v>
      </c>
      <c r="N293" s="7" t="n">
        <v>3.182416712072694</v>
      </c>
    </row>
    <row r="294" ht="18" customHeight="1">
      <c r="A294" s="49" t="inlineStr">
        <is>
          <t>ACE-10293</t>
        </is>
      </c>
      <c r="B294" s="49" t="inlineStr">
        <is>
          <t>2026-05-17 12:52:22</t>
        </is>
      </c>
      <c r="C294" s="49" t="inlineStr">
        <is>
          <t>CUST-67519</t>
        </is>
      </c>
      <c r="D294" s="49" t="inlineStr">
        <is>
          <t>GBP-PKR</t>
        </is>
      </c>
      <c r="E294" s="49" t="inlineStr">
        <is>
          <t>GBP</t>
        </is>
      </c>
      <c r="F294" s="7" t="n">
        <v>262.6580845110817</v>
      </c>
      <c r="G294" s="8" t="n">
        <v>1</v>
      </c>
      <c r="H294" s="7" t="n">
        <v>262.6580845110817</v>
      </c>
      <c r="I294" s="7" t="n">
        <v>1.5</v>
      </c>
      <c r="J294" s="9" t="n">
        <v>0.021</v>
      </c>
      <c r="K294" s="49" t="inlineStr">
        <is>
          <t>Success</t>
        </is>
      </c>
      <c r="L294" s="7" t="n">
        <v>0.3939871267666226</v>
      </c>
      <c r="M294" s="7" t="n">
        <v>0</v>
      </c>
      <c r="N294" s="7" t="n">
        <v>3.151897014132981</v>
      </c>
    </row>
    <row r="295" ht="18" customHeight="1">
      <c r="A295" s="49" t="inlineStr">
        <is>
          <t>ACE-10294</t>
        </is>
      </c>
      <c r="B295" s="49" t="inlineStr">
        <is>
          <t>2026-05-13 15:36:15</t>
        </is>
      </c>
      <c r="C295" s="49" t="inlineStr">
        <is>
          <t>CUST-95694</t>
        </is>
      </c>
      <c r="D295" s="49" t="inlineStr">
        <is>
          <t>GBP-PKR</t>
        </is>
      </c>
      <c r="E295" s="49" t="inlineStr">
        <is>
          <t>GBP</t>
        </is>
      </c>
      <c r="F295" s="7" t="n">
        <v>303.3083099808671</v>
      </c>
      <c r="G295" s="8" t="n">
        <v>1</v>
      </c>
      <c r="H295" s="7" t="n">
        <v>303.3083099808671</v>
      </c>
      <c r="I295" s="7" t="n">
        <v>1.5</v>
      </c>
      <c r="J295" s="9" t="n">
        <v>0.021</v>
      </c>
      <c r="K295" s="49" t="inlineStr">
        <is>
          <t>Success</t>
        </is>
      </c>
      <c r="L295" s="7" t="n">
        <v>0.4549624649713006</v>
      </c>
      <c r="M295" s="7" t="n">
        <v>0.9099249299426012</v>
      </c>
      <c r="N295" s="7" t="n">
        <v>3.639699719770405</v>
      </c>
    </row>
    <row r="296" ht="18" customHeight="1">
      <c r="A296" s="49" t="inlineStr">
        <is>
          <t>ACE-10295</t>
        </is>
      </c>
      <c r="B296" s="49" t="inlineStr">
        <is>
          <t>2026-05-03 18:54:41</t>
        </is>
      </c>
      <c r="C296" s="49" t="inlineStr">
        <is>
          <t>CUST-99780</t>
        </is>
      </c>
      <c r="D296" s="49" t="inlineStr">
        <is>
          <t>GBP-PKR</t>
        </is>
      </c>
      <c r="E296" s="49" t="inlineStr">
        <is>
          <t>GBP</t>
        </is>
      </c>
      <c r="F296" s="7" t="n">
        <v>288.729756426863</v>
      </c>
      <c r="G296" s="8" t="n">
        <v>1</v>
      </c>
      <c r="H296" s="7" t="n">
        <v>288.729756426863</v>
      </c>
      <c r="I296" s="7" t="n">
        <v>1.5</v>
      </c>
      <c r="J296" s="9" t="n">
        <v>0.021</v>
      </c>
      <c r="K296" s="49" t="inlineStr">
        <is>
          <t>Success</t>
        </is>
      </c>
      <c r="L296" s="7" t="n">
        <v>0.4330946346402945</v>
      </c>
      <c r="M296" s="7" t="n">
        <v>0</v>
      </c>
      <c r="N296" s="7" t="n">
        <v>3.464757077122356</v>
      </c>
    </row>
    <row r="297" ht="18" customHeight="1">
      <c r="A297" s="49" t="inlineStr">
        <is>
          <t>ACE-10296</t>
        </is>
      </c>
      <c r="B297" s="49" t="inlineStr">
        <is>
          <t>2026-05-13 16:30:03</t>
        </is>
      </c>
      <c r="C297" s="49" t="inlineStr">
        <is>
          <t>CUST-91729</t>
        </is>
      </c>
      <c r="D297" s="49" t="inlineStr">
        <is>
          <t>USD-PKR</t>
        </is>
      </c>
      <c r="E297" s="49" t="inlineStr">
        <is>
          <t>USD</t>
        </is>
      </c>
      <c r="F297" s="7" t="n">
        <v>204.2483359996314</v>
      </c>
      <c r="G297" s="8" t="n">
        <v>0.8</v>
      </c>
      <c r="H297" s="7" t="n">
        <v>163.3986687997051</v>
      </c>
      <c r="I297" s="7" t="n">
        <v>1.6</v>
      </c>
      <c r="J297" s="9" t="n">
        <v>0.019</v>
      </c>
      <c r="K297" s="49" t="inlineStr">
        <is>
          <t>Failed</t>
        </is>
      </c>
      <c r="L297" s="7" t="n">
        <v>0</v>
      </c>
      <c r="M297" s="7" t="n">
        <v>0</v>
      </c>
      <c r="N297" s="7" t="n">
        <v>0.5</v>
      </c>
    </row>
    <row r="298" ht="18" customHeight="1">
      <c r="A298" s="49" t="inlineStr">
        <is>
          <t>ACE-10297</t>
        </is>
      </c>
      <c r="B298" s="49" t="inlineStr">
        <is>
          <t>2026-05-06 09:31:54</t>
        </is>
      </c>
      <c r="C298" s="49" t="inlineStr">
        <is>
          <t>CUST-78436</t>
        </is>
      </c>
      <c r="D298" s="49" t="inlineStr">
        <is>
          <t>GBP-PKR</t>
        </is>
      </c>
      <c r="E298" s="49" t="inlineStr">
        <is>
          <t>GBP</t>
        </is>
      </c>
      <c r="F298" s="7" t="n">
        <v>304.8285814911233</v>
      </c>
      <c r="G298" s="8" t="n">
        <v>1</v>
      </c>
      <c r="H298" s="7" t="n">
        <v>304.8285814911233</v>
      </c>
      <c r="I298" s="7" t="n">
        <v>1.5</v>
      </c>
      <c r="J298" s="9" t="n">
        <v>0.021</v>
      </c>
      <c r="K298" s="49" t="inlineStr">
        <is>
          <t>Success</t>
        </is>
      </c>
      <c r="L298" s="7" t="n">
        <v>0.4572428722366849</v>
      </c>
      <c r="M298" s="7" t="n">
        <v>0</v>
      </c>
      <c r="N298" s="7" t="n">
        <v>3.657942977893479</v>
      </c>
    </row>
    <row r="299" ht="18" customHeight="1">
      <c r="A299" s="49" t="inlineStr">
        <is>
          <t>ACE-10298</t>
        </is>
      </c>
      <c r="B299" s="49" t="inlineStr">
        <is>
          <t>2026-05-04 16:58:02</t>
        </is>
      </c>
      <c r="C299" s="49" t="inlineStr">
        <is>
          <t>CUST-65057</t>
        </is>
      </c>
      <c r="D299" s="49" t="inlineStr">
        <is>
          <t>GBP-PKR</t>
        </is>
      </c>
      <c r="E299" s="49" t="inlineStr">
        <is>
          <t>GBP</t>
        </is>
      </c>
      <c r="F299" s="7" t="n">
        <v>287.2978709056389</v>
      </c>
      <c r="G299" s="8" t="n">
        <v>1</v>
      </c>
      <c r="H299" s="7" t="n">
        <v>287.2978709056389</v>
      </c>
      <c r="I299" s="7" t="n">
        <v>1.5</v>
      </c>
      <c r="J299" s="9" t="n">
        <v>0.021</v>
      </c>
      <c r="K299" s="49" t="inlineStr">
        <is>
          <t>Success</t>
        </is>
      </c>
      <c r="L299" s="7" t="n">
        <v>0.4309468063584583</v>
      </c>
      <c r="M299" s="7" t="n">
        <v>0.8618936127169167</v>
      </c>
      <c r="N299" s="7" t="n">
        <v>3.447574450867667</v>
      </c>
    </row>
    <row r="300" ht="18" customHeight="1">
      <c r="A300" s="49" t="inlineStr">
        <is>
          <t>ACE-10299</t>
        </is>
      </c>
      <c r="B300" s="49" t="inlineStr">
        <is>
          <t>2026-05-19 15:17:02</t>
        </is>
      </c>
      <c r="C300" s="49" t="inlineStr">
        <is>
          <t>CUST-54872</t>
        </is>
      </c>
      <c r="D300" s="49" t="inlineStr">
        <is>
          <t>GBP-PKR</t>
        </is>
      </c>
      <c r="E300" s="49" t="inlineStr">
        <is>
          <t>GBP</t>
        </is>
      </c>
      <c r="F300" s="7" t="n">
        <v>302.1960004742902</v>
      </c>
      <c r="G300" s="8" t="n">
        <v>1</v>
      </c>
      <c r="H300" s="7" t="n">
        <v>302.1960004742902</v>
      </c>
      <c r="I300" s="7" t="n">
        <v>1.5</v>
      </c>
      <c r="J300" s="9" t="n">
        <v>0.021</v>
      </c>
      <c r="K300" s="49" t="inlineStr">
        <is>
          <t>Success</t>
        </is>
      </c>
      <c r="L300" s="7" t="n">
        <v>0.4532940007114353</v>
      </c>
      <c r="M300" s="7" t="n">
        <v>0</v>
      </c>
      <c r="N300" s="7" t="n">
        <v>3.626352005691483</v>
      </c>
    </row>
    <row r="301" ht="18" customHeight="1">
      <c r="A301" s="49" t="inlineStr">
        <is>
          <t>ACE-10300</t>
        </is>
      </c>
      <c r="B301" s="49" t="inlineStr">
        <is>
          <t>2026-05-18 17:42:02</t>
        </is>
      </c>
      <c r="C301" s="49" t="inlineStr">
        <is>
          <t>CUST-61754</t>
        </is>
      </c>
      <c r="D301" s="49" t="inlineStr">
        <is>
          <t>GBP-PKR</t>
        </is>
      </c>
      <c r="E301" s="49" t="inlineStr">
        <is>
          <t>GBP</t>
        </is>
      </c>
      <c r="F301" s="7" t="n">
        <v>296.709185993435</v>
      </c>
      <c r="G301" s="8" t="n">
        <v>1</v>
      </c>
      <c r="H301" s="7" t="n">
        <v>296.709185993435</v>
      </c>
      <c r="I301" s="7" t="n">
        <v>1.5</v>
      </c>
      <c r="J301" s="9" t="n">
        <v>0.021</v>
      </c>
      <c r="K301" s="49" t="inlineStr">
        <is>
          <t>Success</t>
        </is>
      </c>
      <c r="L301" s="7" t="n">
        <v>0.4450637789901525</v>
      </c>
      <c r="M301" s="7" t="n">
        <v>0</v>
      </c>
      <c r="N301" s="7" t="n">
        <v>3.56051023192122</v>
      </c>
    </row>
    <row r="302" ht="18" customHeight="1">
      <c r="A302" s="49" t="inlineStr">
        <is>
          <t>ACE-10301</t>
        </is>
      </c>
      <c r="B302" s="49" t="inlineStr">
        <is>
          <t>2026-05-07 17:09:48</t>
        </is>
      </c>
      <c r="C302" s="49" t="inlineStr">
        <is>
          <t>CUST-96708</t>
        </is>
      </c>
      <c r="D302" s="49" t="inlineStr">
        <is>
          <t>GBP-PKR</t>
        </is>
      </c>
      <c r="E302" s="49" t="inlineStr">
        <is>
          <t>GBP</t>
        </is>
      </c>
      <c r="F302" s="7" t="n">
        <v>256.4388160084791</v>
      </c>
      <c r="G302" s="8" t="n">
        <v>1</v>
      </c>
      <c r="H302" s="7" t="n">
        <v>256.4388160084791</v>
      </c>
      <c r="I302" s="7" t="n">
        <v>1.5</v>
      </c>
      <c r="J302" s="9" t="n">
        <v>0.021</v>
      </c>
      <c r="K302" s="49" t="inlineStr">
        <is>
          <t>Success</t>
        </is>
      </c>
      <c r="L302" s="7" t="n">
        <v>0.3846582240127187</v>
      </c>
      <c r="M302" s="7" t="n">
        <v>0.7693164480254374</v>
      </c>
      <c r="N302" s="7" t="n">
        <v>3.07726579210175</v>
      </c>
    </row>
    <row r="303" ht="18" customHeight="1">
      <c r="A303" s="49" t="inlineStr">
        <is>
          <t>ACE-10302</t>
        </is>
      </c>
      <c r="B303" s="49" t="inlineStr">
        <is>
          <t>2026-05-10 10:36:15</t>
        </is>
      </c>
      <c r="C303" s="49" t="inlineStr">
        <is>
          <t>CUST-87138</t>
        </is>
      </c>
      <c r="D303" s="49" t="inlineStr">
        <is>
          <t>GBP-PKR</t>
        </is>
      </c>
      <c r="E303" s="49" t="inlineStr">
        <is>
          <t>GBP</t>
        </is>
      </c>
      <c r="F303" s="7" t="n">
        <v>263.4257380293629</v>
      </c>
      <c r="G303" s="8" t="n">
        <v>1</v>
      </c>
      <c r="H303" s="7" t="n">
        <v>263.4257380293629</v>
      </c>
      <c r="I303" s="7" t="n">
        <v>1.5</v>
      </c>
      <c r="J303" s="9" t="n">
        <v>0.021</v>
      </c>
      <c r="K303" s="49" t="inlineStr">
        <is>
          <t>Success</t>
        </is>
      </c>
      <c r="L303" s="7" t="n">
        <v>0.3951386070440444</v>
      </c>
      <c r="M303" s="7" t="n">
        <v>0</v>
      </c>
      <c r="N303" s="7" t="n">
        <v>3.161108856352355</v>
      </c>
    </row>
    <row r="304" ht="18" customHeight="1">
      <c r="A304" s="49" t="inlineStr">
        <is>
          <t>ACE-10303</t>
        </is>
      </c>
      <c r="B304" s="49" t="inlineStr">
        <is>
          <t>2026-05-18 13:24:48</t>
        </is>
      </c>
      <c r="C304" s="49" t="inlineStr">
        <is>
          <t>CUST-98479</t>
        </is>
      </c>
      <c r="D304" s="49" t="inlineStr">
        <is>
          <t>GBP-PKR</t>
        </is>
      </c>
      <c r="E304" s="49" t="inlineStr">
        <is>
          <t>GBP</t>
        </is>
      </c>
      <c r="F304" s="7" t="n">
        <v>300.2210280900029</v>
      </c>
      <c r="G304" s="8" t="n">
        <v>1</v>
      </c>
      <c r="H304" s="7" t="n">
        <v>300.2210280900029</v>
      </c>
      <c r="I304" s="7" t="n">
        <v>1.5</v>
      </c>
      <c r="J304" s="9" t="n">
        <v>0.021</v>
      </c>
      <c r="K304" s="49" t="inlineStr">
        <is>
          <t>Success</t>
        </is>
      </c>
      <c r="L304" s="7" t="n">
        <v>0.4503315421350044</v>
      </c>
      <c r="M304" s="7" t="n">
        <v>0.9006630842700087</v>
      </c>
      <c r="N304" s="7" t="n">
        <v>3.602652337080035</v>
      </c>
    </row>
    <row r="305" ht="18" customHeight="1">
      <c r="A305" s="49" t="inlineStr">
        <is>
          <t>ACE-10304</t>
        </is>
      </c>
      <c r="B305" s="49" t="inlineStr">
        <is>
          <t>2026-05-24 09:32:47</t>
        </is>
      </c>
      <c r="C305" s="49" t="inlineStr">
        <is>
          <t>CUST-72666</t>
        </is>
      </c>
      <c r="D305" s="49" t="inlineStr">
        <is>
          <t>GBP-PKR</t>
        </is>
      </c>
      <c r="E305" s="49" t="inlineStr">
        <is>
          <t>GBP</t>
        </is>
      </c>
      <c r="F305" s="7" t="n">
        <v>296.1383162214582</v>
      </c>
      <c r="G305" s="8" t="n">
        <v>1</v>
      </c>
      <c r="H305" s="7" t="n">
        <v>296.1383162214582</v>
      </c>
      <c r="I305" s="7" t="n">
        <v>1.5</v>
      </c>
      <c r="J305" s="9" t="n">
        <v>0.021</v>
      </c>
      <c r="K305" s="49" t="inlineStr">
        <is>
          <t>Success</t>
        </is>
      </c>
      <c r="L305" s="7" t="n">
        <v>0.4442074743321873</v>
      </c>
      <c r="M305" s="7" t="n">
        <v>0</v>
      </c>
      <c r="N305" s="7" t="n">
        <v>3.553659794657498</v>
      </c>
    </row>
    <row r="306" ht="18" customHeight="1">
      <c r="A306" s="49" t="inlineStr">
        <is>
          <t>ACE-10305</t>
        </is>
      </c>
      <c r="B306" s="49" t="inlineStr">
        <is>
          <t>2026-05-03 13:38:49</t>
        </is>
      </c>
      <c r="C306" s="49" t="inlineStr">
        <is>
          <t>CUST-90230</t>
        </is>
      </c>
      <c r="D306" s="49" t="inlineStr">
        <is>
          <t>GBP-PKR</t>
        </is>
      </c>
      <c r="E306" s="49" t="inlineStr">
        <is>
          <t>GBP</t>
        </is>
      </c>
      <c r="F306" s="7" t="n">
        <v>278.0217766157218</v>
      </c>
      <c r="G306" s="8" t="n">
        <v>1</v>
      </c>
      <c r="H306" s="7" t="n">
        <v>278.0217766157218</v>
      </c>
      <c r="I306" s="7" t="n">
        <v>1.5</v>
      </c>
      <c r="J306" s="9" t="n">
        <v>0.021</v>
      </c>
      <c r="K306" s="49" t="inlineStr">
        <is>
          <t>Success</t>
        </is>
      </c>
      <c r="L306" s="7" t="n">
        <v>0.4170326649235827</v>
      </c>
      <c r="M306" s="7" t="n">
        <v>0</v>
      </c>
      <c r="N306" s="7" t="n">
        <v>3.336261319388661</v>
      </c>
    </row>
    <row r="307" ht="18" customHeight="1">
      <c r="A307" s="49" t="inlineStr">
        <is>
          <t>ACE-10306</t>
        </is>
      </c>
      <c r="B307" s="49" t="inlineStr">
        <is>
          <t>2026-05-11 08:40:17</t>
        </is>
      </c>
      <c r="C307" s="49" t="inlineStr">
        <is>
          <t>CUST-79527</t>
        </is>
      </c>
      <c r="D307" s="49" t="inlineStr">
        <is>
          <t>USD-PKR</t>
        </is>
      </c>
      <c r="E307" s="49" t="inlineStr">
        <is>
          <t>USD</t>
        </is>
      </c>
      <c r="F307" s="7" t="n">
        <v>221.4861999162783</v>
      </c>
      <c r="G307" s="8" t="n">
        <v>0.8</v>
      </c>
      <c r="H307" s="7" t="n">
        <v>177.1889599330227</v>
      </c>
      <c r="I307" s="7" t="n">
        <v>1.6</v>
      </c>
      <c r="J307" s="9" t="n">
        <v>0.019</v>
      </c>
      <c r="K307" s="49" t="inlineStr">
        <is>
          <t>Success</t>
        </is>
      </c>
      <c r="L307" s="7" t="n">
        <v>0.265783439899534</v>
      </c>
      <c r="M307" s="7" t="n">
        <v>0</v>
      </c>
      <c r="N307" s="7" t="n">
        <v>2.126267519196272</v>
      </c>
    </row>
    <row r="308" ht="18" customHeight="1">
      <c r="A308" s="49" t="inlineStr">
        <is>
          <t>ACE-10307</t>
        </is>
      </c>
      <c r="B308" s="49" t="inlineStr">
        <is>
          <t>2026-05-13 14:11:43</t>
        </is>
      </c>
      <c r="C308" s="49" t="inlineStr">
        <is>
          <t>CUST-88395</t>
        </is>
      </c>
      <c r="D308" s="49" t="inlineStr">
        <is>
          <t>GBP-PKR</t>
        </is>
      </c>
      <c r="E308" s="49" t="inlineStr">
        <is>
          <t>GBP</t>
        </is>
      </c>
      <c r="F308" s="7" t="n">
        <v>316.57370597429</v>
      </c>
      <c r="G308" s="8" t="n">
        <v>1</v>
      </c>
      <c r="H308" s="7" t="n">
        <v>316.57370597429</v>
      </c>
      <c r="I308" s="7" t="n">
        <v>1.5</v>
      </c>
      <c r="J308" s="9" t="n">
        <v>0.021</v>
      </c>
      <c r="K308" s="49" t="inlineStr">
        <is>
          <t>Success</t>
        </is>
      </c>
      <c r="L308" s="7" t="n">
        <v>0.474860558961435</v>
      </c>
      <c r="M308" s="7" t="n">
        <v>0</v>
      </c>
      <c r="N308" s="7" t="n">
        <v>3.79888447169148</v>
      </c>
    </row>
    <row r="309" ht="18" customHeight="1">
      <c r="A309" s="49" t="inlineStr">
        <is>
          <t>ACE-10308</t>
        </is>
      </c>
      <c r="B309" s="49" t="inlineStr">
        <is>
          <t>2026-05-20 12:51:15</t>
        </is>
      </c>
      <c r="C309" s="49" t="inlineStr">
        <is>
          <t>CUST-96734</t>
        </is>
      </c>
      <c r="D309" s="49" t="inlineStr">
        <is>
          <t>USD-PKR</t>
        </is>
      </c>
      <c r="E309" s="49" t="inlineStr">
        <is>
          <t>USD</t>
        </is>
      </c>
      <c r="F309" s="7" t="n">
        <v>206.3286750915735</v>
      </c>
      <c r="G309" s="8" t="n">
        <v>0.8</v>
      </c>
      <c r="H309" s="7" t="n">
        <v>165.0629400732588</v>
      </c>
      <c r="I309" s="7" t="n">
        <v>1.6</v>
      </c>
      <c r="J309" s="9" t="n">
        <v>0.019</v>
      </c>
      <c r="K309" s="49" t="inlineStr">
        <is>
          <t>Success</t>
        </is>
      </c>
      <c r="L309" s="7" t="n">
        <v>0.2475944101098882</v>
      </c>
      <c r="M309" s="7" t="n">
        <v>0</v>
      </c>
      <c r="N309" s="7" t="n">
        <v>1.980755280879106</v>
      </c>
    </row>
    <row r="310" ht="18" customHeight="1">
      <c r="A310" s="49" t="inlineStr">
        <is>
          <t>ACE-10309</t>
        </is>
      </c>
      <c r="B310" s="49" t="inlineStr">
        <is>
          <t>2026-05-13 19:50:40</t>
        </is>
      </c>
      <c r="C310" s="49" t="inlineStr">
        <is>
          <t>CUST-60110</t>
        </is>
      </c>
      <c r="D310" s="49" t="inlineStr">
        <is>
          <t>GBP-PKR</t>
        </is>
      </c>
      <c r="E310" s="49" t="inlineStr">
        <is>
          <t>GBP</t>
        </is>
      </c>
      <c r="F310" s="7" t="n">
        <v>294.2704790842856</v>
      </c>
      <c r="G310" s="8" t="n">
        <v>1</v>
      </c>
      <c r="H310" s="7" t="n">
        <v>294.2704790842856</v>
      </c>
      <c r="I310" s="7" t="n">
        <v>1.5</v>
      </c>
      <c r="J310" s="9" t="n">
        <v>0.021</v>
      </c>
      <c r="K310" s="49" t="inlineStr">
        <is>
          <t>Success</t>
        </is>
      </c>
      <c r="L310" s="7" t="n">
        <v>0.4414057186264284</v>
      </c>
      <c r="M310" s="7" t="n">
        <v>0</v>
      </c>
      <c r="N310" s="7" t="n">
        <v>3.531245749011427</v>
      </c>
    </row>
    <row r="311" ht="18" customHeight="1">
      <c r="A311" s="49" t="inlineStr">
        <is>
          <t>ACE-10310</t>
        </is>
      </c>
      <c r="B311" s="49" t="inlineStr">
        <is>
          <t>2026-05-04 09:00:19</t>
        </is>
      </c>
      <c r="C311" s="49" t="inlineStr">
        <is>
          <t>CUST-79146</t>
        </is>
      </c>
      <c r="D311" s="49" t="inlineStr">
        <is>
          <t>GBP-PKR</t>
        </is>
      </c>
      <c r="E311" s="49" t="inlineStr">
        <is>
          <t>GBP</t>
        </is>
      </c>
      <c r="F311" s="7" t="n">
        <v>273.0269034938161</v>
      </c>
      <c r="G311" s="8" t="n">
        <v>1</v>
      </c>
      <c r="H311" s="7" t="n">
        <v>273.0269034938161</v>
      </c>
      <c r="I311" s="7" t="n">
        <v>1.5</v>
      </c>
      <c r="J311" s="9" t="n">
        <v>0.021</v>
      </c>
      <c r="K311" s="49" t="inlineStr">
        <is>
          <t>Success</t>
        </is>
      </c>
      <c r="L311" s="7" t="n">
        <v>0.4095403552407242</v>
      </c>
      <c r="M311" s="7" t="n">
        <v>0</v>
      </c>
      <c r="N311" s="7" t="n">
        <v>3.276322841925793</v>
      </c>
    </row>
    <row r="312" ht="18" customHeight="1">
      <c r="A312" s="49" t="inlineStr">
        <is>
          <t>ACE-10311</t>
        </is>
      </c>
      <c r="B312" s="49" t="inlineStr">
        <is>
          <t>2026-05-05 09:11:27</t>
        </is>
      </c>
      <c r="C312" s="49" t="inlineStr">
        <is>
          <t>CUST-79415</t>
        </is>
      </c>
      <c r="D312" s="49" t="inlineStr">
        <is>
          <t>GBP-PKR</t>
        </is>
      </c>
      <c r="E312" s="49" t="inlineStr">
        <is>
          <t>GBP</t>
        </is>
      </c>
      <c r="F312" s="7" t="n">
        <v>272.6043517077586</v>
      </c>
      <c r="G312" s="8" t="n">
        <v>1</v>
      </c>
      <c r="H312" s="7" t="n">
        <v>272.6043517077586</v>
      </c>
      <c r="I312" s="7" t="n">
        <v>1.5</v>
      </c>
      <c r="J312" s="9" t="n">
        <v>0.021</v>
      </c>
      <c r="K312" s="49" t="inlineStr">
        <is>
          <t>Success</t>
        </is>
      </c>
      <c r="L312" s="7" t="n">
        <v>0.4089065275616379</v>
      </c>
      <c r="M312" s="7" t="n">
        <v>0</v>
      </c>
      <c r="N312" s="7" t="n">
        <v>3.271252220493103</v>
      </c>
    </row>
    <row r="313" ht="18" customHeight="1">
      <c r="A313" s="49" t="inlineStr">
        <is>
          <t>ACE-10312</t>
        </is>
      </c>
      <c r="B313" s="49" t="inlineStr">
        <is>
          <t>2026-05-04 08:05:22</t>
        </is>
      </c>
      <c r="C313" s="49" t="inlineStr">
        <is>
          <t>CUST-86321</t>
        </is>
      </c>
      <c r="D313" s="49" t="inlineStr">
        <is>
          <t>GBP-PKR</t>
        </is>
      </c>
      <c r="E313" s="49" t="inlineStr">
        <is>
          <t>GBP</t>
        </is>
      </c>
      <c r="F313" s="7" t="n">
        <v>310.9609334485923</v>
      </c>
      <c r="G313" s="8" t="n">
        <v>1</v>
      </c>
      <c r="H313" s="7" t="n">
        <v>310.9609334485923</v>
      </c>
      <c r="I313" s="7" t="n">
        <v>1.5</v>
      </c>
      <c r="J313" s="9" t="n">
        <v>0.021</v>
      </c>
      <c r="K313" s="49" t="inlineStr">
        <is>
          <t>Success</t>
        </is>
      </c>
      <c r="L313" s="7" t="n">
        <v>0.4664414001728885</v>
      </c>
      <c r="M313" s="7" t="n">
        <v>0</v>
      </c>
      <c r="N313" s="7" t="n">
        <v>3.731531201383108</v>
      </c>
    </row>
    <row r="314" ht="18" customHeight="1">
      <c r="A314" s="49" t="inlineStr">
        <is>
          <t>ACE-10313</t>
        </is>
      </c>
      <c r="B314" s="49" t="inlineStr">
        <is>
          <t>2026-05-11 14:00:18</t>
        </is>
      </c>
      <c r="C314" s="49" t="inlineStr">
        <is>
          <t>CUST-77119</t>
        </is>
      </c>
      <c r="D314" s="49" t="inlineStr">
        <is>
          <t>GBP-PKR</t>
        </is>
      </c>
      <c r="E314" s="49" t="inlineStr">
        <is>
          <t>GBP</t>
        </is>
      </c>
      <c r="F314" s="7" t="n">
        <v>302.5756225315725</v>
      </c>
      <c r="G314" s="8" t="n">
        <v>1</v>
      </c>
      <c r="H314" s="7" t="n">
        <v>302.5756225315725</v>
      </c>
      <c r="I314" s="7" t="n">
        <v>1.5</v>
      </c>
      <c r="J314" s="9" t="n">
        <v>0.021</v>
      </c>
      <c r="K314" s="49" t="inlineStr">
        <is>
          <t>Success</t>
        </is>
      </c>
      <c r="L314" s="7" t="n">
        <v>0.4538634337973588</v>
      </c>
      <c r="M314" s="7" t="n">
        <v>0</v>
      </c>
      <c r="N314" s="7" t="n">
        <v>3.630907470378871</v>
      </c>
    </row>
    <row r="315" ht="18" customHeight="1">
      <c r="A315" s="49" t="inlineStr">
        <is>
          <t>ACE-10314</t>
        </is>
      </c>
      <c r="B315" s="49" t="inlineStr">
        <is>
          <t>2026-05-18 11:36:33</t>
        </is>
      </c>
      <c r="C315" s="49" t="inlineStr">
        <is>
          <t>CUST-61113</t>
        </is>
      </c>
      <c r="D315" s="49" t="inlineStr">
        <is>
          <t>USD-PKR</t>
        </is>
      </c>
      <c r="E315" s="49" t="inlineStr">
        <is>
          <t>USD</t>
        </is>
      </c>
      <c r="F315" s="7" t="n">
        <v>237.4550897851593</v>
      </c>
      <c r="G315" s="8" t="n">
        <v>0.8</v>
      </c>
      <c r="H315" s="7" t="n">
        <v>189.9640718281274</v>
      </c>
      <c r="I315" s="7" t="n">
        <v>1.6</v>
      </c>
      <c r="J315" s="9" t="n">
        <v>0.019</v>
      </c>
      <c r="K315" s="49" t="inlineStr">
        <is>
          <t>Success</t>
        </is>
      </c>
      <c r="L315" s="7" t="n">
        <v>0.2849461077421911</v>
      </c>
      <c r="M315" s="7" t="n">
        <v>0</v>
      </c>
      <c r="N315" s="7" t="n">
        <v>2.279568861937529</v>
      </c>
    </row>
    <row r="316" ht="18" customHeight="1">
      <c r="A316" s="49" t="inlineStr">
        <is>
          <t>ACE-10315</t>
        </is>
      </c>
      <c r="B316" s="49" t="inlineStr">
        <is>
          <t>2026-05-09 12:17:31</t>
        </is>
      </c>
      <c r="C316" s="49" t="inlineStr">
        <is>
          <t>CUST-59563</t>
        </is>
      </c>
      <c r="D316" s="49" t="inlineStr">
        <is>
          <t>GBP-PKR</t>
        </is>
      </c>
      <c r="E316" s="49" t="inlineStr">
        <is>
          <t>GBP</t>
        </is>
      </c>
      <c r="F316" s="7" t="n">
        <v>317.4554469389774</v>
      </c>
      <c r="G316" s="8" t="n">
        <v>1</v>
      </c>
      <c r="H316" s="7" t="n">
        <v>317.4554469389774</v>
      </c>
      <c r="I316" s="7" t="n">
        <v>1.5</v>
      </c>
      <c r="J316" s="9" t="n">
        <v>0.021</v>
      </c>
      <c r="K316" s="49" t="inlineStr">
        <is>
          <t>Success</t>
        </is>
      </c>
      <c r="L316" s="7" t="n">
        <v>0.4761831704084662</v>
      </c>
      <c r="M316" s="7" t="n">
        <v>0</v>
      </c>
      <c r="N316" s="7" t="n">
        <v>3.80946536326773</v>
      </c>
    </row>
    <row r="317" ht="18" customHeight="1">
      <c r="A317" s="49" t="inlineStr">
        <is>
          <t>ACE-10316</t>
        </is>
      </c>
      <c r="B317" s="49" t="inlineStr">
        <is>
          <t>2026-05-14 12:30:50</t>
        </is>
      </c>
      <c r="C317" s="49" t="inlineStr">
        <is>
          <t>CUST-55041</t>
        </is>
      </c>
      <c r="D317" s="49" t="inlineStr">
        <is>
          <t>USD-PKR</t>
        </is>
      </c>
      <c r="E317" s="49" t="inlineStr">
        <is>
          <t>USD</t>
        </is>
      </c>
      <c r="F317" s="7" t="n">
        <v>219.3630084775805</v>
      </c>
      <c r="G317" s="8" t="n">
        <v>0.8</v>
      </c>
      <c r="H317" s="7" t="n">
        <v>175.4904067820644</v>
      </c>
      <c r="I317" s="7" t="n">
        <v>1.6</v>
      </c>
      <c r="J317" s="9" t="n">
        <v>0.019</v>
      </c>
      <c r="K317" s="49" t="inlineStr">
        <is>
          <t>Success</t>
        </is>
      </c>
      <c r="L317" s="7" t="n">
        <v>0.2632356101730966</v>
      </c>
      <c r="M317" s="7" t="n">
        <v>0.5264712203461932</v>
      </c>
      <c r="N317" s="7" t="n">
        <v>2.105884881384773</v>
      </c>
    </row>
    <row r="318" ht="18" customHeight="1">
      <c r="A318" s="49" t="inlineStr">
        <is>
          <t>ACE-10317</t>
        </is>
      </c>
      <c r="B318" s="49" t="inlineStr">
        <is>
          <t>2026-05-24 18:31:38</t>
        </is>
      </c>
      <c r="C318" s="49" t="inlineStr">
        <is>
          <t>CUST-90414</t>
        </is>
      </c>
      <c r="D318" s="49" t="inlineStr">
        <is>
          <t>GBP-PKR</t>
        </is>
      </c>
      <c r="E318" s="49" t="inlineStr">
        <is>
          <t>GBP</t>
        </is>
      </c>
      <c r="F318" s="7" t="n">
        <v>298.2657597437682</v>
      </c>
      <c r="G318" s="8" t="n">
        <v>1</v>
      </c>
      <c r="H318" s="7" t="n">
        <v>298.2657597437682</v>
      </c>
      <c r="I318" s="7" t="n">
        <v>1.5</v>
      </c>
      <c r="J318" s="9" t="n">
        <v>0.021</v>
      </c>
      <c r="K318" s="49" t="inlineStr">
        <is>
          <t>Success</t>
        </is>
      </c>
      <c r="L318" s="7" t="n">
        <v>0.4473986396156523</v>
      </c>
      <c r="M318" s="7" t="n">
        <v>0</v>
      </c>
      <c r="N318" s="7" t="n">
        <v>3.579189116925219</v>
      </c>
    </row>
    <row r="319" ht="18" customHeight="1">
      <c r="A319" s="49" t="inlineStr">
        <is>
          <t>ACE-10318</t>
        </is>
      </c>
      <c r="B319" s="49" t="inlineStr">
        <is>
          <t>2026-05-10 08:25:21</t>
        </is>
      </c>
      <c r="C319" s="49" t="inlineStr">
        <is>
          <t>CUST-90644</t>
        </is>
      </c>
      <c r="D319" s="49" t="inlineStr">
        <is>
          <t>USD-PKR</t>
        </is>
      </c>
      <c r="E319" s="49" t="inlineStr">
        <is>
          <t>USD</t>
        </is>
      </c>
      <c r="F319" s="7" t="n">
        <v>212.2152035103044</v>
      </c>
      <c r="G319" s="8" t="n">
        <v>0.8</v>
      </c>
      <c r="H319" s="7" t="n">
        <v>169.7721628082436</v>
      </c>
      <c r="I319" s="7" t="n">
        <v>1.6</v>
      </c>
      <c r="J319" s="9" t="n">
        <v>0.019</v>
      </c>
      <c r="K319" s="49" t="inlineStr">
        <is>
          <t>Success</t>
        </is>
      </c>
      <c r="L319" s="7" t="n">
        <v>0.2546582442123653</v>
      </c>
      <c r="M319" s="7" t="n">
        <v>0.5093164884247307</v>
      </c>
      <c r="N319" s="7" t="n">
        <v>2.037265953698923</v>
      </c>
    </row>
    <row r="320" ht="18" customHeight="1">
      <c r="A320" s="49" t="inlineStr">
        <is>
          <t>ACE-10319</t>
        </is>
      </c>
      <c r="B320" s="49" t="inlineStr">
        <is>
          <t>2026-05-15 13:27:52</t>
        </is>
      </c>
      <c r="C320" s="49" t="inlineStr">
        <is>
          <t>CUST-92666</t>
        </is>
      </c>
      <c r="D320" s="49" t="inlineStr">
        <is>
          <t>GBP-PKR</t>
        </is>
      </c>
      <c r="E320" s="49" t="inlineStr">
        <is>
          <t>GBP</t>
        </is>
      </c>
      <c r="F320" s="7" t="n">
        <v>287.7828602834688</v>
      </c>
      <c r="G320" s="8" t="n">
        <v>1</v>
      </c>
      <c r="H320" s="7" t="n">
        <v>287.7828602834688</v>
      </c>
      <c r="I320" s="7" t="n">
        <v>1.5</v>
      </c>
      <c r="J320" s="9" t="n">
        <v>0.021</v>
      </c>
      <c r="K320" s="49" t="inlineStr">
        <is>
          <t>Success</t>
        </is>
      </c>
      <c r="L320" s="7" t="n">
        <v>0.4316742904252032</v>
      </c>
      <c r="M320" s="7" t="n">
        <v>0</v>
      </c>
      <c r="N320" s="7" t="n">
        <v>3.453394323401625</v>
      </c>
    </row>
    <row r="321" ht="18" customHeight="1">
      <c r="A321" s="49" t="inlineStr">
        <is>
          <t>ACE-10320</t>
        </is>
      </c>
      <c r="B321" s="49" t="inlineStr">
        <is>
          <t>2026-05-11 17:44:12</t>
        </is>
      </c>
      <c r="C321" s="49" t="inlineStr">
        <is>
          <t>CUST-81392</t>
        </is>
      </c>
      <c r="D321" s="49" t="inlineStr">
        <is>
          <t>GBP-PKR</t>
        </is>
      </c>
      <c r="E321" s="49" t="inlineStr">
        <is>
          <t>GBP</t>
        </is>
      </c>
      <c r="F321" s="7" t="n">
        <v>275.0011550205508</v>
      </c>
      <c r="G321" s="8" t="n">
        <v>1</v>
      </c>
      <c r="H321" s="7" t="n">
        <v>275.0011550205508</v>
      </c>
      <c r="I321" s="7" t="n">
        <v>1.5</v>
      </c>
      <c r="J321" s="9" t="n">
        <v>0.021</v>
      </c>
      <c r="K321" s="49" t="inlineStr">
        <is>
          <t>Success</t>
        </is>
      </c>
      <c r="L321" s="7" t="n">
        <v>0.4125017325308261</v>
      </c>
      <c r="M321" s="7" t="n">
        <v>0.8250034650616522</v>
      </c>
      <c r="N321" s="7" t="n">
        <v>3.300013860246609</v>
      </c>
    </row>
    <row r="322" ht="18" customHeight="1">
      <c r="A322" s="49" t="inlineStr">
        <is>
          <t>ACE-10321</t>
        </is>
      </c>
      <c r="B322" s="49" t="inlineStr">
        <is>
          <t>2026-05-11 12:47:44</t>
        </is>
      </c>
      <c r="C322" s="49" t="inlineStr">
        <is>
          <t>CUST-91477</t>
        </is>
      </c>
      <c r="D322" s="49" t="inlineStr">
        <is>
          <t>GBP-PKR</t>
        </is>
      </c>
      <c r="E322" s="49" t="inlineStr">
        <is>
          <t>GBP</t>
        </is>
      </c>
      <c r="F322" s="7" t="n">
        <v>281.3189839383338</v>
      </c>
      <c r="G322" s="8" t="n">
        <v>1</v>
      </c>
      <c r="H322" s="7" t="n">
        <v>281.3189839383338</v>
      </c>
      <c r="I322" s="7" t="n">
        <v>1.5</v>
      </c>
      <c r="J322" s="9" t="n">
        <v>0.021</v>
      </c>
      <c r="K322" s="49" t="inlineStr">
        <is>
          <t>Success</t>
        </is>
      </c>
      <c r="L322" s="7" t="n">
        <v>0.4219784759075006</v>
      </c>
      <c r="M322" s="7" t="n">
        <v>0</v>
      </c>
      <c r="N322" s="7" t="n">
        <v>3.375827807260005</v>
      </c>
    </row>
    <row r="323" ht="18" customHeight="1">
      <c r="A323" s="49" t="inlineStr">
        <is>
          <t>ACE-10322</t>
        </is>
      </c>
      <c r="B323" s="49" t="inlineStr">
        <is>
          <t>2026-05-08 13:24:17</t>
        </is>
      </c>
      <c r="C323" s="49" t="inlineStr">
        <is>
          <t>CUST-75751</t>
        </is>
      </c>
      <c r="D323" s="49" t="inlineStr">
        <is>
          <t>EUR-PKR</t>
        </is>
      </c>
      <c r="E323" s="49" t="inlineStr">
        <is>
          <t>EUR</t>
        </is>
      </c>
      <c r="F323" s="7" t="n">
        <v>200.6455211389334</v>
      </c>
      <c r="G323" s="8" t="n">
        <v>0.85</v>
      </c>
      <c r="H323" s="7" t="n">
        <v>170.5486929680934</v>
      </c>
      <c r="I323" s="7" t="n">
        <v>1.275</v>
      </c>
      <c r="J323" s="9" t="n">
        <v>0.023</v>
      </c>
      <c r="K323" s="49" t="inlineStr">
        <is>
          <t>Success</t>
        </is>
      </c>
      <c r="L323" s="7" t="n">
        <v>0.2558230394521401</v>
      </c>
      <c r="M323" s="7" t="n">
        <v>0.5116460789042802</v>
      </c>
      <c r="N323" s="7" t="n">
        <v>2.5582303945214</v>
      </c>
    </row>
    <row r="324" ht="18" customHeight="1">
      <c r="A324" s="49" t="inlineStr">
        <is>
          <t>ACE-10323</t>
        </is>
      </c>
      <c r="B324" s="49" t="inlineStr">
        <is>
          <t>2026-05-07 17:34:11</t>
        </is>
      </c>
      <c r="C324" s="49" t="inlineStr">
        <is>
          <t>CUST-94676</t>
        </is>
      </c>
      <c r="D324" s="49" t="inlineStr">
        <is>
          <t>USD-PKR</t>
        </is>
      </c>
      <c r="E324" s="49" t="inlineStr">
        <is>
          <t>USD</t>
        </is>
      </c>
      <c r="F324" s="7" t="n">
        <v>201.7048475282369</v>
      </c>
      <c r="G324" s="8" t="n">
        <v>0.8</v>
      </c>
      <c r="H324" s="7" t="n">
        <v>161.3638780225896</v>
      </c>
      <c r="I324" s="7" t="n">
        <v>1.6</v>
      </c>
      <c r="J324" s="9" t="n">
        <v>0.019</v>
      </c>
      <c r="K324" s="49" t="inlineStr">
        <is>
          <t>Success</t>
        </is>
      </c>
      <c r="L324" s="7" t="n">
        <v>0.2420458170338844</v>
      </c>
      <c r="M324" s="7" t="n">
        <v>0</v>
      </c>
      <c r="N324" s="7" t="n">
        <v>1.936366536271075</v>
      </c>
    </row>
    <row r="325" ht="18" customHeight="1">
      <c r="A325" s="49" t="inlineStr">
        <is>
          <t>ACE-10324</t>
        </is>
      </c>
      <c r="B325" s="49" t="inlineStr">
        <is>
          <t>2026-05-24 15:45:13</t>
        </is>
      </c>
      <c r="C325" s="49" t="inlineStr">
        <is>
          <t>CUST-78734</t>
        </is>
      </c>
      <c r="D325" s="49" t="inlineStr">
        <is>
          <t>GBP-PKR</t>
        </is>
      </c>
      <c r="E325" s="49" t="inlineStr">
        <is>
          <t>GBP</t>
        </is>
      </c>
      <c r="F325" s="7" t="n">
        <v>343.4454630822226</v>
      </c>
      <c r="G325" s="8" t="n">
        <v>1</v>
      </c>
      <c r="H325" s="7" t="n">
        <v>343.4454630822226</v>
      </c>
      <c r="I325" s="7" t="n">
        <v>1.5</v>
      </c>
      <c r="J325" s="9" t="n">
        <v>0.021</v>
      </c>
      <c r="K325" s="49" t="inlineStr">
        <is>
          <t>Success</t>
        </is>
      </c>
      <c r="L325" s="7" t="n">
        <v>0.515168194623334</v>
      </c>
      <c r="M325" s="7" t="n">
        <v>1.030336389246668</v>
      </c>
      <c r="N325" s="7" t="n">
        <v>4.121345556986672</v>
      </c>
    </row>
    <row r="326" ht="18" customHeight="1">
      <c r="A326" s="49" t="inlineStr">
        <is>
          <t>ACE-10325</t>
        </is>
      </c>
      <c r="B326" s="49" t="inlineStr">
        <is>
          <t>2026-05-03 20:50:26</t>
        </is>
      </c>
      <c r="C326" s="49" t="inlineStr">
        <is>
          <t>CUST-94104</t>
        </is>
      </c>
      <c r="D326" s="49" t="inlineStr">
        <is>
          <t>GBP-PKR</t>
        </is>
      </c>
      <c r="E326" s="49" t="inlineStr">
        <is>
          <t>GBP</t>
        </is>
      </c>
      <c r="F326" s="7" t="n">
        <v>251.9392192631149</v>
      </c>
      <c r="G326" s="8" t="n">
        <v>1</v>
      </c>
      <c r="H326" s="7" t="n">
        <v>251.9392192631149</v>
      </c>
      <c r="I326" s="7" t="n">
        <v>1.5</v>
      </c>
      <c r="J326" s="9" t="n">
        <v>0.021</v>
      </c>
      <c r="K326" s="49" t="inlineStr">
        <is>
          <t>Success</t>
        </is>
      </c>
      <c r="L326" s="7" t="n">
        <v>0.3779088288946724</v>
      </c>
      <c r="M326" s="7" t="n">
        <v>0.7558176577893447</v>
      </c>
      <c r="N326" s="7" t="n">
        <v>3.023270631157379</v>
      </c>
    </row>
    <row r="327" ht="18" customHeight="1">
      <c r="A327" s="49" t="inlineStr">
        <is>
          <t>ACE-10326</t>
        </is>
      </c>
      <c r="B327" s="49" t="inlineStr">
        <is>
          <t>2026-05-08 12:42:09</t>
        </is>
      </c>
      <c r="C327" s="49" t="inlineStr">
        <is>
          <t>CUST-96873</t>
        </is>
      </c>
      <c r="D327" s="49" t="inlineStr">
        <is>
          <t>GBP-PKR</t>
        </is>
      </c>
      <c r="E327" s="49" t="inlineStr">
        <is>
          <t>GBP</t>
        </is>
      </c>
      <c r="F327" s="7" t="n">
        <v>246.7487819406029</v>
      </c>
      <c r="G327" s="8" t="n">
        <v>1</v>
      </c>
      <c r="H327" s="7" t="n">
        <v>246.7487819406029</v>
      </c>
      <c r="I327" s="7" t="n">
        <v>1.5</v>
      </c>
      <c r="J327" s="9" t="n">
        <v>0.021</v>
      </c>
      <c r="K327" s="49" t="inlineStr">
        <is>
          <t>Success</t>
        </is>
      </c>
      <c r="L327" s="7" t="n">
        <v>0.3701231729109044</v>
      </c>
      <c r="M327" s="7" t="n">
        <v>0</v>
      </c>
      <c r="N327" s="7" t="n">
        <v>2.960985383287235</v>
      </c>
    </row>
    <row r="328" ht="18" customHeight="1">
      <c r="A328" s="49" t="inlineStr">
        <is>
          <t>ACE-10327</t>
        </is>
      </c>
      <c r="B328" s="49" t="inlineStr">
        <is>
          <t>2026-05-15 17:30:37</t>
        </is>
      </c>
      <c r="C328" s="49" t="inlineStr">
        <is>
          <t>CUST-76267</t>
        </is>
      </c>
      <c r="D328" s="49" t="inlineStr">
        <is>
          <t>USD-PKR</t>
        </is>
      </c>
      <c r="E328" s="49" t="inlineStr">
        <is>
          <t>USD</t>
        </is>
      </c>
      <c r="F328" s="7" t="n">
        <v>245.7804440869909</v>
      </c>
      <c r="G328" s="8" t="n">
        <v>0.8</v>
      </c>
      <c r="H328" s="7" t="n">
        <v>196.6243552695928</v>
      </c>
      <c r="I328" s="7" t="n">
        <v>1.6</v>
      </c>
      <c r="J328" s="9" t="n">
        <v>0.019</v>
      </c>
      <c r="K328" s="49" t="inlineStr">
        <is>
          <t>Success</t>
        </is>
      </c>
      <c r="L328" s="7" t="n">
        <v>0.2949365329043891</v>
      </c>
      <c r="M328" s="7" t="n">
        <v>0.5898730658087783</v>
      </c>
      <c r="N328" s="7" t="n">
        <v>2.359492263235113</v>
      </c>
    </row>
    <row r="329" ht="18" customHeight="1">
      <c r="A329" s="49" t="inlineStr">
        <is>
          <t>ACE-10328</t>
        </is>
      </c>
      <c r="B329" s="49" t="inlineStr">
        <is>
          <t>2026-05-23 14:34:02</t>
        </is>
      </c>
      <c r="C329" s="49" t="inlineStr">
        <is>
          <t>CUST-73562</t>
        </is>
      </c>
      <c r="D329" s="49" t="inlineStr">
        <is>
          <t>GBP-PKR</t>
        </is>
      </c>
      <c r="E329" s="49" t="inlineStr">
        <is>
          <t>GBP</t>
        </is>
      </c>
      <c r="F329" s="7" t="n">
        <v>301.556040911708</v>
      </c>
      <c r="G329" s="8" t="n">
        <v>1</v>
      </c>
      <c r="H329" s="7" t="n">
        <v>301.556040911708</v>
      </c>
      <c r="I329" s="7" t="n">
        <v>1.5</v>
      </c>
      <c r="J329" s="9" t="n">
        <v>0.021</v>
      </c>
      <c r="K329" s="49" t="inlineStr">
        <is>
          <t>Success</t>
        </is>
      </c>
      <c r="L329" s="7" t="n">
        <v>0.4523340613675619</v>
      </c>
      <c r="M329" s="7" t="n">
        <v>0.9046681227351239</v>
      </c>
      <c r="N329" s="7" t="n">
        <v>3.618672490940495</v>
      </c>
    </row>
    <row r="330" ht="18" customHeight="1">
      <c r="A330" s="49" t="inlineStr">
        <is>
          <t>ACE-10329</t>
        </is>
      </c>
      <c r="B330" s="49" t="inlineStr">
        <is>
          <t>2026-05-20 18:58:05</t>
        </is>
      </c>
      <c r="C330" s="49" t="inlineStr">
        <is>
          <t>CUST-57167</t>
        </is>
      </c>
      <c r="D330" s="49" t="inlineStr">
        <is>
          <t>USD-PKR</t>
        </is>
      </c>
      <c r="E330" s="49" t="inlineStr">
        <is>
          <t>USD</t>
        </is>
      </c>
      <c r="F330" s="7" t="n">
        <v>233.0002503567419</v>
      </c>
      <c r="G330" s="8" t="n">
        <v>0.8</v>
      </c>
      <c r="H330" s="7" t="n">
        <v>186.4002002853935</v>
      </c>
      <c r="I330" s="7" t="n">
        <v>1.6</v>
      </c>
      <c r="J330" s="9" t="n">
        <v>0.019</v>
      </c>
      <c r="K330" s="49" t="inlineStr">
        <is>
          <t>Success</t>
        </is>
      </c>
      <c r="L330" s="7" t="n">
        <v>0.2796003004280903</v>
      </c>
      <c r="M330" s="7" t="n">
        <v>0.5592006008561806</v>
      </c>
      <c r="N330" s="7" t="n">
        <v>2.236802403424722</v>
      </c>
    </row>
    <row r="331" ht="18" customHeight="1">
      <c r="A331" s="49" t="inlineStr">
        <is>
          <t>ACE-10330</t>
        </is>
      </c>
      <c r="B331" s="49" t="inlineStr">
        <is>
          <t>2026-05-12 10:41:39</t>
        </is>
      </c>
      <c r="C331" s="49" t="inlineStr">
        <is>
          <t>CUST-52903</t>
        </is>
      </c>
      <c r="D331" s="49" t="inlineStr">
        <is>
          <t>GBP-PKR</t>
        </is>
      </c>
      <c r="E331" s="49" t="inlineStr">
        <is>
          <t>GBP</t>
        </is>
      </c>
      <c r="F331" s="7" t="n">
        <v>296.6711107777747</v>
      </c>
      <c r="G331" s="8" t="n">
        <v>1</v>
      </c>
      <c r="H331" s="7" t="n">
        <v>296.6711107777747</v>
      </c>
      <c r="I331" s="7" t="n">
        <v>1.5</v>
      </c>
      <c r="J331" s="9" t="n">
        <v>0.021</v>
      </c>
      <c r="K331" s="49" t="inlineStr">
        <is>
          <t>Success</t>
        </is>
      </c>
      <c r="L331" s="7" t="n">
        <v>0.4450066661666621</v>
      </c>
      <c r="M331" s="7" t="n">
        <v>0.8900133323333242</v>
      </c>
      <c r="N331" s="7" t="n">
        <v>3.560053329333297</v>
      </c>
    </row>
    <row r="332" ht="18" customHeight="1">
      <c r="A332" s="49" t="inlineStr">
        <is>
          <t>ACE-10331</t>
        </is>
      </c>
      <c r="B332" s="49" t="inlineStr">
        <is>
          <t>2026-05-21 14:48:21</t>
        </is>
      </c>
      <c r="C332" s="49" t="inlineStr">
        <is>
          <t>CUST-78210</t>
        </is>
      </c>
      <c r="D332" s="49" t="inlineStr">
        <is>
          <t>GBP-PKR</t>
        </is>
      </c>
      <c r="E332" s="49" t="inlineStr">
        <is>
          <t>GBP</t>
        </is>
      </c>
      <c r="F332" s="7" t="n">
        <v>278.2625036474957</v>
      </c>
      <c r="G332" s="8" t="n">
        <v>1</v>
      </c>
      <c r="H332" s="7" t="n">
        <v>278.2625036474957</v>
      </c>
      <c r="I332" s="7" t="n">
        <v>1.5</v>
      </c>
      <c r="J332" s="9" t="n">
        <v>0.021</v>
      </c>
      <c r="K332" s="49" t="inlineStr">
        <is>
          <t>Success</t>
        </is>
      </c>
      <c r="L332" s="7" t="n">
        <v>0.4173937554712435</v>
      </c>
      <c r="M332" s="7" t="n">
        <v>0</v>
      </c>
      <c r="N332" s="7" t="n">
        <v>3.339150043769948</v>
      </c>
    </row>
    <row r="333" ht="18" customHeight="1">
      <c r="A333" s="49" t="inlineStr">
        <is>
          <t>ACE-10332</t>
        </is>
      </c>
      <c r="B333" s="49" t="inlineStr">
        <is>
          <t>2026-05-08 16:47:33</t>
        </is>
      </c>
      <c r="C333" s="49" t="inlineStr">
        <is>
          <t>CUST-86568</t>
        </is>
      </c>
      <c r="D333" s="49" t="inlineStr">
        <is>
          <t>GBP-PKR</t>
        </is>
      </c>
      <c r="E333" s="49" t="inlineStr">
        <is>
          <t>GBP</t>
        </is>
      </c>
      <c r="F333" s="7" t="n">
        <v>254.6943416566325</v>
      </c>
      <c r="G333" s="8" t="n">
        <v>1</v>
      </c>
      <c r="H333" s="7" t="n">
        <v>254.6943416566325</v>
      </c>
      <c r="I333" s="7" t="n">
        <v>1.5</v>
      </c>
      <c r="J333" s="9" t="n">
        <v>0.021</v>
      </c>
      <c r="K333" s="49" t="inlineStr">
        <is>
          <t>Success</t>
        </is>
      </c>
      <c r="L333" s="7" t="n">
        <v>0.3820415124849488</v>
      </c>
      <c r="M333" s="7" t="n">
        <v>0</v>
      </c>
      <c r="N333" s="7" t="n">
        <v>3.056332099879591</v>
      </c>
    </row>
    <row r="334" ht="18" customHeight="1">
      <c r="A334" s="49" t="inlineStr">
        <is>
          <t>ACE-10333</t>
        </is>
      </c>
      <c r="B334" s="49" t="inlineStr">
        <is>
          <t>2026-05-15 13:25:29</t>
        </is>
      </c>
      <c r="C334" s="49" t="inlineStr">
        <is>
          <t>CUST-94535</t>
        </is>
      </c>
      <c r="D334" s="49" t="inlineStr">
        <is>
          <t>USD-PKR</t>
        </is>
      </c>
      <c r="E334" s="49" t="inlineStr">
        <is>
          <t>USD</t>
        </is>
      </c>
      <c r="F334" s="7" t="n">
        <v>220.5684333734439</v>
      </c>
      <c r="G334" s="8" t="n">
        <v>0.8</v>
      </c>
      <c r="H334" s="7" t="n">
        <v>176.4547466987551</v>
      </c>
      <c r="I334" s="7" t="n">
        <v>1.6</v>
      </c>
      <c r="J334" s="9" t="n">
        <v>0.019</v>
      </c>
      <c r="K334" s="49" t="inlineStr">
        <is>
          <t>Success</t>
        </is>
      </c>
      <c r="L334" s="7" t="n">
        <v>0.2646821200481327</v>
      </c>
      <c r="M334" s="7" t="n">
        <v>0</v>
      </c>
      <c r="N334" s="7" t="n">
        <v>2.117456960385061</v>
      </c>
    </row>
    <row r="335" ht="18" customHeight="1">
      <c r="A335" s="49" t="inlineStr">
        <is>
          <t>ACE-10334</t>
        </is>
      </c>
      <c r="B335" s="49" t="inlineStr">
        <is>
          <t>2026-05-12 08:30:06</t>
        </is>
      </c>
      <c r="C335" s="49" t="inlineStr">
        <is>
          <t>CUST-69361</t>
        </is>
      </c>
      <c r="D335" s="49" t="inlineStr">
        <is>
          <t>GBP-PKR</t>
        </is>
      </c>
      <c r="E335" s="49" t="inlineStr">
        <is>
          <t>GBP</t>
        </is>
      </c>
      <c r="F335" s="7" t="n">
        <v>260.3621202018271</v>
      </c>
      <c r="G335" s="8" t="n">
        <v>1</v>
      </c>
      <c r="H335" s="7" t="n">
        <v>260.3621202018271</v>
      </c>
      <c r="I335" s="7" t="n">
        <v>1.5</v>
      </c>
      <c r="J335" s="9" t="n">
        <v>0.021</v>
      </c>
      <c r="K335" s="49" t="inlineStr">
        <is>
          <t>Success</t>
        </is>
      </c>
      <c r="L335" s="7" t="n">
        <v>0.3905431803027407</v>
      </c>
      <c r="M335" s="7" t="n">
        <v>0.7810863606054813</v>
      </c>
      <c r="N335" s="7" t="n">
        <v>3.124345442421925</v>
      </c>
    </row>
    <row r="336" ht="18" customHeight="1">
      <c r="A336" s="49" t="inlineStr">
        <is>
          <t>ACE-10335</t>
        </is>
      </c>
      <c r="B336" s="49" t="inlineStr">
        <is>
          <t>2026-05-04 19:09:22</t>
        </is>
      </c>
      <c r="C336" s="49" t="inlineStr">
        <is>
          <t>CUST-70440</t>
        </is>
      </c>
      <c r="D336" s="49" t="inlineStr">
        <is>
          <t>EUR-PKR</t>
        </is>
      </c>
      <c r="E336" s="49" t="inlineStr">
        <is>
          <t>EUR</t>
        </is>
      </c>
      <c r="F336" s="7" t="n">
        <v>208.4159923174259</v>
      </c>
      <c r="G336" s="8" t="n">
        <v>0.85</v>
      </c>
      <c r="H336" s="7" t="n">
        <v>177.153593469812</v>
      </c>
      <c r="I336" s="7" t="n">
        <v>1.275</v>
      </c>
      <c r="J336" s="9" t="n">
        <v>0.023</v>
      </c>
      <c r="K336" s="49" t="inlineStr">
        <is>
          <t>Success</t>
        </is>
      </c>
      <c r="L336" s="7" t="n">
        <v>0.265730390204718</v>
      </c>
      <c r="M336" s="7" t="n">
        <v>0.531460780409436</v>
      </c>
      <c r="N336" s="7" t="n">
        <v>2.65730390204718</v>
      </c>
    </row>
    <row r="337" ht="18" customHeight="1">
      <c r="A337" s="49" t="inlineStr">
        <is>
          <t>ACE-10336</t>
        </is>
      </c>
      <c r="B337" s="49" t="inlineStr">
        <is>
          <t>2026-05-17 15:22:30</t>
        </is>
      </c>
      <c r="C337" s="49" t="inlineStr">
        <is>
          <t>CUST-56397</t>
        </is>
      </c>
      <c r="D337" s="49" t="inlineStr">
        <is>
          <t>EUR-PKR</t>
        </is>
      </c>
      <c r="E337" s="49" t="inlineStr">
        <is>
          <t>EUR</t>
        </is>
      </c>
      <c r="F337" s="7" t="n">
        <v>186.2925586564465</v>
      </c>
      <c r="G337" s="8" t="n">
        <v>0.85</v>
      </c>
      <c r="H337" s="7" t="n">
        <v>158.3486748579795</v>
      </c>
      <c r="I337" s="7" t="n">
        <v>1.275</v>
      </c>
      <c r="J337" s="9" t="n">
        <v>0.023</v>
      </c>
      <c r="K337" s="49" t="inlineStr">
        <is>
          <t>Success</t>
        </is>
      </c>
      <c r="L337" s="7" t="n">
        <v>0.2375230122869693</v>
      </c>
      <c r="M337" s="7" t="n">
        <v>0.4750460245739386</v>
      </c>
      <c r="N337" s="7" t="n">
        <v>2.375230122869693</v>
      </c>
    </row>
    <row r="338" ht="18" customHeight="1">
      <c r="A338" s="49" t="inlineStr">
        <is>
          <t>ACE-10337</t>
        </is>
      </c>
      <c r="B338" s="49" t="inlineStr">
        <is>
          <t>2026-05-11 09:19:02</t>
        </is>
      </c>
      <c r="C338" s="49" t="inlineStr">
        <is>
          <t>CUST-96581</t>
        </is>
      </c>
      <c r="D338" s="49" t="inlineStr">
        <is>
          <t>GBP-PKR</t>
        </is>
      </c>
      <c r="E338" s="49" t="inlineStr">
        <is>
          <t>GBP</t>
        </is>
      </c>
      <c r="F338" s="7" t="n">
        <v>256.5285292289731</v>
      </c>
      <c r="G338" s="8" t="n">
        <v>1</v>
      </c>
      <c r="H338" s="7" t="n">
        <v>256.5285292289731</v>
      </c>
      <c r="I338" s="7" t="n">
        <v>1.5</v>
      </c>
      <c r="J338" s="9" t="n">
        <v>0.021</v>
      </c>
      <c r="K338" s="49" t="inlineStr">
        <is>
          <t>Success</t>
        </is>
      </c>
      <c r="L338" s="7" t="n">
        <v>0.3847927938434596</v>
      </c>
      <c r="M338" s="7" t="n">
        <v>0.7695855876869192</v>
      </c>
      <c r="N338" s="7" t="n">
        <v>3.078342350747677</v>
      </c>
    </row>
    <row r="339" ht="18" customHeight="1">
      <c r="A339" s="49" t="inlineStr">
        <is>
          <t>ACE-10338</t>
        </is>
      </c>
      <c r="B339" s="49" t="inlineStr">
        <is>
          <t>2026-05-21 09:43:51</t>
        </is>
      </c>
      <c r="C339" s="49" t="inlineStr">
        <is>
          <t>CUST-60771</t>
        </is>
      </c>
      <c r="D339" s="49" t="inlineStr">
        <is>
          <t>GBP-PKR</t>
        </is>
      </c>
      <c r="E339" s="49" t="inlineStr">
        <is>
          <t>GBP</t>
        </is>
      </c>
      <c r="F339" s="7" t="n">
        <v>269.7919264179342</v>
      </c>
      <c r="G339" s="8" t="n">
        <v>1</v>
      </c>
      <c r="H339" s="7" t="n">
        <v>269.7919264179342</v>
      </c>
      <c r="I339" s="7" t="n">
        <v>1.5</v>
      </c>
      <c r="J339" s="9" t="n">
        <v>0.021</v>
      </c>
      <c r="K339" s="49" t="inlineStr">
        <is>
          <t>Success</t>
        </is>
      </c>
      <c r="L339" s="7" t="n">
        <v>0.4046878896269013</v>
      </c>
      <c r="M339" s="7" t="n">
        <v>0.8093757792538026</v>
      </c>
      <c r="N339" s="7" t="n">
        <v>3.23750311701521</v>
      </c>
    </row>
    <row r="340" ht="18" customHeight="1">
      <c r="A340" s="49" t="inlineStr">
        <is>
          <t>ACE-10339</t>
        </is>
      </c>
      <c r="B340" s="49" t="inlineStr">
        <is>
          <t>2026-05-17 10:35:10</t>
        </is>
      </c>
      <c r="C340" s="49" t="inlineStr">
        <is>
          <t>CUST-71691</t>
        </is>
      </c>
      <c r="D340" s="49" t="inlineStr">
        <is>
          <t>GBP-PKR</t>
        </is>
      </c>
      <c r="E340" s="49" t="inlineStr">
        <is>
          <t>GBP</t>
        </is>
      </c>
      <c r="F340" s="7" t="n">
        <v>290.3487389484493</v>
      </c>
      <c r="G340" s="8" t="n">
        <v>1</v>
      </c>
      <c r="H340" s="7" t="n">
        <v>290.3487389484493</v>
      </c>
      <c r="I340" s="7" t="n">
        <v>1.5</v>
      </c>
      <c r="J340" s="9" t="n">
        <v>0.021</v>
      </c>
      <c r="K340" s="49" t="inlineStr">
        <is>
          <t>Success</t>
        </is>
      </c>
      <c r="L340" s="7" t="n">
        <v>0.4355231084226739</v>
      </c>
      <c r="M340" s="7" t="n">
        <v>0.8710462168453479</v>
      </c>
      <c r="N340" s="7" t="n">
        <v>3.484184867381392</v>
      </c>
    </row>
    <row r="341" ht="18" customHeight="1">
      <c r="A341" s="49" t="inlineStr">
        <is>
          <t>ACE-10340</t>
        </is>
      </c>
      <c r="B341" s="49" t="inlineStr">
        <is>
          <t>2026-05-08 20:25:40</t>
        </is>
      </c>
      <c r="C341" s="49" t="inlineStr">
        <is>
          <t>CUST-62088</t>
        </is>
      </c>
      <c r="D341" s="49" t="inlineStr">
        <is>
          <t>GBP-PKR</t>
        </is>
      </c>
      <c r="E341" s="49" t="inlineStr">
        <is>
          <t>GBP</t>
        </is>
      </c>
      <c r="F341" s="7" t="n">
        <v>263.3324093235401</v>
      </c>
      <c r="G341" s="8" t="n">
        <v>1</v>
      </c>
      <c r="H341" s="7" t="n">
        <v>263.3324093235401</v>
      </c>
      <c r="I341" s="7" t="n">
        <v>1.5</v>
      </c>
      <c r="J341" s="9" t="n">
        <v>0.021</v>
      </c>
      <c r="K341" s="49" t="inlineStr">
        <is>
          <t>Success</t>
        </is>
      </c>
      <c r="L341" s="7" t="n">
        <v>0.3949986139853102</v>
      </c>
      <c r="M341" s="7" t="n">
        <v>0.7899972279706203</v>
      </c>
      <c r="N341" s="7" t="n">
        <v>3.159988911882481</v>
      </c>
    </row>
    <row r="342" ht="18" customHeight="1">
      <c r="A342" s="49" t="inlineStr">
        <is>
          <t>ACE-10341</t>
        </is>
      </c>
      <c r="B342" s="49" t="inlineStr">
        <is>
          <t>2026-05-13 08:47:39</t>
        </is>
      </c>
      <c r="C342" s="49" t="inlineStr">
        <is>
          <t>CUST-62931</t>
        </is>
      </c>
      <c r="D342" s="49" t="inlineStr">
        <is>
          <t>GBP-PKR</t>
        </is>
      </c>
      <c r="E342" s="49" t="inlineStr">
        <is>
          <t>GBP</t>
        </is>
      </c>
      <c r="F342" s="7" t="n">
        <v>256.6126023026686</v>
      </c>
      <c r="G342" s="8" t="n">
        <v>1</v>
      </c>
      <c r="H342" s="7" t="n">
        <v>256.6126023026686</v>
      </c>
      <c r="I342" s="7" t="n">
        <v>1.5</v>
      </c>
      <c r="J342" s="9" t="n">
        <v>0.021</v>
      </c>
      <c r="K342" s="49" t="inlineStr">
        <is>
          <t>Success</t>
        </is>
      </c>
      <c r="L342" s="7" t="n">
        <v>0.3849189034540029</v>
      </c>
      <c r="M342" s="7" t="n">
        <v>0</v>
      </c>
      <c r="N342" s="7" t="n">
        <v>3.079351227632023</v>
      </c>
    </row>
    <row r="343" ht="18" customHeight="1">
      <c r="A343" s="49" t="inlineStr">
        <is>
          <t>ACE-10342</t>
        </is>
      </c>
      <c r="B343" s="49" t="inlineStr">
        <is>
          <t>2026-05-01 19:13:13</t>
        </is>
      </c>
      <c r="C343" s="49" t="inlineStr">
        <is>
          <t>CUST-68241</t>
        </is>
      </c>
      <c r="D343" s="49" t="inlineStr">
        <is>
          <t>GBP-PKR</t>
        </is>
      </c>
      <c r="E343" s="49" t="inlineStr">
        <is>
          <t>GBP</t>
        </is>
      </c>
      <c r="F343" s="7" t="n">
        <v>285.4761032861367</v>
      </c>
      <c r="G343" s="8" t="n">
        <v>1</v>
      </c>
      <c r="H343" s="7" t="n">
        <v>285.4761032861367</v>
      </c>
      <c r="I343" s="7" t="n">
        <v>1.5</v>
      </c>
      <c r="J343" s="9" t="n">
        <v>0.021</v>
      </c>
      <c r="K343" s="49" t="inlineStr">
        <is>
          <t>Success</t>
        </is>
      </c>
      <c r="L343" s="7" t="n">
        <v>0.4282141549292051</v>
      </c>
      <c r="M343" s="7" t="n">
        <v>0.8564283098584102</v>
      </c>
      <c r="N343" s="7" t="n">
        <v>3.425713239433641</v>
      </c>
    </row>
    <row r="344" ht="18" customHeight="1">
      <c r="A344" s="49" t="inlineStr">
        <is>
          <t>ACE-10343</t>
        </is>
      </c>
      <c r="B344" s="49" t="inlineStr">
        <is>
          <t>2026-05-03 17:06:51</t>
        </is>
      </c>
      <c r="C344" s="49" t="inlineStr">
        <is>
          <t>CUST-85185</t>
        </is>
      </c>
      <c r="D344" s="49" t="inlineStr">
        <is>
          <t>GBP-PKR</t>
        </is>
      </c>
      <c r="E344" s="49" t="inlineStr">
        <is>
          <t>GBP</t>
        </is>
      </c>
      <c r="F344" s="7" t="n">
        <v>285.5126282823281</v>
      </c>
      <c r="G344" s="8" t="n">
        <v>1</v>
      </c>
      <c r="H344" s="7" t="n">
        <v>285.5126282823281</v>
      </c>
      <c r="I344" s="7" t="n">
        <v>1.5</v>
      </c>
      <c r="J344" s="9" t="n">
        <v>0.021</v>
      </c>
      <c r="K344" s="49" t="inlineStr">
        <is>
          <t>Success</t>
        </is>
      </c>
      <c r="L344" s="7" t="n">
        <v>0.4282689424234922</v>
      </c>
      <c r="M344" s="7" t="n">
        <v>0</v>
      </c>
      <c r="N344" s="7" t="n">
        <v>3.426151539387938</v>
      </c>
    </row>
    <row r="345" ht="18" customHeight="1">
      <c r="A345" s="49" t="inlineStr">
        <is>
          <t>ACE-10344</t>
        </is>
      </c>
      <c r="B345" s="49" t="inlineStr">
        <is>
          <t>2026-05-15 09:16:42</t>
        </is>
      </c>
      <c r="C345" s="49" t="inlineStr">
        <is>
          <t>CUST-82078</t>
        </is>
      </c>
      <c r="D345" s="49" t="inlineStr">
        <is>
          <t>GBP-PKR</t>
        </is>
      </c>
      <c r="E345" s="49" t="inlineStr">
        <is>
          <t>GBP</t>
        </is>
      </c>
      <c r="F345" s="7" t="n">
        <v>264.8319001448784</v>
      </c>
      <c r="G345" s="8" t="n">
        <v>1</v>
      </c>
      <c r="H345" s="7" t="n">
        <v>264.8319001448784</v>
      </c>
      <c r="I345" s="7" t="n">
        <v>1.5</v>
      </c>
      <c r="J345" s="9" t="n">
        <v>0.021</v>
      </c>
      <c r="K345" s="49" t="inlineStr">
        <is>
          <t>Success</t>
        </is>
      </c>
      <c r="L345" s="7" t="n">
        <v>0.3972478502173176</v>
      </c>
      <c r="M345" s="7" t="n">
        <v>0.7944957004346351</v>
      </c>
      <c r="N345" s="7" t="n">
        <v>3.177982801738541</v>
      </c>
    </row>
    <row r="346" ht="18" customHeight="1">
      <c r="A346" s="49" t="inlineStr">
        <is>
          <t>ACE-10345</t>
        </is>
      </c>
      <c r="B346" s="49" t="inlineStr">
        <is>
          <t>2026-05-20 14:39:25</t>
        </is>
      </c>
      <c r="C346" s="49" t="inlineStr">
        <is>
          <t>CUST-88469</t>
        </is>
      </c>
      <c r="D346" s="49" t="inlineStr">
        <is>
          <t>GBP-PKR</t>
        </is>
      </c>
      <c r="E346" s="49" t="inlineStr">
        <is>
          <t>GBP</t>
        </is>
      </c>
      <c r="F346" s="7" t="n">
        <v>265.7844847309007</v>
      </c>
      <c r="G346" s="8" t="n">
        <v>1</v>
      </c>
      <c r="H346" s="7" t="n">
        <v>265.7844847309007</v>
      </c>
      <c r="I346" s="7" t="n">
        <v>1.5</v>
      </c>
      <c r="J346" s="9" t="n">
        <v>0.021</v>
      </c>
      <c r="K346" s="49" t="inlineStr">
        <is>
          <t>Success</t>
        </is>
      </c>
      <c r="L346" s="7" t="n">
        <v>0.398676727096351</v>
      </c>
      <c r="M346" s="7" t="n">
        <v>0</v>
      </c>
      <c r="N346" s="7" t="n">
        <v>3.189413816770808</v>
      </c>
    </row>
    <row r="347" ht="18" customHeight="1">
      <c r="A347" s="49" t="inlineStr">
        <is>
          <t>ACE-10346</t>
        </is>
      </c>
      <c r="B347" s="49" t="inlineStr">
        <is>
          <t>2026-05-15 17:11:52</t>
        </is>
      </c>
      <c r="C347" s="49" t="inlineStr">
        <is>
          <t>CUST-94144</t>
        </is>
      </c>
      <c r="D347" s="49" t="inlineStr">
        <is>
          <t>GBP-PKR</t>
        </is>
      </c>
      <c r="E347" s="49" t="inlineStr">
        <is>
          <t>GBP</t>
        </is>
      </c>
      <c r="F347" s="7" t="n">
        <v>285.1440801485483</v>
      </c>
      <c r="G347" s="8" t="n">
        <v>1</v>
      </c>
      <c r="H347" s="7" t="n">
        <v>285.1440801485483</v>
      </c>
      <c r="I347" s="7" t="n">
        <v>1.5</v>
      </c>
      <c r="J347" s="9" t="n">
        <v>0.021</v>
      </c>
      <c r="K347" s="49" t="inlineStr">
        <is>
          <t>Success</t>
        </is>
      </c>
      <c r="L347" s="7" t="n">
        <v>0.4277161202228224</v>
      </c>
      <c r="M347" s="7" t="n">
        <v>0</v>
      </c>
      <c r="N347" s="7" t="n">
        <v>3.421728961782579</v>
      </c>
    </row>
    <row r="348" ht="18" customHeight="1">
      <c r="A348" s="49" t="inlineStr">
        <is>
          <t>ACE-10347</t>
        </is>
      </c>
      <c r="B348" s="49" t="inlineStr">
        <is>
          <t>2026-05-20 17:05:43</t>
        </is>
      </c>
      <c r="C348" s="49" t="inlineStr">
        <is>
          <t>CUST-58778</t>
        </is>
      </c>
      <c r="D348" s="49" t="inlineStr">
        <is>
          <t>GBP-PKR</t>
        </is>
      </c>
      <c r="E348" s="49" t="inlineStr">
        <is>
          <t>GBP</t>
        </is>
      </c>
      <c r="F348" s="7" t="n">
        <v>241.0444048528059</v>
      </c>
      <c r="G348" s="8" t="n">
        <v>1</v>
      </c>
      <c r="H348" s="7" t="n">
        <v>241.0444048528059</v>
      </c>
      <c r="I348" s="7" t="n">
        <v>1.5</v>
      </c>
      <c r="J348" s="9" t="n">
        <v>0.021</v>
      </c>
      <c r="K348" s="49" t="inlineStr">
        <is>
          <t>Success</t>
        </is>
      </c>
      <c r="L348" s="7" t="n">
        <v>0.3615666072792088</v>
      </c>
      <c r="M348" s="7" t="n">
        <v>0</v>
      </c>
      <c r="N348" s="7" t="n">
        <v>2.89253285823367</v>
      </c>
    </row>
    <row r="349" ht="18" customHeight="1">
      <c r="A349" s="49" t="inlineStr">
        <is>
          <t>ACE-10348</t>
        </is>
      </c>
      <c r="B349" s="49" t="inlineStr">
        <is>
          <t>2026-05-04 10:23:44</t>
        </is>
      </c>
      <c r="C349" s="49" t="inlineStr">
        <is>
          <t>CUST-59264</t>
        </is>
      </c>
      <c r="D349" s="49" t="inlineStr">
        <is>
          <t>GBP-PKR</t>
        </is>
      </c>
      <c r="E349" s="49" t="inlineStr">
        <is>
          <t>GBP</t>
        </is>
      </c>
      <c r="F349" s="7" t="n">
        <v>242.0255322439244</v>
      </c>
      <c r="G349" s="8" t="n">
        <v>1</v>
      </c>
      <c r="H349" s="7" t="n">
        <v>242.0255322439244</v>
      </c>
      <c r="I349" s="7" t="n">
        <v>1.5</v>
      </c>
      <c r="J349" s="9" t="n">
        <v>0.021</v>
      </c>
      <c r="K349" s="49" t="inlineStr">
        <is>
          <t>Success</t>
        </is>
      </c>
      <c r="L349" s="7" t="n">
        <v>0.3630382983658866</v>
      </c>
      <c r="M349" s="7" t="n">
        <v>0</v>
      </c>
      <c r="N349" s="7" t="n">
        <v>2.904306386927093</v>
      </c>
    </row>
    <row r="350" ht="18" customHeight="1">
      <c r="A350" s="49" t="inlineStr">
        <is>
          <t>ACE-10349</t>
        </is>
      </c>
      <c r="B350" s="49" t="inlineStr">
        <is>
          <t>2026-05-05 17:24:27</t>
        </is>
      </c>
      <c r="C350" s="49" t="inlineStr">
        <is>
          <t>CUST-62173</t>
        </is>
      </c>
      <c r="D350" s="49" t="inlineStr">
        <is>
          <t>GBP-PKR</t>
        </is>
      </c>
      <c r="E350" s="49" t="inlineStr">
        <is>
          <t>GBP</t>
        </is>
      </c>
      <c r="F350" s="7" t="n">
        <v>259.2894955806674</v>
      </c>
      <c r="G350" s="8" t="n">
        <v>1</v>
      </c>
      <c r="H350" s="7" t="n">
        <v>259.2894955806674</v>
      </c>
      <c r="I350" s="7" t="n">
        <v>1.5</v>
      </c>
      <c r="J350" s="9" t="n">
        <v>0.021</v>
      </c>
      <c r="K350" s="49" t="inlineStr">
        <is>
          <t>Success</t>
        </is>
      </c>
      <c r="L350" s="7" t="n">
        <v>0.3889342433710011</v>
      </c>
      <c r="M350" s="7" t="n">
        <v>0</v>
      </c>
      <c r="N350" s="7" t="n">
        <v>3.111473946968009</v>
      </c>
    </row>
    <row r="351" ht="18" customHeight="1">
      <c r="A351" s="49" t="inlineStr">
        <is>
          <t>ACE-10350</t>
        </is>
      </c>
      <c r="B351" s="49" t="inlineStr">
        <is>
          <t>2026-05-21 10:35:10</t>
        </is>
      </c>
      <c r="C351" s="49" t="inlineStr">
        <is>
          <t>CUST-82089</t>
        </is>
      </c>
      <c r="D351" s="49" t="inlineStr">
        <is>
          <t>USD-PKR</t>
        </is>
      </c>
      <c r="E351" s="49" t="inlineStr">
        <is>
          <t>USD</t>
        </is>
      </c>
      <c r="F351" s="7" t="n">
        <v>214.2798414689472</v>
      </c>
      <c r="G351" s="8" t="n">
        <v>0.8</v>
      </c>
      <c r="H351" s="7" t="n">
        <v>171.4238731751578</v>
      </c>
      <c r="I351" s="7" t="n">
        <v>1.6</v>
      </c>
      <c r="J351" s="9" t="n">
        <v>0.019</v>
      </c>
      <c r="K351" s="49" t="inlineStr">
        <is>
          <t>Success</t>
        </is>
      </c>
      <c r="L351" s="7" t="n">
        <v>0.2571358097627367</v>
      </c>
      <c r="M351" s="7" t="n">
        <v>0</v>
      </c>
      <c r="N351" s="7" t="n">
        <v>2.057086478101894</v>
      </c>
    </row>
    <row r="352" ht="18" customHeight="1">
      <c r="A352" s="49" t="inlineStr">
        <is>
          <t>ACE-10351</t>
        </is>
      </c>
      <c r="B352" s="49" t="inlineStr">
        <is>
          <t>2026-05-15 17:03:55</t>
        </is>
      </c>
      <c r="C352" s="49" t="inlineStr">
        <is>
          <t>CUST-73529</t>
        </is>
      </c>
      <c r="D352" s="49" t="inlineStr">
        <is>
          <t>EUR-PKR</t>
        </is>
      </c>
      <c r="E352" s="49" t="inlineStr">
        <is>
          <t>EUR</t>
        </is>
      </c>
      <c r="F352" s="7" t="n">
        <v>195.0224789760779</v>
      </c>
      <c r="G352" s="8" t="n">
        <v>0.85</v>
      </c>
      <c r="H352" s="7" t="n">
        <v>165.7691071296663</v>
      </c>
      <c r="I352" s="7" t="n">
        <v>1.275</v>
      </c>
      <c r="J352" s="9" t="n">
        <v>0.023</v>
      </c>
      <c r="K352" s="49" t="inlineStr">
        <is>
          <t>Success</t>
        </is>
      </c>
      <c r="L352" s="7" t="n">
        <v>0.2486536606944994</v>
      </c>
      <c r="M352" s="7" t="n">
        <v>0</v>
      </c>
      <c r="N352" s="7" t="n">
        <v>2.486536606944994</v>
      </c>
    </row>
    <row r="353" ht="18" customHeight="1">
      <c r="A353" s="49" t="inlineStr">
        <is>
          <t>ACE-10352</t>
        </is>
      </c>
      <c r="B353" s="49" t="inlineStr">
        <is>
          <t>2026-05-07 14:35:32</t>
        </is>
      </c>
      <c r="C353" s="49" t="inlineStr">
        <is>
          <t>CUST-92799</t>
        </is>
      </c>
      <c r="D353" s="49" t="inlineStr">
        <is>
          <t>GBP-PKR</t>
        </is>
      </c>
      <c r="E353" s="49" t="inlineStr">
        <is>
          <t>GBP</t>
        </is>
      </c>
      <c r="F353" s="7" t="n">
        <v>322.89436450776</v>
      </c>
      <c r="G353" s="8" t="n">
        <v>1</v>
      </c>
      <c r="H353" s="7" t="n">
        <v>322.89436450776</v>
      </c>
      <c r="I353" s="7" t="n">
        <v>1.5</v>
      </c>
      <c r="J353" s="9" t="n">
        <v>0.021</v>
      </c>
      <c r="K353" s="49" t="inlineStr">
        <is>
          <t>Success</t>
        </is>
      </c>
      <c r="L353" s="7" t="n">
        <v>0.48434154676164</v>
      </c>
      <c r="M353" s="7" t="n">
        <v>0.9686830935232801</v>
      </c>
      <c r="N353" s="7" t="n">
        <v>3.87473237409312</v>
      </c>
    </row>
    <row r="354" ht="18" customHeight="1">
      <c r="A354" s="49" t="inlineStr">
        <is>
          <t>ACE-10353</t>
        </is>
      </c>
      <c r="B354" s="49" t="inlineStr">
        <is>
          <t>2026-05-14 19:53:28</t>
        </is>
      </c>
      <c r="C354" s="49" t="inlineStr">
        <is>
          <t>CUST-82027</t>
        </is>
      </c>
      <c r="D354" s="49" t="inlineStr">
        <is>
          <t>USD-PKR</t>
        </is>
      </c>
      <c r="E354" s="49" t="inlineStr">
        <is>
          <t>USD</t>
        </is>
      </c>
      <c r="F354" s="7" t="n">
        <v>238.5057713749126</v>
      </c>
      <c r="G354" s="8" t="n">
        <v>0.8</v>
      </c>
      <c r="H354" s="7" t="n">
        <v>190.8046170999301</v>
      </c>
      <c r="I354" s="7" t="n">
        <v>1.6</v>
      </c>
      <c r="J354" s="9" t="n">
        <v>0.019</v>
      </c>
      <c r="K354" s="49" t="inlineStr">
        <is>
          <t>Success</t>
        </is>
      </c>
      <c r="L354" s="7" t="n">
        <v>0.2862069256498951</v>
      </c>
      <c r="M354" s="7" t="n">
        <v>0</v>
      </c>
      <c r="N354" s="7" t="n">
        <v>2.289655405199161</v>
      </c>
    </row>
    <row r="355" ht="18" customHeight="1">
      <c r="A355" s="49" t="inlineStr">
        <is>
          <t>ACE-10354</t>
        </is>
      </c>
      <c r="B355" s="49" t="inlineStr">
        <is>
          <t>2026-05-08 12:02:17</t>
        </is>
      </c>
      <c r="C355" s="49" t="inlineStr">
        <is>
          <t>CUST-64735</t>
        </is>
      </c>
      <c r="D355" s="49" t="inlineStr">
        <is>
          <t>GBP-PKR</t>
        </is>
      </c>
      <c r="E355" s="49" t="inlineStr">
        <is>
          <t>GBP</t>
        </is>
      </c>
      <c r="F355" s="7" t="n">
        <v>274.1829954781445</v>
      </c>
      <c r="G355" s="8" t="n">
        <v>1</v>
      </c>
      <c r="H355" s="7" t="n">
        <v>274.1829954781445</v>
      </c>
      <c r="I355" s="7" t="n">
        <v>1.5</v>
      </c>
      <c r="J355" s="9" t="n">
        <v>0.021</v>
      </c>
      <c r="K355" s="49" t="inlineStr">
        <is>
          <t>Success</t>
        </is>
      </c>
      <c r="L355" s="7" t="n">
        <v>0.4112744932172168</v>
      </c>
      <c r="M355" s="7" t="n">
        <v>0</v>
      </c>
      <c r="N355" s="7" t="n">
        <v>3.290195945737734</v>
      </c>
    </row>
    <row r="356" ht="18" customHeight="1">
      <c r="A356" s="49" t="inlineStr">
        <is>
          <t>ACE-10355</t>
        </is>
      </c>
      <c r="B356" s="49" t="inlineStr">
        <is>
          <t>2026-05-15 17:47:49</t>
        </is>
      </c>
      <c r="C356" s="49" t="inlineStr">
        <is>
          <t>CUST-82460</t>
        </is>
      </c>
      <c r="D356" s="49" t="inlineStr">
        <is>
          <t>GBP-PKR</t>
        </is>
      </c>
      <c r="E356" s="49" t="inlineStr">
        <is>
          <t>GBP</t>
        </is>
      </c>
      <c r="F356" s="7" t="n">
        <v>278.0741993956667</v>
      </c>
      <c r="G356" s="8" t="n">
        <v>1</v>
      </c>
      <c r="H356" s="7" t="n">
        <v>278.0741993956667</v>
      </c>
      <c r="I356" s="7" t="n">
        <v>1.5</v>
      </c>
      <c r="J356" s="9" t="n">
        <v>0.021</v>
      </c>
      <c r="K356" s="49" t="inlineStr">
        <is>
          <t>Success</t>
        </is>
      </c>
      <c r="L356" s="7" t="n">
        <v>0.4171112990935001</v>
      </c>
      <c r="M356" s="7" t="n">
        <v>0</v>
      </c>
      <c r="N356" s="7" t="n">
        <v>3.336890392748001</v>
      </c>
    </row>
    <row r="357" ht="18" customHeight="1">
      <c r="A357" s="49" t="inlineStr">
        <is>
          <t>ACE-10356</t>
        </is>
      </c>
      <c r="B357" s="49" t="inlineStr">
        <is>
          <t>2026-05-04 12:49:34</t>
        </is>
      </c>
      <c r="C357" s="49" t="inlineStr">
        <is>
          <t>CUST-74042</t>
        </is>
      </c>
      <c r="D357" s="49" t="inlineStr">
        <is>
          <t>GBP-PKR</t>
        </is>
      </c>
      <c r="E357" s="49" t="inlineStr">
        <is>
          <t>GBP</t>
        </is>
      </c>
      <c r="F357" s="7" t="n">
        <v>252.0271114151854</v>
      </c>
      <c r="G357" s="8" t="n">
        <v>1</v>
      </c>
      <c r="H357" s="7" t="n">
        <v>252.0271114151854</v>
      </c>
      <c r="I357" s="7" t="n">
        <v>1.5</v>
      </c>
      <c r="J357" s="9" t="n">
        <v>0.021</v>
      </c>
      <c r="K357" s="49" t="inlineStr">
        <is>
          <t>Success</t>
        </is>
      </c>
      <c r="L357" s="7" t="n">
        <v>0.3780406671227782</v>
      </c>
      <c r="M357" s="7" t="n">
        <v>0.7560813342455563</v>
      </c>
      <c r="N357" s="7" t="n">
        <v>3.024325336982225</v>
      </c>
    </row>
    <row r="358" ht="18" customHeight="1">
      <c r="A358" s="49" t="inlineStr">
        <is>
          <t>ACE-10357</t>
        </is>
      </c>
      <c r="B358" s="49" t="inlineStr">
        <is>
          <t>2026-05-24 15:34:13</t>
        </is>
      </c>
      <c r="C358" s="49" t="inlineStr">
        <is>
          <t>CUST-77862</t>
        </is>
      </c>
      <c r="D358" s="49" t="inlineStr">
        <is>
          <t>USD-PKR</t>
        </is>
      </c>
      <c r="E358" s="49" t="inlineStr">
        <is>
          <t>USD</t>
        </is>
      </c>
      <c r="F358" s="7" t="n">
        <v>218.4978626909723</v>
      </c>
      <c r="G358" s="8" t="n">
        <v>0.8</v>
      </c>
      <c r="H358" s="7" t="n">
        <v>174.7982901527778</v>
      </c>
      <c r="I358" s="7" t="n">
        <v>1.6</v>
      </c>
      <c r="J358" s="9" t="n">
        <v>0.019</v>
      </c>
      <c r="K358" s="49" t="inlineStr">
        <is>
          <t>Success</t>
        </is>
      </c>
      <c r="L358" s="7" t="n">
        <v>0.2621974352291668</v>
      </c>
      <c r="M358" s="7" t="n">
        <v>0.5243948704583336</v>
      </c>
      <c r="N358" s="7" t="n">
        <v>2.097579481833334</v>
      </c>
    </row>
    <row r="359" ht="18" customHeight="1">
      <c r="A359" s="49" t="inlineStr">
        <is>
          <t>ACE-10358</t>
        </is>
      </c>
      <c r="B359" s="49" t="inlineStr">
        <is>
          <t>2026-05-08 12:55:02</t>
        </is>
      </c>
      <c r="C359" s="49" t="inlineStr">
        <is>
          <t>CUST-79473</t>
        </is>
      </c>
      <c r="D359" s="49" t="inlineStr">
        <is>
          <t>USD-PKR</t>
        </is>
      </c>
      <c r="E359" s="49" t="inlineStr">
        <is>
          <t>USD</t>
        </is>
      </c>
      <c r="F359" s="7" t="n">
        <v>212.6742564040898</v>
      </c>
      <c r="G359" s="8" t="n">
        <v>0.8</v>
      </c>
      <c r="H359" s="7" t="n">
        <v>170.1394051232718</v>
      </c>
      <c r="I359" s="7" t="n">
        <v>1.6</v>
      </c>
      <c r="J359" s="9" t="n">
        <v>0.019</v>
      </c>
      <c r="K359" s="49" t="inlineStr">
        <is>
          <t>Success</t>
        </is>
      </c>
      <c r="L359" s="7" t="n">
        <v>0.2552091076849077</v>
      </c>
      <c r="M359" s="7" t="n">
        <v>0.5104182153698155</v>
      </c>
      <c r="N359" s="7" t="n">
        <v>2.041672861479262</v>
      </c>
    </row>
    <row r="360" ht="18" customHeight="1">
      <c r="A360" s="49" t="inlineStr">
        <is>
          <t>ACE-10359</t>
        </is>
      </c>
      <c r="B360" s="49" t="inlineStr">
        <is>
          <t>2026-05-03 15:55:07</t>
        </is>
      </c>
      <c r="C360" s="49" t="inlineStr">
        <is>
          <t>CUST-65528</t>
        </is>
      </c>
      <c r="D360" s="49" t="inlineStr">
        <is>
          <t>GBP-PKR</t>
        </is>
      </c>
      <c r="E360" s="49" t="inlineStr">
        <is>
          <t>GBP</t>
        </is>
      </c>
      <c r="F360" s="7" t="n">
        <v>287.7411983228221</v>
      </c>
      <c r="G360" s="8" t="n">
        <v>1</v>
      </c>
      <c r="H360" s="7" t="n">
        <v>287.7411983228221</v>
      </c>
      <c r="I360" s="7" t="n">
        <v>1.5</v>
      </c>
      <c r="J360" s="9" t="n">
        <v>0.021</v>
      </c>
      <c r="K360" s="49" t="inlineStr">
        <is>
          <t>Success</t>
        </is>
      </c>
      <c r="L360" s="7" t="n">
        <v>0.4316117974842331</v>
      </c>
      <c r="M360" s="7" t="n">
        <v>0.8632235949684662</v>
      </c>
      <c r="N360" s="7" t="n">
        <v>3.452894379873865</v>
      </c>
    </row>
    <row r="361" ht="18" customHeight="1">
      <c r="A361" s="49" t="inlineStr">
        <is>
          <t>ACE-10360</t>
        </is>
      </c>
      <c r="B361" s="49" t="inlineStr">
        <is>
          <t>2026-05-23 13:55:45</t>
        </is>
      </c>
      <c r="C361" s="49" t="inlineStr">
        <is>
          <t>CUST-89994</t>
        </is>
      </c>
      <c r="D361" s="49" t="inlineStr">
        <is>
          <t>GBP-PKR</t>
        </is>
      </c>
      <c r="E361" s="49" t="inlineStr">
        <is>
          <t>GBP</t>
        </is>
      </c>
      <c r="F361" s="7" t="n">
        <v>256.4840575335824</v>
      </c>
      <c r="G361" s="8" t="n">
        <v>1</v>
      </c>
      <c r="H361" s="7" t="n">
        <v>256.4840575335824</v>
      </c>
      <c r="I361" s="7" t="n">
        <v>1.5</v>
      </c>
      <c r="J361" s="9" t="n">
        <v>0.021</v>
      </c>
      <c r="K361" s="49" t="inlineStr">
        <is>
          <t>Success</t>
        </is>
      </c>
      <c r="L361" s="7" t="n">
        <v>0.3847260863003735</v>
      </c>
      <c r="M361" s="7" t="n">
        <v>0</v>
      </c>
      <c r="N361" s="7" t="n">
        <v>3.077808690402988</v>
      </c>
    </row>
    <row r="362" ht="18" customHeight="1">
      <c r="A362" s="49" t="inlineStr">
        <is>
          <t>ACE-10361</t>
        </is>
      </c>
      <c r="B362" s="49" t="inlineStr">
        <is>
          <t>2026-05-05 20:13:52</t>
        </is>
      </c>
      <c r="C362" s="49" t="inlineStr">
        <is>
          <t>CUST-63562</t>
        </is>
      </c>
      <c r="D362" s="49" t="inlineStr">
        <is>
          <t>EUR-PKR</t>
        </is>
      </c>
      <c r="E362" s="49" t="inlineStr">
        <is>
          <t>EUR</t>
        </is>
      </c>
      <c r="F362" s="7" t="n">
        <v>199.130168427017</v>
      </c>
      <c r="G362" s="8" t="n">
        <v>0.85</v>
      </c>
      <c r="H362" s="7" t="n">
        <v>169.2606431629645</v>
      </c>
      <c r="I362" s="7" t="n">
        <v>1.275</v>
      </c>
      <c r="J362" s="9" t="n">
        <v>0.023</v>
      </c>
      <c r="K362" s="49" t="inlineStr">
        <is>
          <t>Success</t>
        </is>
      </c>
      <c r="L362" s="7" t="n">
        <v>0.2538909647444467</v>
      </c>
      <c r="M362" s="7" t="n">
        <v>0</v>
      </c>
      <c r="N362" s="7" t="n">
        <v>2.538909647444467</v>
      </c>
    </row>
    <row r="363" ht="18" customHeight="1">
      <c r="A363" s="49" t="inlineStr">
        <is>
          <t>ACE-10362</t>
        </is>
      </c>
      <c r="B363" s="49" t="inlineStr">
        <is>
          <t>2026-05-18 12:38:34</t>
        </is>
      </c>
      <c r="C363" s="49" t="inlineStr">
        <is>
          <t>CUST-61034</t>
        </is>
      </c>
      <c r="D363" s="49" t="inlineStr">
        <is>
          <t>GBP-PKR</t>
        </is>
      </c>
      <c r="E363" s="49" t="inlineStr">
        <is>
          <t>GBP</t>
        </is>
      </c>
      <c r="F363" s="7" t="n">
        <v>324.7525456988575</v>
      </c>
      <c r="G363" s="8" t="n">
        <v>1</v>
      </c>
      <c r="H363" s="7" t="n">
        <v>324.7525456988575</v>
      </c>
      <c r="I363" s="7" t="n">
        <v>1.5</v>
      </c>
      <c r="J363" s="9" t="n">
        <v>0.021</v>
      </c>
      <c r="K363" s="49" t="inlineStr">
        <is>
          <t>Success</t>
        </is>
      </c>
      <c r="L363" s="7" t="n">
        <v>0.4871288185482863</v>
      </c>
      <c r="M363" s="7" t="n">
        <v>0.9742576370965726</v>
      </c>
      <c r="N363" s="7" t="n">
        <v>3.897030548386291</v>
      </c>
    </row>
    <row r="364" ht="18" customHeight="1">
      <c r="A364" s="49" t="inlineStr">
        <is>
          <t>ACE-10363</t>
        </is>
      </c>
      <c r="B364" s="49" t="inlineStr">
        <is>
          <t>2026-05-10 17:17:54</t>
        </is>
      </c>
      <c r="C364" s="49" t="inlineStr">
        <is>
          <t>CUST-83712</t>
        </is>
      </c>
      <c r="D364" s="49" t="inlineStr">
        <is>
          <t>GBP-PKR</t>
        </is>
      </c>
      <c r="E364" s="49" t="inlineStr">
        <is>
          <t>GBP</t>
        </is>
      </c>
      <c r="F364" s="7" t="n">
        <v>275.5898165432715</v>
      </c>
      <c r="G364" s="8" t="n">
        <v>1</v>
      </c>
      <c r="H364" s="7" t="n">
        <v>275.5898165432715</v>
      </c>
      <c r="I364" s="7" t="n">
        <v>1.5</v>
      </c>
      <c r="J364" s="9" t="n">
        <v>0.021</v>
      </c>
      <c r="K364" s="49" t="inlineStr">
        <is>
          <t>Success</t>
        </is>
      </c>
      <c r="L364" s="7" t="n">
        <v>0.4133847248149073</v>
      </c>
      <c r="M364" s="7" t="n">
        <v>0.8267694496298146</v>
      </c>
      <c r="N364" s="7" t="n">
        <v>3.307077798519258</v>
      </c>
    </row>
    <row r="365" ht="18" customHeight="1">
      <c r="A365" s="49" t="inlineStr">
        <is>
          <t>ACE-10364</t>
        </is>
      </c>
      <c r="B365" s="49" t="inlineStr">
        <is>
          <t>2026-05-04 10:48:50</t>
        </is>
      </c>
      <c r="C365" s="49" t="inlineStr">
        <is>
          <t>CUST-76974</t>
        </is>
      </c>
      <c r="D365" s="49" t="inlineStr">
        <is>
          <t>GBP-PKR</t>
        </is>
      </c>
      <c r="E365" s="49" t="inlineStr">
        <is>
          <t>GBP</t>
        </is>
      </c>
      <c r="F365" s="7" t="n">
        <v>290.0231581202044</v>
      </c>
      <c r="G365" s="8" t="n">
        <v>1</v>
      </c>
      <c r="H365" s="7" t="n">
        <v>290.0231581202044</v>
      </c>
      <c r="I365" s="7" t="n">
        <v>1.5</v>
      </c>
      <c r="J365" s="9" t="n">
        <v>0.021</v>
      </c>
      <c r="K365" s="49" t="inlineStr">
        <is>
          <t>Success</t>
        </is>
      </c>
      <c r="L365" s="7" t="n">
        <v>0.4350347371803066</v>
      </c>
      <c r="M365" s="7" t="n">
        <v>0.8700694743606131</v>
      </c>
      <c r="N365" s="7" t="n">
        <v>3.480277897442452</v>
      </c>
    </row>
    <row r="366" ht="18" customHeight="1">
      <c r="A366" s="49" t="inlineStr">
        <is>
          <t>ACE-10365</t>
        </is>
      </c>
      <c r="B366" s="49" t="inlineStr">
        <is>
          <t>2026-05-21 10:44:55</t>
        </is>
      </c>
      <c r="C366" s="49" t="inlineStr">
        <is>
          <t>CUST-58696</t>
        </is>
      </c>
      <c r="D366" s="49" t="inlineStr">
        <is>
          <t>GBP-PKR</t>
        </is>
      </c>
      <c r="E366" s="49" t="inlineStr">
        <is>
          <t>GBP</t>
        </is>
      </c>
      <c r="F366" s="7" t="n">
        <v>298.5101699212908</v>
      </c>
      <c r="G366" s="8" t="n">
        <v>1</v>
      </c>
      <c r="H366" s="7" t="n">
        <v>298.5101699212908</v>
      </c>
      <c r="I366" s="7" t="n">
        <v>1.5</v>
      </c>
      <c r="J366" s="9" t="n">
        <v>0.021</v>
      </c>
      <c r="K366" s="49" t="inlineStr">
        <is>
          <t>Success</t>
        </is>
      </c>
      <c r="L366" s="7" t="n">
        <v>0.4477652548819361</v>
      </c>
      <c r="M366" s="7" t="n">
        <v>0.8955305097638723</v>
      </c>
      <c r="N366" s="7" t="n">
        <v>3.582122039055489</v>
      </c>
    </row>
    <row r="367" ht="18" customHeight="1">
      <c r="A367" s="49" t="inlineStr">
        <is>
          <t>ACE-10366</t>
        </is>
      </c>
      <c r="B367" s="49" t="inlineStr">
        <is>
          <t>2026-05-08 20:53:43</t>
        </is>
      </c>
      <c r="C367" s="49" t="inlineStr">
        <is>
          <t>CUST-75736</t>
        </is>
      </c>
      <c r="D367" s="49" t="inlineStr">
        <is>
          <t>USD-PKR</t>
        </is>
      </c>
      <c r="E367" s="49" t="inlineStr">
        <is>
          <t>USD</t>
        </is>
      </c>
      <c r="F367" s="7" t="n">
        <v>210.2937786725375</v>
      </c>
      <c r="G367" s="8" t="n">
        <v>0.8</v>
      </c>
      <c r="H367" s="7" t="n">
        <v>168.23502293803</v>
      </c>
      <c r="I367" s="7" t="n">
        <v>1.6</v>
      </c>
      <c r="J367" s="9" t="n">
        <v>0.019</v>
      </c>
      <c r="K367" s="49" t="inlineStr">
        <is>
          <t>Success</t>
        </is>
      </c>
      <c r="L367" s="7" t="n">
        <v>0.252352534407045</v>
      </c>
      <c r="M367" s="7" t="n">
        <v>0</v>
      </c>
      <c r="N367" s="7" t="n">
        <v>2.01882027525636</v>
      </c>
    </row>
    <row r="368" ht="18" customHeight="1">
      <c r="A368" s="49" t="inlineStr">
        <is>
          <t>ACE-10367</t>
        </is>
      </c>
      <c r="B368" s="49" t="inlineStr">
        <is>
          <t>2026-05-09 18:26:24</t>
        </is>
      </c>
      <c r="C368" s="49" t="inlineStr">
        <is>
          <t>CUST-79621</t>
        </is>
      </c>
      <c r="D368" s="49" t="inlineStr">
        <is>
          <t>EUR-PKR</t>
        </is>
      </c>
      <c r="E368" s="49" t="inlineStr">
        <is>
          <t>EUR</t>
        </is>
      </c>
      <c r="F368" s="7" t="n">
        <v>193.3367177536629</v>
      </c>
      <c r="G368" s="8" t="n">
        <v>0.85</v>
      </c>
      <c r="H368" s="7" t="n">
        <v>164.3362100906134</v>
      </c>
      <c r="I368" s="7" t="n">
        <v>1.275</v>
      </c>
      <c r="J368" s="9" t="n">
        <v>0.023</v>
      </c>
      <c r="K368" s="49" t="inlineStr">
        <is>
          <t>Success</t>
        </is>
      </c>
      <c r="L368" s="7" t="n">
        <v>0.2465043151359202</v>
      </c>
      <c r="M368" s="7" t="n">
        <v>0.4930086302718403</v>
      </c>
      <c r="N368" s="7" t="n">
        <v>2.465043151359201</v>
      </c>
    </row>
    <row r="369" ht="18" customHeight="1">
      <c r="A369" s="49" t="inlineStr">
        <is>
          <t>ACE-10368</t>
        </is>
      </c>
      <c r="B369" s="49" t="inlineStr">
        <is>
          <t>2026-05-03 14:32:47</t>
        </is>
      </c>
      <c r="C369" s="49" t="inlineStr">
        <is>
          <t>CUST-68233</t>
        </is>
      </c>
      <c r="D369" s="49" t="inlineStr">
        <is>
          <t>GBP-PKR</t>
        </is>
      </c>
      <c r="E369" s="49" t="inlineStr">
        <is>
          <t>GBP</t>
        </is>
      </c>
      <c r="F369" s="7" t="n">
        <v>278.9545438412531</v>
      </c>
      <c r="G369" s="8" t="n">
        <v>1</v>
      </c>
      <c r="H369" s="7" t="n">
        <v>278.9545438412531</v>
      </c>
      <c r="I369" s="7" t="n">
        <v>1.5</v>
      </c>
      <c r="J369" s="9" t="n">
        <v>0.021</v>
      </c>
      <c r="K369" s="49" t="inlineStr">
        <is>
          <t>Success</t>
        </is>
      </c>
      <c r="L369" s="7" t="n">
        <v>0.4184318157618797</v>
      </c>
      <c r="M369" s="7" t="n">
        <v>0.8368636315237593</v>
      </c>
      <c r="N369" s="7" t="n">
        <v>3.347454526095037</v>
      </c>
    </row>
    <row r="370" ht="18" customHeight="1">
      <c r="A370" s="49" t="inlineStr">
        <is>
          <t>ACE-10369</t>
        </is>
      </c>
      <c r="B370" s="49" t="inlineStr">
        <is>
          <t>2026-05-15 15:20:37</t>
        </is>
      </c>
      <c r="C370" s="49" t="inlineStr">
        <is>
          <t>CUST-50162</t>
        </is>
      </c>
      <c r="D370" s="49" t="inlineStr">
        <is>
          <t>EUR-PKR</t>
        </is>
      </c>
      <c r="E370" s="49" t="inlineStr">
        <is>
          <t>EUR</t>
        </is>
      </c>
      <c r="F370" s="7" t="n">
        <v>190.9080086680379</v>
      </c>
      <c r="G370" s="8" t="n">
        <v>0.85</v>
      </c>
      <c r="H370" s="7" t="n">
        <v>162.2718073678322</v>
      </c>
      <c r="I370" s="7" t="n">
        <v>1.275</v>
      </c>
      <c r="J370" s="9" t="n">
        <v>0.023</v>
      </c>
      <c r="K370" s="49" t="inlineStr">
        <is>
          <t>Success</t>
        </is>
      </c>
      <c r="L370" s="7" t="n">
        <v>0.2434077110517483</v>
      </c>
      <c r="M370" s="7" t="n">
        <v>0.4868154221034966</v>
      </c>
      <c r="N370" s="7" t="n">
        <v>2.434077110517483</v>
      </c>
    </row>
    <row r="371" ht="18" customHeight="1">
      <c r="A371" s="49" t="inlineStr">
        <is>
          <t>ACE-10370</t>
        </is>
      </c>
      <c r="B371" s="49" t="inlineStr">
        <is>
          <t>2026-05-03 19:29:40</t>
        </is>
      </c>
      <c r="C371" s="49" t="inlineStr">
        <is>
          <t>CUST-93525</t>
        </is>
      </c>
      <c r="D371" s="49" t="inlineStr">
        <is>
          <t>USD-PKR</t>
        </is>
      </c>
      <c r="E371" s="49" t="inlineStr">
        <is>
          <t>USD</t>
        </is>
      </c>
      <c r="F371" s="7" t="n">
        <v>202.6188378441638</v>
      </c>
      <c r="G371" s="8" t="n">
        <v>0.8</v>
      </c>
      <c r="H371" s="7" t="n">
        <v>162.095070275331</v>
      </c>
      <c r="I371" s="7" t="n">
        <v>1.6</v>
      </c>
      <c r="J371" s="9" t="n">
        <v>0.019</v>
      </c>
      <c r="K371" s="49" t="inlineStr">
        <is>
          <t>Success</t>
        </is>
      </c>
      <c r="L371" s="7" t="n">
        <v>0.2431426054129966</v>
      </c>
      <c r="M371" s="7" t="n">
        <v>0.4862852108259931</v>
      </c>
      <c r="N371" s="7" t="n">
        <v>1.945140843303973</v>
      </c>
    </row>
    <row r="372" ht="18" customHeight="1">
      <c r="A372" s="49" t="inlineStr">
        <is>
          <t>ACE-10371</t>
        </is>
      </c>
      <c r="B372" s="49" t="inlineStr">
        <is>
          <t>2026-05-18 14:13:27</t>
        </is>
      </c>
      <c r="C372" s="49" t="inlineStr">
        <is>
          <t>CUST-63883</t>
        </is>
      </c>
      <c r="D372" s="49" t="inlineStr">
        <is>
          <t>GBP-PKR</t>
        </is>
      </c>
      <c r="E372" s="49" t="inlineStr">
        <is>
          <t>GBP</t>
        </is>
      </c>
      <c r="F372" s="7" t="n">
        <v>279.2871937305738</v>
      </c>
      <c r="G372" s="8" t="n">
        <v>1</v>
      </c>
      <c r="H372" s="7" t="n">
        <v>279.2871937305738</v>
      </c>
      <c r="I372" s="7" t="n">
        <v>1.5</v>
      </c>
      <c r="J372" s="9" t="n">
        <v>0.021</v>
      </c>
      <c r="K372" s="49" t="inlineStr">
        <is>
          <t>Success</t>
        </is>
      </c>
      <c r="L372" s="7" t="n">
        <v>0.4189307905958607</v>
      </c>
      <c r="M372" s="7" t="n">
        <v>0</v>
      </c>
      <c r="N372" s="7" t="n">
        <v>3.351446324766886</v>
      </c>
    </row>
    <row r="373" ht="18" customHeight="1">
      <c r="A373" s="49" t="inlineStr">
        <is>
          <t>ACE-10372</t>
        </is>
      </c>
      <c r="B373" s="49" t="inlineStr">
        <is>
          <t>2026-05-10 13:35:36</t>
        </is>
      </c>
      <c r="C373" s="49" t="inlineStr">
        <is>
          <t>CUST-58558</t>
        </is>
      </c>
      <c r="D373" s="49" t="inlineStr">
        <is>
          <t>USD-PKR</t>
        </is>
      </c>
      <c r="E373" s="49" t="inlineStr">
        <is>
          <t>USD</t>
        </is>
      </c>
      <c r="F373" s="7" t="n">
        <v>230.0800692412578</v>
      </c>
      <c r="G373" s="8" t="n">
        <v>0.8</v>
      </c>
      <c r="H373" s="7" t="n">
        <v>184.0640553930062</v>
      </c>
      <c r="I373" s="7" t="n">
        <v>1.6</v>
      </c>
      <c r="J373" s="9" t="n">
        <v>0.019</v>
      </c>
      <c r="K373" s="49" t="inlineStr">
        <is>
          <t>Success</t>
        </is>
      </c>
      <c r="L373" s="7" t="n">
        <v>0.2760960830895094</v>
      </c>
      <c r="M373" s="7" t="n">
        <v>0</v>
      </c>
      <c r="N373" s="7" t="n">
        <v>2.208768664716075</v>
      </c>
    </row>
    <row r="374" ht="18" customHeight="1">
      <c r="A374" s="49" t="inlineStr">
        <is>
          <t>ACE-10373</t>
        </is>
      </c>
      <c r="B374" s="49" t="inlineStr">
        <is>
          <t>2026-05-11 18:48:03</t>
        </is>
      </c>
      <c r="C374" s="49" t="inlineStr">
        <is>
          <t>CUST-53010</t>
        </is>
      </c>
      <c r="D374" s="49" t="inlineStr">
        <is>
          <t>GBP-PKR</t>
        </is>
      </c>
      <c r="E374" s="49" t="inlineStr">
        <is>
          <t>GBP</t>
        </is>
      </c>
      <c r="F374" s="7" t="n">
        <v>322.1134987245443</v>
      </c>
      <c r="G374" s="8" t="n">
        <v>1</v>
      </c>
      <c r="H374" s="7" t="n">
        <v>322.1134987245443</v>
      </c>
      <c r="I374" s="7" t="n">
        <v>1.5</v>
      </c>
      <c r="J374" s="9" t="n">
        <v>0.021</v>
      </c>
      <c r="K374" s="49" t="inlineStr">
        <is>
          <t>Success</t>
        </is>
      </c>
      <c r="L374" s="7" t="n">
        <v>0.4831702480868164</v>
      </c>
      <c r="M374" s="7" t="n">
        <v>0.9663404961736328</v>
      </c>
      <c r="N374" s="7" t="n">
        <v>3.865361984694531</v>
      </c>
    </row>
    <row r="375" ht="18" customHeight="1">
      <c r="A375" s="49" t="inlineStr">
        <is>
          <t>ACE-10374</t>
        </is>
      </c>
      <c r="B375" s="49" t="inlineStr">
        <is>
          <t>2026-05-15 08:07:59</t>
        </is>
      </c>
      <c r="C375" s="49" t="inlineStr">
        <is>
          <t>CUST-60353</t>
        </is>
      </c>
      <c r="D375" s="49" t="inlineStr">
        <is>
          <t>EUR-PKR</t>
        </is>
      </c>
      <c r="E375" s="49" t="inlineStr">
        <is>
          <t>EUR</t>
        </is>
      </c>
      <c r="F375" s="7" t="n">
        <v>208.0859373621482</v>
      </c>
      <c r="G375" s="8" t="n">
        <v>0.85</v>
      </c>
      <c r="H375" s="7" t="n">
        <v>176.8730467578259</v>
      </c>
      <c r="I375" s="7" t="n">
        <v>1.275</v>
      </c>
      <c r="J375" s="9" t="n">
        <v>0.023</v>
      </c>
      <c r="K375" s="49" t="inlineStr">
        <is>
          <t>Success</t>
        </is>
      </c>
      <c r="L375" s="7" t="n">
        <v>0.2653095701367389</v>
      </c>
      <c r="M375" s="7" t="n">
        <v>0</v>
      </c>
      <c r="N375" s="7" t="n">
        <v>2.653095701367389</v>
      </c>
    </row>
    <row r="376" ht="18" customHeight="1">
      <c r="A376" s="49" t="inlineStr">
        <is>
          <t>ACE-10375</t>
        </is>
      </c>
      <c r="B376" s="49" t="inlineStr">
        <is>
          <t>2026-05-14 11:44:58</t>
        </is>
      </c>
      <c r="C376" s="49" t="inlineStr">
        <is>
          <t>CUST-58645</t>
        </is>
      </c>
      <c r="D376" s="49" t="inlineStr">
        <is>
          <t>GBP-PKR</t>
        </is>
      </c>
      <c r="E376" s="49" t="inlineStr">
        <is>
          <t>GBP</t>
        </is>
      </c>
      <c r="F376" s="7" t="n">
        <v>345.5398058666186</v>
      </c>
      <c r="G376" s="8" t="n">
        <v>1</v>
      </c>
      <c r="H376" s="7" t="n">
        <v>345.5398058666186</v>
      </c>
      <c r="I376" s="7" t="n">
        <v>1.5</v>
      </c>
      <c r="J376" s="9" t="n">
        <v>0.021</v>
      </c>
      <c r="K376" s="49" t="inlineStr">
        <is>
          <t>Success</t>
        </is>
      </c>
      <c r="L376" s="7" t="n">
        <v>0.5183097087999279</v>
      </c>
      <c r="M376" s="7" t="n">
        <v>0</v>
      </c>
      <c r="N376" s="7" t="n">
        <v>4.146477670399423</v>
      </c>
    </row>
    <row r="377" ht="18" customHeight="1">
      <c r="A377" s="49" t="inlineStr">
        <is>
          <t>ACE-10376</t>
        </is>
      </c>
      <c r="B377" s="49" t="inlineStr">
        <is>
          <t>2026-05-09 09:41:23</t>
        </is>
      </c>
      <c r="C377" s="49" t="inlineStr">
        <is>
          <t>CUST-66409</t>
        </is>
      </c>
      <c r="D377" s="49" t="inlineStr">
        <is>
          <t>USD-PKR</t>
        </is>
      </c>
      <c r="E377" s="49" t="inlineStr">
        <is>
          <t>USD</t>
        </is>
      </c>
      <c r="F377" s="7" t="n">
        <v>202.7335975940544</v>
      </c>
      <c r="G377" s="8" t="n">
        <v>0.8</v>
      </c>
      <c r="H377" s="7" t="n">
        <v>162.1868780752435</v>
      </c>
      <c r="I377" s="7" t="n">
        <v>1.6</v>
      </c>
      <c r="J377" s="9" t="n">
        <v>0.019</v>
      </c>
      <c r="K377" s="49" t="inlineStr">
        <is>
          <t>Success</t>
        </is>
      </c>
      <c r="L377" s="7" t="n">
        <v>0.2432803171128652</v>
      </c>
      <c r="M377" s="7" t="n">
        <v>0.4865606342257305</v>
      </c>
      <c r="N377" s="7" t="n">
        <v>1.946242536902922</v>
      </c>
    </row>
    <row r="378" ht="18" customHeight="1">
      <c r="A378" s="49" t="inlineStr">
        <is>
          <t>ACE-10377</t>
        </is>
      </c>
      <c r="B378" s="49" t="inlineStr">
        <is>
          <t>2026-05-21 10:03:25</t>
        </is>
      </c>
      <c r="C378" s="49" t="inlineStr">
        <is>
          <t>CUST-90999</t>
        </is>
      </c>
      <c r="D378" s="49" t="inlineStr">
        <is>
          <t>USD-PKR</t>
        </is>
      </c>
      <c r="E378" s="49" t="inlineStr">
        <is>
          <t>USD</t>
        </is>
      </c>
      <c r="F378" s="7" t="n">
        <v>238.8557014625607</v>
      </c>
      <c r="G378" s="8" t="n">
        <v>0.8</v>
      </c>
      <c r="H378" s="7" t="n">
        <v>191.0845611700485</v>
      </c>
      <c r="I378" s="7" t="n">
        <v>1.6</v>
      </c>
      <c r="J378" s="9" t="n">
        <v>0.019</v>
      </c>
      <c r="K378" s="49" t="inlineStr">
        <is>
          <t>Success</t>
        </is>
      </c>
      <c r="L378" s="7" t="n">
        <v>0.2866268417550728</v>
      </c>
      <c r="M378" s="7" t="n">
        <v>0.5732536835101456</v>
      </c>
      <c r="N378" s="7" t="n">
        <v>2.293014734040582</v>
      </c>
    </row>
    <row r="379" ht="18" customHeight="1">
      <c r="A379" s="49" t="inlineStr">
        <is>
          <t>ACE-10378</t>
        </is>
      </c>
      <c r="B379" s="49" t="inlineStr">
        <is>
          <t>2026-05-08 14:41:05</t>
        </is>
      </c>
      <c r="C379" s="49" t="inlineStr">
        <is>
          <t>CUST-96117</t>
        </is>
      </c>
      <c r="D379" s="49" t="inlineStr">
        <is>
          <t>GBP-PKR</t>
        </is>
      </c>
      <c r="E379" s="49" t="inlineStr">
        <is>
          <t>GBP</t>
        </is>
      </c>
      <c r="F379" s="7" t="n">
        <v>283.7585792960418</v>
      </c>
      <c r="G379" s="8" t="n">
        <v>1</v>
      </c>
      <c r="H379" s="7" t="n">
        <v>283.7585792960418</v>
      </c>
      <c r="I379" s="7" t="n">
        <v>1.5</v>
      </c>
      <c r="J379" s="9" t="n">
        <v>0.021</v>
      </c>
      <c r="K379" s="49" t="inlineStr">
        <is>
          <t>Success</t>
        </is>
      </c>
      <c r="L379" s="7" t="n">
        <v>0.4256378689440627</v>
      </c>
      <c r="M379" s="7" t="n">
        <v>0</v>
      </c>
      <c r="N379" s="7" t="n">
        <v>3.405102951552502</v>
      </c>
    </row>
    <row r="380" ht="18" customHeight="1">
      <c r="A380" s="49" t="inlineStr">
        <is>
          <t>ACE-10379</t>
        </is>
      </c>
      <c r="B380" s="49" t="inlineStr">
        <is>
          <t>2026-05-03 10:37:14</t>
        </is>
      </c>
      <c r="C380" s="49" t="inlineStr">
        <is>
          <t>CUST-84042</t>
        </is>
      </c>
      <c r="D380" s="49" t="inlineStr">
        <is>
          <t>GBP-PKR</t>
        </is>
      </c>
      <c r="E380" s="49" t="inlineStr">
        <is>
          <t>GBP</t>
        </is>
      </c>
      <c r="F380" s="7" t="n">
        <v>346.8075088508385</v>
      </c>
      <c r="G380" s="8" t="n">
        <v>1</v>
      </c>
      <c r="H380" s="7" t="n">
        <v>346.8075088508385</v>
      </c>
      <c r="I380" s="7" t="n">
        <v>1.5</v>
      </c>
      <c r="J380" s="9" t="n">
        <v>0.021</v>
      </c>
      <c r="K380" s="49" t="inlineStr">
        <is>
          <t>Success</t>
        </is>
      </c>
      <c r="L380" s="7" t="n">
        <v>0.5202112632762578</v>
      </c>
      <c r="M380" s="7" t="n">
        <v>0</v>
      </c>
      <c r="N380" s="7" t="n">
        <v>4.161690106210062</v>
      </c>
    </row>
    <row r="381" ht="18" customHeight="1">
      <c r="A381" s="49" t="inlineStr">
        <is>
          <t>ACE-10380</t>
        </is>
      </c>
      <c r="B381" s="49" t="inlineStr">
        <is>
          <t>2026-05-23 13:52:07</t>
        </is>
      </c>
      <c r="C381" s="49" t="inlineStr">
        <is>
          <t>CUST-77676</t>
        </is>
      </c>
      <c r="D381" s="49" t="inlineStr">
        <is>
          <t>USD-PKR</t>
        </is>
      </c>
      <c r="E381" s="49" t="inlineStr">
        <is>
          <t>USD</t>
        </is>
      </c>
      <c r="F381" s="7" t="n">
        <v>201.9050864294269</v>
      </c>
      <c r="G381" s="8" t="n">
        <v>0.8</v>
      </c>
      <c r="H381" s="7" t="n">
        <v>161.5240691435416</v>
      </c>
      <c r="I381" s="7" t="n">
        <v>1.6</v>
      </c>
      <c r="J381" s="9" t="n">
        <v>0.019</v>
      </c>
      <c r="K381" s="49" t="inlineStr">
        <is>
          <t>Success</t>
        </is>
      </c>
      <c r="L381" s="7" t="n">
        <v>0.2422861037153124</v>
      </c>
      <c r="M381" s="7" t="n">
        <v>0</v>
      </c>
      <c r="N381" s="7" t="n">
        <v>1.938288829722499</v>
      </c>
    </row>
    <row r="382" ht="18" customHeight="1">
      <c r="A382" s="49" t="inlineStr">
        <is>
          <t>ACE-10381</t>
        </is>
      </c>
      <c r="B382" s="49" t="inlineStr">
        <is>
          <t>2026-05-08 14:05:46</t>
        </is>
      </c>
      <c r="C382" s="49" t="inlineStr">
        <is>
          <t>CUST-56712</t>
        </is>
      </c>
      <c r="D382" s="49" t="inlineStr">
        <is>
          <t>EUR-PKR</t>
        </is>
      </c>
      <c r="E382" s="49" t="inlineStr">
        <is>
          <t>EUR</t>
        </is>
      </c>
      <c r="F382" s="7" t="n">
        <v>173.8254940039344</v>
      </c>
      <c r="G382" s="8" t="n">
        <v>0.85</v>
      </c>
      <c r="H382" s="7" t="n">
        <v>147.7516699033442</v>
      </c>
      <c r="I382" s="7" t="n">
        <v>1.275</v>
      </c>
      <c r="J382" s="9" t="n">
        <v>0.023</v>
      </c>
      <c r="K382" s="49" t="inlineStr">
        <is>
          <t>Success</t>
        </is>
      </c>
      <c r="L382" s="7" t="n">
        <v>0.2216275048550164</v>
      </c>
      <c r="M382" s="7" t="n">
        <v>0</v>
      </c>
      <c r="N382" s="7" t="n">
        <v>2.216275048550163</v>
      </c>
    </row>
    <row r="383" ht="18" customHeight="1">
      <c r="A383" s="49" t="inlineStr">
        <is>
          <t>ACE-10382</t>
        </is>
      </c>
      <c r="B383" s="49" t="inlineStr">
        <is>
          <t>2026-05-10 10:24:49</t>
        </is>
      </c>
      <c r="C383" s="49" t="inlineStr">
        <is>
          <t>CUST-99358</t>
        </is>
      </c>
      <c r="D383" s="49" t="inlineStr">
        <is>
          <t>GBP-PKR</t>
        </is>
      </c>
      <c r="E383" s="49" t="inlineStr">
        <is>
          <t>GBP</t>
        </is>
      </c>
      <c r="F383" s="7" t="n">
        <v>262.3948259310217</v>
      </c>
      <c r="G383" s="8" t="n">
        <v>1</v>
      </c>
      <c r="H383" s="7" t="n">
        <v>262.3948259310217</v>
      </c>
      <c r="I383" s="7" t="n">
        <v>1.5</v>
      </c>
      <c r="J383" s="9" t="n">
        <v>0.021</v>
      </c>
      <c r="K383" s="49" t="inlineStr">
        <is>
          <t>Success</t>
        </is>
      </c>
      <c r="L383" s="7" t="n">
        <v>0.3935922388965325</v>
      </c>
      <c r="M383" s="7" t="n">
        <v>0.787184477793065</v>
      </c>
      <c r="N383" s="7" t="n">
        <v>3.14873791117226</v>
      </c>
    </row>
    <row r="384" ht="18" customHeight="1">
      <c r="A384" s="49" t="inlineStr">
        <is>
          <t>ACE-10383</t>
        </is>
      </c>
      <c r="B384" s="49" t="inlineStr">
        <is>
          <t>2026-05-22 10:04:33</t>
        </is>
      </c>
      <c r="C384" s="49" t="inlineStr">
        <is>
          <t>CUST-86915</t>
        </is>
      </c>
      <c r="D384" s="49" t="inlineStr">
        <is>
          <t>GBP-PKR</t>
        </is>
      </c>
      <c r="E384" s="49" t="inlineStr">
        <is>
          <t>GBP</t>
        </is>
      </c>
      <c r="F384" s="7" t="n">
        <v>225.2926065188212</v>
      </c>
      <c r="G384" s="8" t="n">
        <v>1</v>
      </c>
      <c r="H384" s="7" t="n">
        <v>225.2926065188212</v>
      </c>
      <c r="I384" s="7" t="n">
        <v>1.5</v>
      </c>
      <c r="J384" s="9" t="n">
        <v>0.021</v>
      </c>
      <c r="K384" s="49" t="inlineStr">
        <is>
          <t>Failed</t>
        </is>
      </c>
      <c r="L384" s="7" t="n">
        <v>0</v>
      </c>
      <c r="M384" s="7" t="n">
        <v>0</v>
      </c>
      <c r="N384" s="7" t="n">
        <v>0.5</v>
      </c>
    </row>
    <row r="385" ht="18" customHeight="1">
      <c r="A385" s="49" t="inlineStr">
        <is>
          <t>ACE-10384</t>
        </is>
      </c>
      <c r="B385" s="49" t="inlineStr">
        <is>
          <t>2026-05-21 10:28:22</t>
        </is>
      </c>
      <c r="C385" s="49" t="inlineStr">
        <is>
          <t>CUST-97345</t>
        </is>
      </c>
      <c r="D385" s="49" t="inlineStr">
        <is>
          <t>GBP-PKR</t>
        </is>
      </c>
      <c r="E385" s="49" t="inlineStr">
        <is>
          <t>GBP</t>
        </is>
      </c>
      <c r="F385" s="7" t="n">
        <v>264.3341707517621</v>
      </c>
      <c r="G385" s="8" t="n">
        <v>1</v>
      </c>
      <c r="H385" s="7" t="n">
        <v>264.3341707517621</v>
      </c>
      <c r="I385" s="7" t="n">
        <v>1.5</v>
      </c>
      <c r="J385" s="9" t="n">
        <v>0.021</v>
      </c>
      <c r="K385" s="49" t="inlineStr">
        <is>
          <t>Success</t>
        </is>
      </c>
      <c r="L385" s="7" t="n">
        <v>0.3965012561276432</v>
      </c>
      <c r="M385" s="7" t="n">
        <v>0.7930025122552864</v>
      </c>
      <c r="N385" s="7" t="n">
        <v>3.172010049021146</v>
      </c>
    </row>
    <row r="386" ht="18" customHeight="1">
      <c r="A386" s="49" t="inlineStr">
        <is>
          <t>ACE-10385</t>
        </is>
      </c>
      <c r="B386" s="49" t="inlineStr">
        <is>
          <t>2026-05-14 17:43:28</t>
        </is>
      </c>
      <c r="C386" s="49" t="inlineStr">
        <is>
          <t>CUST-64237</t>
        </is>
      </c>
      <c r="D386" s="49" t="inlineStr">
        <is>
          <t>EUR-PKR</t>
        </is>
      </c>
      <c r="E386" s="49" t="inlineStr">
        <is>
          <t>EUR</t>
        </is>
      </c>
      <c r="F386" s="7" t="n">
        <v>175.2319992603786</v>
      </c>
      <c r="G386" s="8" t="n">
        <v>0.85</v>
      </c>
      <c r="H386" s="7" t="n">
        <v>148.9471993713218</v>
      </c>
      <c r="I386" s="7" t="n">
        <v>1.275</v>
      </c>
      <c r="J386" s="9" t="n">
        <v>0.023</v>
      </c>
      <c r="K386" s="49" t="inlineStr">
        <is>
          <t>Success</t>
        </is>
      </c>
      <c r="L386" s="7" t="n">
        <v>0.2234207990569828</v>
      </c>
      <c r="M386" s="7" t="n">
        <v>0</v>
      </c>
      <c r="N386" s="7" t="n">
        <v>2.234207990569828</v>
      </c>
    </row>
    <row r="387" ht="18" customHeight="1">
      <c r="A387" s="49" t="inlineStr">
        <is>
          <t>ACE-10386</t>
        </is>
      </c>
      <c r="B387" s="49" t="inlineStr">
        <is>
          <t>2026-05-04 17:46:24</t>
        </is>
      </c>
      <c r="C387" s="49" t="inlineStr">
        <is>
          <t>CUST-73038</t>
        </is>
      </c>
      <c r="D387" s="49" t="inlineStr">
        <is>
          <t>GBP-PKR</t>
        </is>
      </c>
      <c r="E387" s="49" t="inlineStr">
        <is>
          <t>GBP</t>
        </is>
      </c>
      <c r="F387" s="7" t="n">
        <v>282.8251838375371</v>
      </c>
      <c r="G387" s="8" t="n">
        <v>1</v>
      </c>
      <c r="H387" s="7" t="n">
        <v>282.8251838375371</v>
      </c>
      <c r="I387" s="7" t="n">
        <v>1.5</v>
      </c>
      <c r="J387" s="9" t="n">
        <v>0.021</v>
      </c>
      <c r="K387" s="49" t="inlineStr">
        <is>
          <t>Success</t>
        </is>
      </c>
      <c r="L387" s="7" t="n">
        <v>0.4242377757563056</v>
      </c>
      <c r="M387" s="7" t="n">
        <v>0</v>
      </c>
      <c r="N387" s="7" t="n">
        <v>3.393902206050445</v>
      </c>
    </row>
    <row r="388" ht="18" customHeight="1">
      <c r="A388" s="49" t="inlineStr">
        <is>
          <t>ACE-10387</t>
        </is>
      </c>
      <c r="B388" s="49" t="inlineStr">
        <is>
          <t>2026-05-05 11:17:41</t>
        </is>
      </c>
      <c r="C388" s="49" t="inlineStr">
        <is>
          <t>CUST-55521</t>
        </is>
      </c>
      <c r="D388" s="49" t="inlineStr">
        <is>
          <t>GBP-PKR</t>
        </is>
      </c>
      <c r="E388" s="49" t="inlineStr">
        <is>
          <t>GBP</t>
        </is>
      </c>
      <c r="F388" s="7" t="n">
        <v>288.2895049474136</v>
      </c>
      <c r="G388" s="8" t="n">
        <v>1</v>
      </c>
      <c r="H388" s="7" t="n">
        <v>288.2895049474136</v>
      </c>
      <c r="I388" s="7" t="n">
        <v>1.5</v>
      </c>
      <c r="J388" s="9" t="n">
        <v>0.021</v>
      </c>
      <c r="K388" s="49" t="inlineStr">
        <is>
          <t>Success</t>
        </is>
      </c>
      <c r="L388" s="7" t="n">
        <v>0.4324342574211204</v>
      </c>
      <c r="M388" s="7" t="n">
        <v>0.8648685148422408</v>
      </c>
      <c r="N388" s="7" t="n">
        <v>3.459474059368963</v>
      </c>
    </row>
    <row r="389" ht="18" customHeight="1">
      <c r="A389" s="49" t="inlineStr">
        <is>
          <t>ACE-10388</t>
        </is>
      </c>
      <c r="B389" s="49" t="inlineStr">
        <is>
          <t>2026-05-24 17:18:49</t>
        </is>
      </c>
      <c r="C389" s="49" t="inlineStr">
        <is>
          <t>CUST-95251</t>
        </is>
      </c>
      <c r="D389" s="49" t="inlineStr">
        <is>
          <t>GBP-PKR</t>
        </is>
      </c>
      <c r="E389" s="49" t="inlineStr">
        <is>
          <t>GBP</t>
        </is>
      </c>
      <c r="F389" s="7" t="n">
        <v>336.0993117888259</v>
      </c>
      <c r="G389" s="8" t="n">
        <v>1</v>
      </c>
      <c r="H389" s="7" t="n">
        <v>336.0993117888259</v>
      </c>
      <c r="I389" s="7" t="n">
        <v>1.5</v>
      </c>
      <c r="J389" s="9" t="n">
        <v>0.021</v>
      </c>
      <c r="K389" s="49" t="inlineStr">
        <is>
          <t>Success</t>
        </is>
      </c>
      <c r="L389" s="7" t="n">
        <v>0.5041489676832389</v>
      </c>
      <c r="M389" s="7" t="n">
        <v>1.008297935366478</v>
      </c>
      <c r="N389" s="7" t="n">
        <v>4.033191741465911</v>
      </c>
    </row>
    <row r="390" ht="18" customHeight="1">
      <c r="A390" s="49" t="inlineStr">
        <is>
          <t>ACE-10389</t>
        </is>
      </c>
      <c r="B390" s="49" t="inlineStr">
        <is>
          <t>2026-05-10 11:33:38</t>
        </is>
      </c>
      <c r="C390" s="49" t="inlineStr">
        <is>
          <t>CUST-83392</t>
        </is>
      </c>
      <c r="D390" s="49" t="inlineStr">
        <is>
          <t>GBP-PKR</t>
        </is>
      </c>
      <c r="E390" s="49" t="inlineStr">
        <is>
          <t>GBP</t>
        </is>
      </c>
      <c r="F390" s="7" t="n">
        <v>306.3817847922629</v>
      </c>
      <c r="G390" s="8" t="n">
        <v>1</v>
      </c>
      <c r="H390" s="7" t="n">
        <v>306.3817847922629</v>
      </c>
      <c r="I390" s="7" t="n">
        <v>1.5</v>
      </c>
      <c r="J390" s="9" t="n">
        <v>0.021</v>
      </c>
      <c r="K390" s="49" t="inlineStr">
        <is>
          <t>Success</t>
        </is>
      </c>
      <c r="L390" s="7" t="n">
        <v>0.4595726771883943</v>
      </c>
      <c r="M390" s="7" t="n">
        <v>0</v>
      </c>
      <c r="N390" s="7" t="n">
        <v>3.676581417507154</v>
      </c>
    </row>
    <row r="391" ht="18" customHeight="1">
      <c r="A391" s="49" t="inlineStr">
        <is>
          <t>ACE-10390</t>
        </is>
      </c>
      <c r="B391" s="49" t="inlineStr">
        <is>
          <t>2026-05-21 08:50:57</t>
        </is>
      </c>
      <c r="C391" s="49" t="inlineStr">
        <is>
          <t>CUST-65685</t>
        </is>
      </c>
      <c r="D391" s="49" t="inlineStr">
        <is>
          <t>GBP-PKR</t>
        </is>
      </c>
      <c r="E391" s="49" t="inlineStr">
        <is>
          <t>GBP</t>
        </is>
      </c>
      <c r="F391" s="7" t="n">
        <v>262.9855894216536</v>
      </c>
      <c r="G391" s="8" t="n">
        <v>1</v>
      </c>
      <c r="H391" s="7" t="n">
        <v>262.9855894216536</v>
      </c>
      <c r="I391" s="7" t="n">
        <v>1.5</v>
      </c>
      <c r="J391" s="9" t="n">
        <v>0.021</v>
      </c>
      <c r="K391" s="49" t="inlineStr">
        <is>
          <t>Success</t>
        </is>
      </c>
      <c r="L391" s="7" t="n">
        <v>0.3944783841324804</v>
      </c>
      <c r="M391" s="7" t="n">
        <v>0</v>
      </c>
      <c r="N391" s="7" t="n">
        <v>3.155827073059843</v>
      </c>
    </row>
    <row r="392" ht="18" customHeight="1">
      <c r="A392" s="49" t="inlineStr">
        <is>
          <t>ACE-10391</t>
        </is>
      </c>
      <c r="B392" s="49" t="inlineStr">
        <is>
          <t>2026-05-16 18:38:04</t>
        </is>
      </c>
      <c r="C392" s="49" t="inlineStr">
        <is>
          <t>CUST-84621</t>
        </is>
      </c>
      <c r="D392" s="49" t="inlineStr">
        <is>
          <t>GBP-PKR</t>
        </is>
      </c>
      <c r="E392" s="49" t="inlineStr">
        <is>
          <t>GBP</t>
        </is>
      </c>
      <c r="F392" s="7" t="n">
        <v>254.6647911900747</v>
      </c>
      <c r="G392" s="8" t="n">
        <v>1</v>
      </c>
      <c r="H392" s="7" t="n">
        <v>254.6647911900747</v>
      </c>
      <c r="I392" s="7" t="n">
        <v>1.5</v>
      </c>
      <c r="J392" s="9" t="n">
        <v>0.021</v>
      </c>
      <c r="K392" s="49" t="inlineStr">
        <is>
          <t>Success</t>
        </is>
      </c>
      <c r="L392" s="7" t="n">
        <v>0.3819971867851121</v>
      </c>
      <c r="M392" s="7" t="n">
        <v>0</v>
      </c>
      <c r="N392" s="7" t="n">
        <v>3.055977494280897</v>
      </c>
    </row>
    <row r="393" ht="18" customHeight="1">
      <c r="A393" s="49" t="inlineStr">
        <is>
          <t>ACE-10392</t>
        </is>
      </c>
      <c r="B393" s="49" t="inlineStr">
        <is>
          <t>2026-05-12 13:08:24</t>
        </is>
      </c>
      <c r="C393" s="49" t="inlineStr">
        <is>
          <t>CUST-87249</t>
        </is>
      </c>
      <c r="D393" s="49" t="inlineStr">
        <is>
          <t>USD-PKR</t>
        </is>
      </c>
      <c r="E393" s="49" t="inlineStr">
        <is>
          <t>USD</t>
        </is>
      </c>
      <c r="F393" s="7" t="n">
        <v>229.9402433174444</v>
      </c>
      <c r="G393" s="8" t="n">
        <v>0.8</v>
      </c>
      <c r="H393" s="7" t="n">
        <v>183.9521946539556</v>
      </c>
      <c r="I393" s="7" t="n">
        <v>1.6</v>
      </c>
      <c r="J393" s="9" t="n">
        <v>0.019</v>
      </c>
      <c r="K393" s="49" t="inlineStr">
        <is>
          <t>Success</t>
        </is>
      </c>
      <c r="L393" s="7" t="n">
        <v>0.2759282919809333</v>
      </c>
      <c r="M393" s="7" t="n">
        <v>0</v>
      </c>
      <c r="N393" s="7" t="n">
        <v>2.207426335847467</v>
      </c>
    </row>
    <row r="394" ht="18" customHeight="1">
      <c r="A394" s="49" t="inlineStr">
        <is>
          <t>ACE-10393</t>
        </is>
      </c>
      <c r="B394" s="49" t="inlineStr">
        <is>
          <t>2026-05-06 20:30:49</t>
        </is>
      </c>
      <c r="C394" s="49" t="inlineStr">
        <is>
          <t>CUST-54783</t>
        </is>
      </c>
      <c r="D394" s="49" t="inlineStr">
        <is>
          <t>GBP-PKR</t>
        </is>
      </c>
      <c r="E394" s="49" t="inlineStr">
        <is>
          <t>GBP</t>
        </is>
      </c>
      <c r="F394" s="7" t="n">
        <v>244.1459695951829</v>
      </c>
      <c r="G394" s="8" t="n">
        <v>1</v>
      </c>
      <c r="H394" s="7" t="n">
        <v>244.1459695951829</v>
      </c>
      <c r="I394" s="7" t="n">
        <v>1.5</v>
      </c>
      <c r="J394" s="9" t="n">
        <v>0.021</v>
      </c>
      <c r="K394" s="49" t="inlineStr">
        <is>
          <t>Failed</t>
        </is>
      </c>
      <c r="L394" s="7" t="n">
        <v>0</v>
      </c>
      <c r="M394" s="7" t="n">
        <v>0</v>
      </c>
      <c r="N394" s="7" t="n">
        <v>0.5</v>
      </c>
    </row>
    <row r="395" ht="18" customHeight="1">
      <c r="A395" s="49" t="inlineStr">
        <is>
          <t>ACE-10394</t>
        </is>
      </c>
      <c r="B395" s="49" t="inlineStr">
        <is>
          <t>2026-05-03 08:16:13</t>
        </is>
      </c>
      <c r="C395" s="49" t="inlineStr">
        <is>
          <t>CUST-52610</t>
        </is>
      </c>
      <c r="D395" s="49" t="inlineStr">
        <is>
          <t>GBP-PKR</t>
        </is>
      </c>
      <c r="E395" s="49" t="inlineStr">
        <is>
          <t>GBP</t>
        </is>
      </c>
      <c r="F395" s="7" t="n">
        <v>334.599896676192</v>
      </c>
      <c r="G395" s="8" t="n">
        <v>1</v>
      </c>
      <c r="H395" s="7" t="n">
        <v>334.599896676192</v>
      </c>
      <c r="I395" s="7" t="n">
        <v>1.5</v>
      </c>
      <c r="J395" s="9" t="n">
        <v>0.021</v>
      </c>
      <c r="K395" s="49" t="inlineStr">
        <is>
          <t>Success</t>
        </is>
      </c>
      <c r="L395" s="7" t="n">
        <v>0.5018998450142881</v>
      </c>
      <c r="M395" s="7" t="n">
        <v>1.003799690028576</v>
      </c>
      <c r="N395" s="7" t="n">
        <v>4.015198760114305</v>
      </c>
    </row>
    <row r="396" ht="18" customHeight="1">
      <c r="A396" s="49" t="inlineStr">
        <is>
          <t>ACE-10395</t>
        </is>
      </c>
      <c r="B396" s="49" t="inlineStr">
        <is>
          <t>2026-05-13 16:18:40</t>
        </is>
      </c>
      <c r="C396" s="49" t="inlineStr">
        <is>
          <t>CUST-96702</t>
        </is>
      </c>
      <c r="D396" s="49" t="inlineStr">
        <is>
          <t>GBP-PKR</t>
        </is>
      </c>
      <c r="E396" s="49" t="inlineStr">
        <is>
          <t>GBP</t>
        </is>
      </c>
      <c r="F396" s="7" t="n">
        <v>313.4793896728129</v>
      </c>
      <c r="G396" s="8" t="n">
        <v>1</v>
      </c>
      <c r="H396" s="7" t="n">
        <v>313.4793896728129</v>
      </c>
      <c r="I396" s="7" t="n">
        <v>1.5</v>
      </c>
      <c r="J396" s="9" t="n">
        <v>0.021</v>
      </c>
      <c r="K396" s="49" t="inlineStr">
        <is>
          <t>Success</t>
        </is>
      </c>
      <c r="L396" s="7" t="n">
        <v>0.4702190845092193</v>
      </c>
      <c r="M396" s="7" t="n">
        <v>0</v>
      </c>
      <c r="N396" s="7" t="n">
        <v>3.761752676073755</v>
      </c>
    </row>
    <row r="397" ht="18" customHeight="1">
      <c r="A397" s="49" t="inlineStr">
        <is>
          <t>ACE-10396</t>
        </is>
      </c>
      <c r="B397" s="49" t="inlineStr">
        <is>
          <t>2026-05-23 14:05:40</t>
        </is>
      </c>
      <c r="C397" s="49" t="inlineStr">
        <is>
          <t>CUST-85164</t>
        </is>
      </c>
      <c r="D397" s="49" t="inlineStr">
        <is>
          <t>GBP-PKR</t>
        </is>
      </c>
      <c r="E397" s="49" t="inlineStr">
        <is>
          <t>GBP</t>
        </is>
      </c>
      <c r="F397" s="7" t="n">
        <v>265.8339957822893</v>
      </c>
      <c r="G397" s="8" t="n">
        <v>1</v>
      </c>
      <c r="H397" s="7" t="n">
        <v>265.8339957822893</v>
      </c>
      <c r="I397" s="7" t="n">
        <v>1.5</v>
      </c>
      <c r="J397" s="9" t="n">
        <v>0.021</v>
      </c>
      <c r="K397" s="49" t="inlineStr">
        <is>
          <t>Success</t>
        </is>
      </c>
      <c r="L397" s="7" t="n">
        <v>0.398750993673434</v>
      </c>
      <c r="M397" s="7" t="n">
        <v>0</v>
      </c>
      <c r="N397" s="7" t="n">
        <v>3.190007949387472</v>
      </c>
    </row>
    <row r="398" ht="18" customHeight="1">
      <c r="A398" s="49" t="inlineStr">
        <is>
          <t>ACE-10397</t>
        </is>
      </c>
      <c r="B398" s="49" t="inlineStr">
        <is>
          <t>2026-05-03 12:05:32</t>
        </is>
      </c>
      <c r="C398" s="49" t="inlineStr">
        <is>
          <t>CUST-63316</t>
        </is>
      </c>
      <c r="D398" s="49" t="inlineStr">
        <is>
          <t>GBP-PKR</t>
        </is>
      </c>
      <c r="E398" s="49" t="inlineStr">
        <is>
          <t>GBP</t>
        </is>
      </c>
      <c r="F398" s="7" t="n">
        <v>234.7394440396687</v>
      </c>
      <c r="G398" s="8" t="n">
        <v>1</v>
      </c>
      <c r="H398" s="7" t="n">
        <v>234.7394440396687</v>
      </c>
      <c r="I398" s="7" t="n">
        <v>1.5</v>
      </c>
      <c r="J398" s="9" t="n">
        <v>0.021</v>
      </c>
      <c r="K398" s="49" t="inlineStr">
        <is>
          <t>Success</t>
        </is>
      </c>
      <c r="L398" s="7" t="n">
        <v>0.352109166059503</v>
      </c>
      <c r="M398" s="7" t="n">
        <v>0</v>
      </c>
      <c r="N398" s="7" t="n">
        <v>2.816873328476024</v>
      </c>
    </row>
    <row r="399" ht="18" customHeight="1">
      <c r="A399" s="49" t="inlineStr">
        <is>
          <t>ACE-10398</t>
        </is>
      </c>
      <c r="B399" s="49" t="inlineStr">
        <is>
          <t>2026-05-11 14:37:40</t>
        </is>
      </c>
      <c r="C399" s="49" t="inlineStr">
        <is>
          <t>CUST-92587</t>
        </is>
      </c>
      <c r="D399" s="49" t="inlineStr">
        <is>
          <t>GBP-PKR</t>
        </is>
      </c>
      <c r="E399" s="49" t="inlineStr">
        <is>
          <t>GBP</t>
        </is>
      </c>
      <c r="F399" s="7" t="n">
        <v>318.9954503909456</v>
      </c>
      <c r="G399" s="8" t="n">
        <v>1</v>
      </c>
      <c r="H399" s="7" t="n">
        <v>318.9954503909456</v>
      </c>
      <c r="I399" s="7" t="n">
        <v>1.5</v>
      </c>
      <c r="J399" s="9" t="n">
        <v>0.021</v>
      </c>
      <c r="K399" s="49" t="inlineStr">
        <is>
          <t>Success</t>
        </is>
      </c>
      <c r="L399" s="7" t="n">
        <v>0.4784931755864184</v>
      </c>
      <c r="M399" s="7" t="n">
        <v>0</v>
      </c>
      <c r="N399" s="7" t="n">
        <v>3.827945404691347</v>
      </c>
    </row>
    <row r="400" ht="18" customHeight="1">
      <c r="A400" s="49" t="inlineStr">
        <is>
          <t>ACE-10399</t>
        </is>
      </c>
      <c r="B400" s="49" t="inlineStr">
        <is>
          <t>2026-05-23 14:46:54</t>
        </is>
      </c>
      <c r="C400" s="49" t="inlineStr">
        <is>
          <t>CUST-65639</t>
        </is>
      </c>
      <c r="D400" s="49" t="inlineStr">
        <is>
          <t>GBP-PKR</t>
        </is>
      </c>
      <c r="E400" s="49" t="inlineStr">
        <is>
          <t>GBP</t>
        </is>
      </c>
      <c r="F400" s="7" t="n">
        <v>275.4305800066875</v>
      </c>
      <c r="G400" s="8" t="n">
        <v>1</v>
      </c>
      <c r="H400" s="7" t="n">
        <v>275.4305800066875</v>
      </c>
      <c r="I400" s="7" t="n">
        <v>1.5</v>
      </c>
      <c r="J400" s="9" t="n">
        <v>0.021</v>
      </c>
      <c r="K400" s="49" t="inlineStr">
        <is>
          <t>Success</t>
        </is>
      </c>
      <c r="L400" s="7" t="n">
        <v>0.4131458700100312</v>
      </c>
      <c r="M400" s="7" t="n">
        <v>0</v>
      </c>
      <c r="N400" s="7" t="n">
        <v>3.30516696008025</v>
      </c>
    </row>
    <row r="401" ht="18" customHeight="1">
      <c r="A401" s="49" t="inlineStr">
        <is>
          <t>ACE-10400</t>
        </is>
      </c>
      <c r="B401" s="49" t="inlineStr">
        <is>
          <t>2026-05-14 09:29:39</t>
        </is>
      </c>
      <c r="C401" s="49" t="inlineStr">
        <is>
          <t>CUST-89900</t>
        </is>
      </c>
      <c r="D401" s="49" t="inlineStr">
        <is>
          <t>EUR-PKR</t>
        </is>
      </c>
      <c r="E401" s="49" t="inlineStr">
        <is>
          <t>EUR</t>
        </is>
      </c>
      <c r="F401" s="7" t="n">
        <v>213.9635564073724</v>
      </c>
      <c r="G401" s="8" t="n">
        <v>0.85</v>
      </c>
      <c r="H401" s="7" t="n">
        <v>181.8690229462666</v>
      </c>
      <c r="I401" s="7" t="n">
        <v>1.275</v>
      </c>
      <c r="J401" s="9" t="n">
        <v>0.023</v>
      </c>
      <c r="K401" s="49" t="inlineStr">
        <is>
          <t>Success</t>
        </is>
      </c>
      <c r="L401" s="7" t="n">
        <v>0.2728035344193999</v>
      </c>
      <c r="M401" s="7" t="n">
        <v>0.5456070688387997</v>
      </c>
      <c r="N401" s="7" t="n">
        <v>2.728035344193998</v>
      </c>
    </row>
    <row r="402" ht="18" customHeight="1">
      <c r="A402" s="49" t="inlineStr">
        <is>
          <t>ACE-10401</t>
        </is>
      </c>
      <c r="B402" s="49" t="inlineStr">
        <is>
          <t>2026-05-22 19:11:07</t>
        </is>
      </c>
      <c r="C402" s="49" t="inlineStr">
        <is>
          <t>CUST-50830</t>
        </is>
      </c>
      <c r="D402" s="49" t="inlineStr">
        <is>
          <t>USD-PKR</t>
        </is>
      </c>
      <c r="E402" s="49" t="inlineStr">
        <is>
          <t>USD</t>
        </is>
      </c>
      <c r="F402" s="7" t="n">
        <v>186.6405884320075</v>
      </c>
      <c r="G402" s="8" t="n">
        <v>0.8</v>
      </c>
      <c r="H402" s="7" t="n">
        <v>149.312470745606</v>
      </c>
      <c r="I402" s="7" t="n">
        <v>1.6</v>
      </c>
      <c r="J402" s="9" t="n">
        <v>0.019</v>
      </c>
      <c r="K402" s="49" t="inlineStr">
        <is>
          <t>Success</t>
        </is>
      </c>
      <c r="L402" s="7" t="n">
        <v>0.223968706118409</v>
      </c>
      <c r="M402" s="7" t="n">
        <v>0.447937412236818</v>
      </c>
      <c r="N402" s="7" t="n">
        <v>1.791749648947272</v>
      </c>
    </row>
    <row r="403" ht="18" customHeight="1">
      <c r="A403" s="49" t="inlineStr">
        <is>
          <t>ACE-10402</t>
        </is>
      </c>
      <c r="B403" s="49" t="inlineStr">
        <is>
          <t>2026-05-06 15:22:33</t>
        </is>
      </c>
      <c r="C403" s="49" t="inlineStr">
        <is>
          <t>CUST-83896</t>
        </is>
      </c>
      <c r="D403" s="49" t="inlineStr">
        <is>
          <t>GBP-PKR</t>
        </is>
      </c>
      <c r="E403" s="49" t="inlineStr">
        <is>
          <t>GBP</t>
        </is>
      </c>
      <c r="F403" s="7" t="n">
        <v>262.3952883364552</v>
      </c>
      <c r="G403" s="8" t="n">
        <v>1</v>
      </c>
      <c r="H403" s="7" t="n">
        <v>262.3952883364552</v>
      </c>
      <c r="I403" s="7" t="n">
        <v>1.5</v>
      </c>
      <c r="J403" s="9" t="n">
        <v>0.021</v>
      </c>
      <c r="K403" s="49" t="inlineStr">
        <is>
          <t>Success</t>
        </is>
      </c>
      <c r="L403" s="7" t="n">
        <v>0.3935929325046829</v>
      </c>
      <c r="M403" s="7" t="n">
        <v>0.7871858650093657</v>
      </c>
      <c r="N403" s="7" t="n">
        <v>3.148743460037463</v>
      </c>
    </row>
    <row r="404" ht="18" customHeight="1">
      <c r="A404" s="49" t="inlineStr">
        <is>
          <t>ACE-10403</t>
        </is>
      </c>
      <c r="B404" s="49" t="inlineStr">
        <is>
          <t>2026-05-06 13:08:47</t>
        </is>
      </c>
      <c r="C404" s="49" t="inlineStr">
        <is>
          <t>CUST-67613</t>
        </is>
      </c>
      <c r="D404" s="49" t="inlineStr">
        <is>
          <t>GBP-PKR</t>
        </is>
      </c>
      <c r="E404" s="49" t="inlineStr">
        <is>
          <t>GBP</t>
        </is>
      </c>
      <c r="F404" s="7" t="n">
        <v>278.7496237899824</v>
      </c>
      <c r="G404" s="8" t="n">
        <v>1</v>
      </c>
      <c r="H404" s="7" t="n">
        <v>278.7496237899824</v>
      </c>
      <c r="I404" s="7" t="n">
        <v>1.5</v>
      </c>
      <c r="J404" s="9" t="n">
        <v>0.021</v>
      </c>
      <c r="K404" s="49" t="inlineStr">
        <is>
          <t>Success</t>
        </is>
      </c>
      <c r="L404" s="7" t="n">
        <v>0.4181244356849735</v>
      </c>
      <c r="M404" s="7" t="n">
        <v>0</v>
      </c>
      <c r="N404" s="7" t="n">
        <v>3.344995485479788</v>
      </c>
    </row>
    <row r="405" ht="18" customHeight="1">
      <c r="A405" s="49" t="inlineStr">
        <is>
          <t>ACE-10404</t>
        </is>
      </c>
      <c r="B405" s="49" t="inlineStr">
        <is>
          <t>2026-05-01 13:51:27</t>
        </is>
      </c>
      <c r="C405" s="49" t="inlineStr">
        <is>
          <t>CUST-67824</t>
        </is>
      </c>
      <c r="D405" s="49" t="inlineStr">
        <is>
          <t>GBP-PKR</t>
        </is>
      </c>
      <c r="E405" s="49" t="inlineStr">
        <is>
          <t>GBP</t>
        </is>
      </c>
      <c r="F405" s="7" t="n">
        <v>279.9154693876677</v>
      </c>
      <c r="G405" s="8" t="n">
        <v>1</v>
      </c>
      <c r="H405" s="7" t="n">
        <v>279.9154693876677</v>
      </c>
      <c r="I405" s="7" t="n">
        <v>1.5</v>
      </c>
      <c r="J405" s="9" t="n">
        <v>0.021</v>
      </c>
      <c r="K405" s="49" t="inlineStr">
        <is>
          <t>Success</t>
        </is>
      </c>
      <c r="L405" s="7" t="n">
        <v>0.4198732040815016</v>
      </c>
      <c r="M405" s="7" t="n">
        <v>0</v>
      </c>
      <c r="N405" s="7" t="n">
        <v>3.358985632652013</v>
      </c>
    </row>
    <row r="406" ht="18" customHeight="1">
      <c r="A406" s="49" t="inlineStr">
        <is>
          <t>ACE-10405</t>
        </is>
      </c>
      <c r="B406" s="49" t="inlineStr">
        <is>
          <t>2026-05-19 18:04:31</t>
        </is>
      </c>
      <c r="C406" s="49" t="inlineStr">
        <is>
          <t>CUST-79831</t>
        </is>
      </c>
      <c r="D406" s="49" t="inlineStr">
        <is>
          <t>EUR-PKR</t>
        </is>
      </c>
      <c r="E406" s="49" t="inlineStr">
        <is>
          <t>EUR</t>
        </is>
      </c>
      <c r="F406" s="7" t="n">
        <v>180.7324073694564</v>
      </c>
      <c r="G406" s="8" t="n">
        <v>0.85</v>
      </c>
      <c r="H406" s="7" t="n">
        <v>153.6225462640379</v>
      </c>
      <c r="I406" s="7" t="n">
        <v>1.275</v>
      </c>
      <c r="J406" s="9" t="n">
        <v>0.023</v>
      </c>
      <c r="K406" s="49" t="inlineStr">
        <is>
          <t>Success</t>
        </is>
      </c>
      <c r="L406" s="7" t="n">
        <v>0.2304338193960569</v>
      </c>
      <c r="M406" s="7" t="n">
        <v>0</v>
      </c>
      <c r="N406" s="7" t="n">
        <v>2.304338193960568</v>
      </c>
    </row>
    <row r="407" ht="18" customHeight="1">
      <c r="A407" s="49" t="inlineStr">
        <is>
          <t>ACE-10406</t>
        </is>
      </c>
      <c r="B407" s="49" t="inlineStr">
        <is>
          <t>2026-05-19 10:23:10</t>
        </is>
      </c>
      <c r="C407" s="49" t="inlineStr">
        <is>
          <t>CUST-66719</t>
        </is>
      </c>
      <c r="D407" s="49" t="inlineStr">
        <is>
          <t>GBP-PKR</t>
        </is>
      </c>
      <c r="E407" s="49" t="inlineStr">
        <is>
          <t>GBP</t>
        </is>
      </c>
      <c r="F407" s="7" t="n">
        <v>296.5081176781061</v>
      </c>
      <c r="G407" s="8" t="n">
        <v>1</v>
      </c>
      <c r="H407" s="7" t="n">
        <v>296.5081176781061</v>
      </c>
      <c r="I407" s="7" t="n">
        <v>1.5</v>
      </c>
      <c r="J407" s="9" t="n">
        <v>0.021</v>
      </c>
      <c r="K407" s="49" t="inlineStr">
        <is>
          <t>Success</t>
        </is>
      </c>
      <c r="L407" s="7" t="n">
        <v>0.4447621765171592</v>
      </c>
      <c r="M407" s="7" t="n">
        <v>0.8895243530343184</v>
      </c>
      <c r="N407" s="7" t="n">
        <v>3.558097412137274</v>
      </c>
    </row>
    <row r="408" ht="18" customHeight="1">
      <c r="A408" s="49" t="inlineStr">
        <is>
          <t>ACE-10407</t>
        </is>
      </c>
      <c r="B408" s="49" t="inlineStr">
        <is>
          <t>2026-05-22 19:07:14</t>
        </is>
      </c>
      <c r="C408" s="49" t="inlineStr">
        <is>
          <t>CUST-98547</t>
        </is>
      </c>
      <c r="D408" s="49" t="inlineStr">
        <is>
          <t>GBP-PKR</t>
        </is>
      </c>
      <c r="E408" s="49" t="inlineStr">
        <is>
          <t>GBP</t>
        </is>
      </c>
      <c r="F408" s="7" t="n">
        <v>250.3919675485007</v>
      </c>
      <c r="G408" s="8" t="n">
        <v>1</v>
      </c>
      <c r="H408" s="7" t="n">
        <v>250.3919675485007</v>
      </c>
      <c r="I408" s="7" t="n">
        <v>1.5</v>
      </c>
      <c r="J408" s="9" t="n">
        <v>0.021</v>
      </c>
      <c r="K408" s="49" t="inlineStr">
        <is>
          <t>Success</t>
        </is>
      </c>
      <c r="L408" s="7" t="n">
        <v>0.3755879513227511</v>
      </c>
      <c r="M408" s="7" t="n">
        <v>0</v>
      </c>
      <c r="N408" s="7" t="n">
        <v>3.004703610582009</v>
      </c>
    </row>
    <row r="409" ht="18" customHeight="1">
      <c r="A409" s="49" t="inlineStr">
        <is>
          <t>ACE-10408</t>
        </is>
      </c>
      <c r="B409" s="49" t="inlineStr">
        <is>
          <t>2026-05-01 11:02:30</t>
        </is>
      </c>
      <c r="C409" s="49" t="inlineStr">
        <is>
          <t>CUST-73853</t>
        </is>
      </c>
      <c r="D409" s="49" t="inlineStr">
        <is>
          <t>GBP-PKR</t>
        </is>
      </c>
      <c r="E409" s="49" t="inlineStr">
        <is>
          <t>GBP</t>
        </is>
      </c>
      <c r="F409" s="7" t="n">
        <v>274.6648575602327</v>
      </c>
      <c r="G409" s="8" t="n">
        <v>1</v>
      </c>
      <c r="H409" s="7" t="n">
        <v>274.6648575602327</v>
      </c>
      <c r="I409" s="7" t="n">
        <v>1.5</v>
      </c>
      <c r="J409" s="9" t="n">
        <v>0.021</v>
      </c>
      <c r="K409" s="49" t="inlineStr">
        <is>
          <t>Success</t>
        </is>
      </c>
      <c r="L409" s="7" t="n">
        <v>0.411997286340349</v>
      </c>
      <c r="M409" s="7" t="n">
        <v>0</v>
      </c>
      <c r="N409" s="7" t="n">
        <v>3.295978290722792</v>
      </c>
    </row>
    <row r="410" ht="18" customHeight="1">
      <c r="A410" s="49" t="inlineStr">
        <is>
          <t>ACE-10409</t>
        </is>
      </c>
      <c r="B410" s="49" t="inlineStr">
        <is>
          <t>2026-05-02 16:51:58</t>
        </is>
      </c>
      <c r="C410" s="49" t="inlineStr">
        <is>
          <t>CUST-96794</t>
        </is>
      </c>
      <c r="D410" s="49" t="inlineStr">
        <is>
          <t>EUR-PKR</t>
        </is>
      </c>
      <c r="E410" s="49" t="inlineStr">
        <is>
          <t>EUR</t>
        </is>
      </c>
      <c r="F410" s="7" t="n">
        <v>191.3403224237955</v>
      </c>
      <c r="G410" s="8" t="n">
        <v>0.85</v>
      </c>
      <c r="H410" s="7" t="n">
        <v>162.6392740602261</v>
      </c>
      <c r="I410" s="7" t="n">
        <v>1.275</v>
      </c>
      <c r="J410" s="9" t="n">
        <v>0.023</v>
      </c>
      <c r="K410" s="49" t="inlineStr">
        <is>
          <t>Success</t>
        </is>
      </c>
      <c r="L410" s="7" t="n">
        <v>0.2439589110903392</v>
      </c>
      <c r="M410" s="7" t="n">
        <v>0</v>
      </c>
      <c r="N410" s="7" t="n">
        <v>2.439589110903392</v>
      </c>
    </row>
    <row r="411" ht="18" customHeight="1">
      <c r="A411" s="49" t="inlineStr">
        <is>
          <t>ACE-10410</t>
        </is>
      </c>
      <c r="B411" s="49" t="inlineStr">
        <is>
          <t>2026-05-11 11:26:58</t>
        </is>
      </c>
      <c r="C411" s="49" t="inlineStr">
        <is>
          <t>CUST-97204</t>
        </is>
      </c>
      <c r="D411" s="49" t="inlineStr">
        <is>
          <t>GBP-PKR</t>
        </is>
      </c>
      <c r="E411" s="49" t="inlineStr">
        <is>
          <t>GBP</t>
        </is>
      </c>
      <c r="F411" s="7" t="n">
        <v>293.3110020628967</v>
      </c>
      <c r="G411" s="8" t="n">
        <v>1</v>
      </c>
      <c r="H411" s="7" t="n">
        <v>293.3110020628967</v>
      </c>
      <c r="I411" s="7" t="n">
        <v>1.5</v>
      </c>
      <c r="J411" s="9" t="n">
        <v>0.021</v>
      </c>
      <c r="K411" s="49" t="inlineStr">
        <is>
          <t>Success</t>
        </is>
      </c>
      <c r="L411" s="7" t="n">
        <v>0.439966503094345</v>
      </c>
      <c r="M411" s="7" t="n">
        <v>0.8799330061886901</v>
      </c>
      <c r="N411" s="7" t="n">
        <v>3.51973202475476</v>
      </c>
    </row>
    <row r="412" ht="18" customHeight="1">
      <c r="A412" s="49" t="inlineStr">
        <is>
          <t>ACE-10411</t>
        </is>
      </c>
      <c r="B412" s="49" t="inlineStr">
        <is>
          <t>2026-05-19 13:07:32</t>
        </is>
      </c>
      <c r="C412" s="49" t="inlineStr">
        <is>
          <t>CUST-94127</t>
        </is>
      </c>
      <c r="D412" s="49" t="inlineStr">
        <is>
          <t>GBP-PKR</t>
        </is>
      </c>
      <c r="E412" s="49" t="inlineStr">
        <is>
          <t>GBP</t>
        </is>
      </c>
      <c r="F412" s="7" t="n">
        <v>299.1517862724916</v>
      </c>
      <c r="G412" s="8" t="n">
        <v>1</v>
      </c>
      <c r="H412" s="7" t="n">
        <v>299.1517862724916</v>
      </c>
      <c r="I412" s="7" t="n">
        <v>1.5</v>
      </c>
      <c r="J412" s="9" t="n">
        <v>0.021</v>
      </c>
      <c r="K412" s="49" t="inlineStr">
        <is>
          <t>Success</t>
        </is>
      </c>
      <c r="L412" s="7" t="n">
        <v>0.4487276794087374</v>
      </c>
      <c r="M412" s="7" t="n">
        <v>0</v>
      </c>
      <c r="N412" s="7" t="n">
        <v>3.589821435269899</v>
      </c>
    </row>
    <row r="413" ht="18" customHeight="1">
      <c r="A413" s="49" t="inlineStr">
        <is>
          <t>ACE-10412</t>
        </is>
      </c>
      <c r="B413" s="49" t="inlineStr">
        <is>
          <t>2026-05-17 08:25:04</t>
        </is>
      </c>
      <c r="C413" s="49" t="inlineStr">
        <is>
          <t>CUST-80480</t>
        </is>
      </c>
      <c r="D413" s="49" t="inlineStr">
        <is>
          <t>GBP-PKR</t>
        </is>
      </c>
      <c r="E413" s="49" t="inlineStr">
        <is>
          <t>GBP</t>
        </is>
      </c>
      <c r="F413" s="7" t="n">
        <v>248.9682539065638</v>
      </c>
      <c r="G413" s="8" t="n">
        <v>1</v>
      </c>
      <c r="H413" s="7" t="n">
        <v>248.9682539065638</v>
      </c>
      <c r="I413" s="7" t="n">
        <v>1.5</v>
      </c>
      <c r="J413" s="9" t="n">
        <v>0.021</v>
      </c>
      <c r="K413" s="49" t="inlineStr">
        <is>
          <t>Success</t>
        </is>
      </c>
      <c r="L413" s="7" t="n">
        <v>0.3734523808598457</v>
      </c>
      <c r="M413" s="7" t="n">
        <v>0.7469047617196913</v>
      </c>
      <c r="N413" s="7" t="n">
        <v>2.987619046878765</v>
      </c>
    </row>
    <row r="414" ht="18" customHeight="1">
      <c r="A414" s="49" t="inlineStr">
        <is>
          <t>ACE-10413</t>
        </is>
      </c>
      <c r="B414" s="49" t="inlineStr">
        <is>
          <t>2026-05-10 13:05:35</t>
        </is>
      </c>
      <c r="C414" s="49" t="inlineStr">
        <is>
          <t>CUST-79933</t>
        </is>
      </c>
      <c r="D414" s="49" t="inlineStr">
        <is>
          <t>USD-PKR</t>
        </is>
      </c>
      <c r="E414" s="49" t="inlineStr">
        <is>
          <t>USD</t>
        </is>
      </c>
      <c r="F414" s="7" t="n">
        <v>187.769684485467</v>
      </c>
      <c r="G414" s="8" t="n">
        <v>0.8</v>
      </c>
      <c r="H414" s="7" t="n">
        <v>150.2157475883736</v>
      </c>
      <c r="I414" s="7" t="n">
        <v>1.6</v>
      </c>
      <c r="J414" s="9" t="n">
        <v>0.019</v>
      </c>
      <c r="K414" s="49" t="inlineStr">
        <is>
          <t>Failed</t>
        </is>
      </c>
      <c r="L414" s="7" t="n">
        <v>0</v>
      </c>
      <c r="M414" s="7" t="n">
        <v>0</v>
      </c>
      <c r="N414" s="7" t="n">
        <v>0.5</v>
      </c>
    </row>
    <row r="415" ht="18" customHeight="1">
      <c r="A415" s="49" t="inlineStr">
        <is>
          <t>ACE-10414</t>
        </is>
      </c>
      <c r="B415" s="49" t="inlineStr">
        <is>
          <t>2026-05-07 12:36:50</t>
        </is>
      </c>
      <c r="C415" s="49" t="inlineStr">
        <is>
          <t>CUST-69917</t>
        </is>
      </c>
      <c r="D415" s="49" t="inlineStr">
        <is>
          <t>GBP-PKR</t>
        </is>
      </c>
      <c r="E415" s="49" t="inlineStr">
        <is>
          <t>GBP</t>
        </is>
      </c>
      <c r="F415" s="7" t="n">
        <v>316.5740835238017</v>
      </c>
      <c r="G415" s="8" t="n">
        <v>1</v>
      </c>
      <c r="H415" s="7" t="n">
        <v>316.5740835238017</v>
      </c>
      <c r="I415" s="7" t="n">
        <v>1.5</v>
      </c>
      <c r="J415" s="9" t="n">
        <v>0.021</v>
      </c>
      <c r="K415" s="49" t="inlineStr">
        <is>
          <t>Success</t>
        </is>
      </c>
      <c r="L415" s="7" t="n">
        <v>0.4748611252857026</v>
      </c>
      <c r="M415" s="7" t="n">
        <v>0</v>
      </c>
      <c r="N415" s="7" t="n">
        <v>3.798889002285621</v>
      </c>
    </row>
    <row r="416" ht="18" customHeight="1">
      <c r="A416" s="49" t="inlineStr">
        <is>
          <t>ACE-10415</t>
        </is>
      </c>
      <c r="B416" s="49" t="inlineStr">
        <is>
          <t>2026-05-12 17:31:49</t>
        </is>
      </c>
      <c r="C416" s="49" t="inlineStr">
        <is>
          <t>CUST-62807</t>
        </is>
      </c>
      <c r="D416" s="49" t="inlineStr">
        <is>
          <t>GBP-PKR</t>
        </is>
      </c>
      <c r="E416" s="49" t="inlineStr">
        <is>
          <t>GBP</t>
        </is>
      </c>
      <c r="F416" s="7" t="n">
        <v>288.0174315061125</v>
      </c>
      <c r="G416" s="8" t="n">
        <v>1</v>
      </c>
      <c r="H416" s="7" t="n">
        <v>288.0174315061125</v>
      </c>
      <c r="I416" s="7" t="n">
        <v>1.5</v>
      </c>
      <c r="J416" s="9" t="n">
        <v>0.021</v>
      </c>
      <c r="K416" s="49" t="inlineStr">
        <is>
          <t>Success</t>
        </is>
      </c>
      <c r="L416" s="7" t="n">
        <v>0.4320261472591688</v>
      </c>
      <c r="M416" s="7" t="n">
        <v>0</v>
      </c>
      <c r="N416" s="7" t="n">
        <v>3.456209178073351</v>
      </c>
    </row>
    <row r="417" ht="18" customHeight="1">
      <c r="A417" s="49" t="inlineStr">
        <is>
          <t>ACE-10416</t>
        </is>
      </c>
      <c r="B417" s="49" t="inlineStr">
        <is>
          <t>2026-05-08 10:00:59</t>
        </is>
      </c>
      <c r="C417" s="49" t="inlineStr">
        <is>
          <t>CUST-76872</t>
        </is>
      </c>
      <c r="D417" s="49" t="inlineStr">
        <is>
          <t>GBP-PKR</t>
        </is>
      </c>
      <c r="E417" s="49" t="inlineStr">
        <is>
          <t>GBP</t>
        </is>
      </c>
      <c r="F417" s="7" t="n">
        <v>258.5116988282976</v>
      </c>
      <c r="G417" s="8" t="n">
        <v>1</v>
      </c>
      <c r="H417" s="7" t="n">
        <v>258.5116988282976</v>
      </c>
      <c r="I417" s="7" t="n">
        <v>1.5</v>
      </c>
      <c r="J417" s="9" t="n">
        <v>0.021</v>
      </c>
      <c r="K417" s="49" t="inlineStr">
        <is>
          <t>Success</t>
        </is>
      </c>
      <c r="L417" s="7" t="n">
        <v>0.3877675482424464</v>
      </c>
      <c r="M417" s="7" t="n">
        <v>0</v>
      </c>
      <c r="N417" s="7" t="n">
        <v>3.102140385939571</v>
      </c>
    </row>
    <row r="418" ht="18" customHeight="1">
      <c r="A418" s="49" t="inlineStr">
        <is>
          <t>ACE-10417</t>
        </is>
      </c>
      <c r="B418" s="49" t="inlineStr">
        <is>
          <t>2026-05-21 19:56:00</t>
        </is>
      </c>
      <c r="C418" s="49" t="inlineStr">
        <is>
          <t>CUST-71955</t>
        </is>
      </c>
      <c r="D418" s="49" t="inlineStr">
        <is>
          <t>GBP-PKR</t>
        </is>
      </c>
      <c r="E418" s="49" t="inlineStr">
        <is>
          <t>GBP</t>
        </is>
      </c>
      <c r="F418" s="7" t="n">
        <v>325.351065451583</v>
      </c>
      <c r="G418" s="8" t="n">
        <v>1</v>
      </c>
      <c r="H418" s="7" t="n">
        <v>325.351065451583</v>
      </c>
      <c r="I418" s="7" t="n">
        <v>1.5</v>
      </c>
      <c r="J418" s="9" t="n">
        <v>0.021</v>
      </c>
      <c r="K418" s="49" t="inlineStr">
        <is>
          <t>Failed</t>
        </is>
      </c>
      <c r="L418" s="7" t="n">
        <v>0</v>
      </c>
      <c r="M418" s="7" t="n">
        <v>0</v>
      </c>
      <c r="N418" s="7" t="n">
        <v>0.5</v>
      </c>
    </row>
    <row r="419" ht="18" customHeight="1">
      <c r="A419" s="49" t="inlineStr">
        <is>
          <t>ACE-10418</t>
        </is>
      </c>
      <c r="B419" s="49" t="inlineStr">
        <is>
          <t>2026-05-22 14:54:47</t>
        </is>
      </c>
      <c r="C419" s="49" t="inlineStr">
        <is>
          <t>CUST-97658</t>
        </is>
      </c>
      <c r="D419" s="49" t="inlineStr">
        <is>
          <t>GBP-PKR</t>
        </is>
      </c>
      <c r="E419" s="49" t="inlineStr">
        <is>
          <t>GBP</t>
        </is>
      </c>
      <c r="F419" s="7" t="n">
        <v>281.8449414215931</v>
      </c>
      <c r="G419" s="8" t="n">
        <v>1</v>
      </c>
      <c r="H419" s="7" t="n">
        <v>281.8449414215931</v>
      </c>
      <c r="I419" s="7" t="n">
        <v>1.5</v>
      </c>
      <c r="J419" s="9" t="n">
        <v>0.021</v>
      </c>
      <c r="K419" s="49" t="inlineStr">
        <is>
          <t>Success</t>
        </is>
      </c>
      <c r="L419" s="7" t="n">
        <v>0.4227674121323897</v>
      </c>
      <c r="M419" s="7" t="n">
        <v>0</v>
      </c>
      <c r="N419" s="7" t="n">
        <v>3.382139297059118</v>
      </c>
    </row>
    <row r="420" ht="18" customHeight="1">
      <c r="A420" s="49" t="inlineStr">
        <is>
          <t>ACE-10419</t>
        </is>
      </c>
      <c r="B420" s="49" t="inlineStr">
        <is>
          <t>2026-05-08 14:31:03</t>
        </is>
      </c>
      <c r="C420" s="49" t="inlineStr">
        <is>
          <t>CUST-59330</t>
        </is>
      </c>
      <c r="D420" s="49" t="inlineStr">
        <is>
          <t>GBP-PKR</t>
        </is>
      </c>
      <c r="E420" s="49" t="inlineStr">
        <is>
          <t>GBP</t>
        </is>
      </c>
      <c r="F420" s="7" t="n">
        <v>313.4749089352218</v>
      </c>
      <c r="G420" s="8" t="n">
        <v>1</v>
      </c>
      <c r="H420" s="7" t="n">
        <v>313.4749089352218</v>
      </c>
      <c r="I420" s="7" t="n">
        <v>1.5</v>
      </c>
      <c r="J420" s="9" t="n">
        <v>0.021</v>
      </c>
      <c r="K420" s="49" t="inlineStr">
        <is>
          <t>Success</t>
        </is>
      </c>
      <c r="L420" s="7" t="n">
        <v>0.4702123634028327</v>
      </c>
      <c r="M420" s="7" t="n">
        <v>0</v>
      </c>
      <c r="N420" s="7" t="n">
        <v>3.761698907222661</v>
      </c>
    </row>
    <row r="421" ht="18" customHeight="1">
      <c r="A421" s="49" t="inlineStr">
        <is>
          <t>ACE-10420</t>
        </is>
      </c>
      <c r="B421" s="49" t="inlineStr">
        <is>
          <t>2026-05-08 16:26:44</t>
        </is>
      </c>
      <c r="C421" s="49" t="inlineStr">
        <is>
          <t>CUST-74411</t>
        </is>
      </c>
      <c r="D421" s="49" t="inlineStr">
        <is>
          <t>USD-PKR</t>
        </is>
      </c>
      <c r="E421" s="49" t="inlineStr">
        <is>
          <t>USD</t>
        </is>
      </c>
      <c r="F421" s="7" t="n">
        <v>220.3857443751526</v>
      </c>
      <c r="G421" s="8" t="n">
        <v>0.8</v>
      </c>
      <c r="H421" s="7" t="n">
        <v>176.3085955001221</v>
      </c>
      <c r="I421" s="7" t="n">
        <v>1.6</v>
      </c>
      <c r="J421" s="9" t="n">
        <v>0.019</v>
      </c>
      <c r="K421" s="49" t="inlineStr">
        <is>
          <t>Success</t>
        </is>
      </c>
      <c r="L421" s="7" t="n">
        <v>0.2644628932501832</v>
      </c>
      <c r="M421" s="7" t="n">
        <v>0.5289257865003664</v>
      </c>
      <c r="N421" s="7" t="n">
        <v>2.115703146001465</v>
      </c>
    </row>
    <row r="422" ht="18" customHeight="1">
      <c r="A422" s="49" t="inlineStr">
        <is>
          <t>ACE-10421</t>
        </is>
      </c>
      <c r="B422" s="49" t="inlineStr">
        <is>
          <t>2026-05-19 09:32:08</t>
        </is>
      </c>
      <c r="C422" s="49" t="inlineStr">
        <is>
          <t>CUST-91760</t>
        </is>
      </c>
      <c r="D422" s="49" t="inlineStr">
        <is>
          <t>EUR-PKR</t>
        </is>
      </c>
      <c r="E422" s="49" t="inlineStr">
        <is>
          <t>EUR</t>
        </is>
      </c>
      <c r="F422" s="7" t="n">
        <v>232.3160814944536</v>
      </c>
      <c r="G422" s="8" t="n">
        <v>0.85</v>
      </c>
      <c r="H422" s="7" t="n">
        <v>197.4686692702855</v>
      </c>
      <c r="I422" s="7" t="n">
        <v>1.275</v>
      </c>
      <c r="J422" s="9" t="n">
        <v>0.023</v>
      </c>
      <c r="K422" s="49" t="inlineStr">
        <is>
          <t>Success</t>
        </is>
      </c>
      <c r="L422" s="7" t="n">
        <v>0.2962030039054283</v>
      </c>
      <c r="M422" s="7" t="n">
        <v>0</v>
      </c>
      <c r="N422" s="7" t="n">
        <v>2.962030039054283</v>
      </c>
    </row>
    <row r="423" ht="18" customHeight="1">
      <c r="A423" s="49" t="inlineStr">
        <is>
          <t>ACE-10422</t>
        </is>
      </c>
      <c r="B423" s="49" t="inlineStr">
        <is>
          <t>2026-05-19 08:27:42</t>
        </is>
      </c>
      <c r="C423" s="49" t="inlineStr">
        <is>
          <t>CUST-58566</t>
        </is>
      </c>
      <c r="D423" s="49" t="inlineStr">
        <is>
          <t>GBP-PKR</t>
        </is>
      </c>
      <c r="E423" s="49" t="inlineStr">
        <is>
          <t>GBP</t>
        </is>
      </c>
      <c r="F423" s="7" t="n">
        <v>332.0626604534384</v>
      </c>
      <c r="G423" s="8" t="n">
        <v>1</v>
      </c>
      <c r="H423" s="7" t="n">
        <v>332.0626604534384</v>
      </c>
      <c r="I423" s="7" t="n">
        <v>1.5</v>
      </c>
      <c r="J423" s="9" t="n">
        <v>0.021</v>
      </c>
      <c r="K423" s="49" t="inlineStr">
        <is>
          <t>Success</t>
        </is>
      </c>
      <c r="L423" s="7" t="n">
        <v>0.4980939906801576</v>
      </c>
      <c r="M423" s="7" t="n">
        <v>0</v>
      </c>
      <c r="N423" s="7" t="n">
        <v>3.984751925441261</v>
      </c>
    </row>
    <row r="424" ht="18" customHeight="1">
      <c r="A424" s="49" t="inlineStr">
        <is>
          <t>ACE-10423</t>
        </is>
      </c>
      <c r="B424" s="49" t="inlineStr">
        <is>
          <t>2026-05-11 20:25:44</t>
        </is>
      </c>
      <c r="C424" s="49" t="inlineStr">
        <is>
          <t>CUST-98192</t>
        </is>
      </c>
      <c r="D424" s="49" t="inlineStr">
        <is>
          <t>USD-PKR</t>
        </is>
      </c>
      <c r="E424" s="49" t="inlineStr">
        <is>
          <t>USD</t>
        </is>
      </c>
      <c r="F424" s="7" t="n">
        <v>213.5201337507178</v>
      </c>
      <c r="G424" s="8" t="n">
        <v>0.8</v>
      </c>
      <c r="H424" s="7" t="n">
        <v>170.8161070005742</v>
      </c>
      <c r="I424" s="7" t="n">
        <v>1.6</v>
      </c>
      <c r="J424" s="9" t="n">
        <v>0.019</v>
      </c>
      <c r="K424" s="49" t="inlineStr">
        <is>
          <t>Success</t>
        </is>
      </c>
      <c r="L424" s="7" t="n">
        <v>0.2562241605008614</v>
      </c>
      <c r="M424" s="7" t="n">
        <v>0</v>
      </c>
      <c r="N424" s="7" t="n">
        <v>2.049793284006891</v>
      </c>
    </row>
    <row r="425" ht="18" customHeight="1">
      <c r="A425" s="49" t="inlineStr">
        <is>
          <t>ACE-10424</t>
        </is>
      </c>
      <c r="B425" s="49" t="inlineStr">
        <is>
          <t>2026-05-08 09:12:08</t>
        </is>
      </c>
      <c r="C425" s="49" t="inlineStr">
        <is>
          <t>CUST-88319</t>
        </is>
      </c>
      <c r="D425" s="49" t="inlineStr">
        <is>
          <t>GBP-PKR</t>
        </is>
      </c>
      <c r="E425" s="49" t="inlineStr">
        <is>
          <t>GBP</t>
        </is>
      </c>
      <c r="F425" s="7" t="n">
        <v>307.0303793609932</v>
      </c>
      <c r="G425" s="8" t="n">
        <v>1</v>
      </c>
      <c r="H425" s="7" t="n">
        <v>307.0303793609932</v>
      </c>
      <c r="I425" s="7" t="n">
        <v>1.5</v>
      </c>
      <c r="J425" s="9" t="n">
        <v>0.021</v>
      </c>
      <c r="K425" s="49" t="inlineStr">
        <is>
          <t>Success</t>
        </is>
      </c>
      <c r="L425" s="7" t="n">
        <v>0.4605455690414897</v>
      </c>
      <c r="M425" s="7" t="n">
        <v>0</v>
      </c>
      <c r="N425" s="7" t="n">
        <v>3.684364552331918</v>
      </c>
    </row>
    <row r="426" ht="18" customHeight="1">
      <c r="A426" s="49" t="inlineStr">
        <is>
          <t>ACE-10425</t>
        </is>
      </c>
      <c r="B426" s="49" t="inlineStr">
        <is>
          <t>2026-05-15 15:20:26</t>
        </is>
      </c>
      <c r="C426" s="49" t="inlineStr">
        <is>
          <t>CUST-57912</t>
        </is>
      </c>
      <c r="D426" s="49" t="inlineStr">
        <is>
          <t>USD-PKR</t>
        </is>
      </c>
      <c r="E426" s="49" t="inlineStr">
        <is>
          <t>USD</t>
        </is>
      </c>
      <c r="F426" s="7" t="n">
        <v>233.4960455246357</v>
      </c>
      <c r="G426" s="8" t="n">
        <v>0.8</v>
      </c>
      <c r="H426" s="7" t="n">
        <v>186.7968364197086</v>
      </c>
      <c r="I426" s="7" t="n">
        <v>1.6</v>
      </c>
      <c r="J426" s="9" t="n">
        <v>0.019</v>
      </c>
      <c r="K426" s="49" t="inlineStr">
        <is>
          <t>Success</t>
        </is>
      </c>
      <c r="L426" s="7" t="n">
        <v>0.2801952546295629</v>
      </c>
      <c r="M426" s="7" t="n">
        <v>0.5603905092591257</v>
      </c>
      <c r="N426" s="7" t="n">
        <v>2.241562037036503</v>
      </c>
    </row>
    <row r="427" ht="18" customHeight="1">
      <c r="A427" s="49" t="inlineStr">
        <is>
          <t>ACE-10426</t>
        </is>
      </c>
      <c r="B427" s="49" t="inlineStr">
        <is>
          <t>2026-05-07 15:19:29</t>
        </is>
      </c>
      <c r="C427" s="49" t="inlineStr">
        <is>
          <t>CUST-67367</t>
        </is>
      </c>
      <c r="D427" s="49" t="inlineStr">
        <is>
          <t>GBP-PKR</t>
        </is>
      </c>
      <c r="E427" s="49" t="inlineStr">
        <is>
          <t>GBP</t>
        </is>
      </c>
      <c r="F427" s="7" t="n">
        <v>319.4666092359604</v>
      </c>
      <c r="G427" s="8" t="n">
        <v>1</v>
      </c>
      <c r="H427" s="7" t="n">
        <v>319.4666092359604</v>
      </c>
      <c r="I427" s="7" t="n">
        <v>1.5</v>
      </c>
      <c r="J427" s="9" t="n">
        <v>0.021</v>
      </c>
      <c r="K427" s="49" t="inlineStr">
        <is>
          <t>Success</t>
        </is>
      </c>
      <c r="L427" s="7" t="n">
        <v>0.4791999138539407</v>
      </c>
      <c r="M427" s="7" t="n">
        <v>0</v>
      </c>
      <c r="N427" s="7" t="n">
        <v>3.833599310831525</v>
      </c>
    </row>
    <row r="428" ht="18" customHeight="1">
      <c r="A428" s="49" t="inlineStr">
        <is>
          <t>ACE-10427</t>
        </is>
      </c>
      <c r="B428" s="49" t="inlineStr">
        <is>
          <t>2026-05-22 12:52:45</t>
        </is>
      </c>
      <c r="C428" s="49" t="inlineStr">
        <is>
          <t>CUST-95670</t>
        </is>
      </c>
      <c r="D428" s="49" t="inlineStr">
        <is>
          <t>GBP-PKR</t>
        </is>
      </c>
      <c r="E428" s="49" t="inlineStr">
        <is>
          <t>GBP</t>
        </is>
      </c>
      <c r="F428" s="7" t="n">
        <v>252.9766664771417</v>
      </c>
      <c r="G428" s="8" t="n">
        <v>1</v>
      </c>
      <c r="H428" s="7" t="n">
        <v>252.9766664771417</v>
      </c>
      <c r="I428" s="7" t="n">
        <v>1.5</v>
      </c>
      <c r="J428" s="9" t="n">
        <v>0.021</v>
      </c>
      <c r="K428" s="49" t="inlineStr">
        <is>
          <t>Success</t>
        </is>
      </c>
      <c r="L428" s="7" t="n">
        <v>0.3794649997157125</v>
      </c>
      <c r="M428" s="7" t="n">
        <v>0</v>
      </c>
      <c r="N428" s="7" t="n">
        <v>3.0357199977257</v>
      </c>
    </row>
    <row r="429" ht="18" customHeight="1">
      <c r="A429" s="49" t="inlineStr">
        <is>
          <t>ACE-10428</t>
        </is>
      </c>
      <c r="B429" s="49" t="inlineStr">
        <is>
          <t>2026-05-11 10:05:45</t>
        </is>
      </c>
      <c r="C429" s="49" t="inlineStr">
        <is>
          <t>CUST-66267</t>
        </is>
      </c>
      <c r="D429" s="49" t="inlineStr">
        <is>
          <t>USD-PKR</t>
        </is>
      </c>
      <c r="E429" s="49" t="inlineStr">
        <is>
          <t>USD</t>
        </is>
      </c>
      <c r="F429" s="7" t="n">
        <v>234.4477368220778</v>
      </c>
      <c r="G429" s="8" t="n">
        <v>0.8</v>
      </c>
      <c r="H429" s="7" t="n">
        <v>187.5581894576623</v>
      </c>
      <c r="I429" s="7" t="n">
        <v>1.6</v>
      </c>
      <c r="J429" s="9" t="n">
        <v>0.019</v>
      </c>
      <c r="K429" s="49" t="inlineStr">
        <is>
          <t>Success</t>
        </is>
      </c>
      <c r="L429" s="7" t="n">
        <v>0.2813372841864935</v>
      </c>
      <c r="M429" s="7" t="n">
        <v>0</v>
      </c>
      <c r="N429" s="7" t="n">
        <v>2.250698273491948</v>
      </c>
    </row>
    <row r="430" ht="18" customHeight="1">
      <c r="A430" s="49" t="inlineStr">
        <is>
          <t>ACE-10429</t>
        </is>
      </c>
      <c r="B430" s="49" t="inlineStr">
        <is>
          <t>2026-05-02 18:19:16</t>
        </is>
      </c>
      <c r="C430" s="49" t="inlineStr">
        <is>
          <t>CUST-61394</t>
        </is>
      </c>
      <c r="D430" s="49" t="inlineStr">
        <is>
          <t>GBP-PKR</t>
        </is>
      </c>
      <c r="E430" s="49" t="inlineStr">
        <is>
          <t>GBP</t>
        </is>
      </c>
      <c r="F430" s="7" t="n">
        <v>309.7086608429024</v>
      </c>
      <c r="G430" s="8" t="n">
        <v>1</v>
      </c>
      <c r="H430" s="7" t="n">
        <v>309.7086608429024</v>
      </c>
      <c r="I430" s="7" t="n">
        <v>1.5</v>
      </c>
      <c r="J430" s="9" t="n">
        <v>0.021</v>
      </c>
      <c r="K430" s="49" t="inlineStr">
        <is>
          <t>Success</t>
        </is>
      </c>
      <c r="L430" s="7" t="n">
        <v>0.4645629912643536</v>
      </c>
      <c r="M430" s="7" t="n">
        <v>0</v>
      </c>
      <c r="N430" s="7" t="n">
        <v>3.716503930114829</v>
      </c>
    </row>
    <row r="431" ht="18" customHeight="1">
      <c r="A431" s="49" t="inlineStr">
        <is>
          <t>ACE-10430</t>
        </is>
      </c>
      <c r="B431" s="49" t="inlineStr">
        <is>
          <t>2026-05-15 16:47:35</t>
        </is>
      </c>
      <c r="C431" s="49" t="inlineStr">
        <is>
          <t>CUST-66374</t>
        </is>
      </c>
      <c r="D431" s="49" t="inlineStr">
        <is>
          <t>GBP-PKR</t>
        </is>
      </c>
      <c r="E431" s="49" t="inlineStr">
        <is>
          <t>GBP</t>
        </is>
      </c>
      <c r="F431" s="7" t="n">
        <v>233.6713531698234</v>
      </c>
      <c r="G431" s="8" t="n">
        <v>1</v>
      </c>
      <c r="H431" s="7" t="n">
        <v>233.6713531698234</v>
      </c>
      <c r="I431" s="7" t="n">
        <v>1.5</v>
      </c>
      <c r="J431" s="9" t="n">
        <v>0.021</v>
      </c>
      <c r="K431" s="49" t="inlineStr">
        <is>
          <t>Success</t>
        </is>
      </c>
      <c r="L431" s="7" t="n">
        <v>0.3505070297547351</v>
      </c>
      <c r="M431" s="7" t="n">
        <v>0</v>
      </c>
      <c r="N431" s="7" t="n">
        <v>2.804056238037881</v>
      </c>
    </row>
    <row r="432" ht="18" customHeight="1">
      <c r="A432" s="49" t="inlineStr">
        <is>
          <t>ACE-10431</t>
        </is>
      </c>
      <c r="B432" s="49" t="inlineStr">
        <is>
          <t>2026-05-05 09:00:03</t>
        </is>
      </c>
      <c r="C432" s="49" t="inlineStr">
        <is>
          <t>CUST-64567</t>
        </is>
      </c>
      <c r="D432" s="49" t="inlineStr">
        <is>
          <t>GBP-PKR</t>
        </is>
      </c>
      <c r="E432" s="49" t="inlineStr">
        <is>
          <t>GBP</t>
        </is>
      </c>
      <c r="F432" s="7" t="n">
        <v>247.513159898599</v>
      </c>
      <c r="G432" s="8" t="n">
        <v>1</v>
      </c>
      <c r="H432" s="7" t="n">
        <v>247.513159898599</v>
      </c>
      <c r="I432" s="7" t="n">
        <v>1.5</v>
      </c>
      <c r="J432" s="9" t="n">
        <v>0.021</v>
      </c>
      <c r="K432" s="49" t="inlineStr">
        <is>
          <t>Success</t>
        </is>
      </c>
      <c r="L432" s="7" t="n">
        <v>0.3712697398478985</v>
      </c>
      <c r="M432" s="7" t="n">
        <v>0.7425394796957969</v>
      </c>
      <c r="N432" s="7" t="n">
        <v>2.970157918783188</v>
      </c>
    </row>
    <row r="433" ht="18" customHeight="1">
      <c r="A433" s="49" t="inlineStr">
        <is>
          <t>ACE-10432</t>
        </is>
      </c>
      <c r="B433" s="49" t="inlineStr">
        <is>
          <t>2026-05-12 18:40:41</t>
        </is>
      </c>
      <c r="C433" s="49" t="inlineStr">
        <is>
          <t>CUST-55507</t>
        </is>
      </c>
      <c r="D433" s="49" t="inlineStr">
        <is>
          <t>GBP-PKR</t>
        </is>
      </c>
      <c r="E433" s="49" t="inlineStr">
        <is>
          <t>GBP</t>
        </is>
      </c>
      <c r="F433" s="7" t="n">
        <v>227.2081108544784</v>
      </c>
      <c r="G433" s="8" t="n">
        <v>1</v>
      </c>
      <c r="H433" s="7" t="n">
        <v>227.2081108544784</v>
      </c>
      <c r="I433" s="7" t="n">
        <v>1.5</v>
      </c>
      <c r="J433" s="9" t="n">
        <v>0.021</v>
      </c>
      <c r="K433" s="49" t="inlineStr">
        <is>
          <t>Success</t>
        </is>
      </c>
      <c r="L433" s="7" t="n">
        <v>0.3408121662817176</v>
      </c>
      <c r="M433" s="7" t="n">
        <v>0</v>
      </c>
      <c r="N433" s="7" t="n">
        <v>2.726497330253741</v>
      </c>
    </row>
    <row r="434" ht="18" customHeight="1">
      <c r="A434" s="49" t="inlineStr">
        <is>
          <t>ACE-10433</t>
        </is>
      </c>
      <c r="B434" s="49" t="inlineStr">
        <is>
          <t>2026-05-03 08:04:12</t>
        </is>
      </c>
      <c r="C434" s="49" t="inlineStr">
        <is>
          <t>CUST-92335</t>
        </is>
      </c>
      <c r="D434" s="49" t="inlineStr">
        <is>
          <t>USD-PKR</t>
        </is>
      </c>
      <c r="E434" s="49" t="inlineStr">
        <is>
          <t>USD</t>
        </is>
      </c>
      <c r="F434" s="7" t="n">
        <v>213.0840870966557</v>
      </c>
      <c r="G434" s="8" t="n">
        <v>0.8</v>
      </c>
      <c r="H434" s="7" t="n">
        <v>170.4672696773246</v>
      </c>
      <c r="I434" s="7" t="n">
        <v>1.6</v>
      </c>
      <c r="J434" s="9" t="n">
        <v>0.019</v>
      </c>
      <c r="K434" s="49" t="inlineStr">
        <is>
          <t>Success</t>
        </is>
      </c>
      <c r="L434" s="7" t="n">
        <v>0.2557009045159869</v>
      </c>
      <c r="M434" s="7" t="n">
        <v>0</v>
      </c>
      <c r="N434" s="7" t="n">
        <v>2.045607236127895</v>
      </c>
    </row>
    <row r="435" ht="18" customHeight="1">
      <c r="A435" s="49" t="inlineStr">
        <is>
          <t>ACE-10434</t>
        </is>
      </c>
      <c r="B435" s="49" t="inlineStr">
        <is>
          <t>2026-05-11 09:02:29</t>
        </is>
      </c>
      <c r="C435" s="49" t="inlineStr">
        <is>
          <t>CUST-53318</t>
        </is>
      </c>
      <c r="D435" s="49" t="inlineStr">
        <is>
          <t>GBP-PKR</t>
        </is>
      </c>
      <c r="E435" s="49" t="inlineStr">
        <is>
          <t>GBP</t>
        </is>
      </c>
      <c r="F435" s="7" t="n">
        <v>299.3291573974793</v>
      </c>
      <c r="G435" s="8" t="n">
        <v>1</v>
      </c>
      <c r="H435" s="7" t="n">
        <v>299.3291573974793</v>
      </c>
      <c r="I435" s="7" t="n">
        <v>1.5</v>
      </c>
      <c r="J435" s="9" t="n">
        <v>0.021</v>
      </c>
      <c r="K435" s="49" t="inlineStr">
        <is>
          <t>Success</t>
        </is>
      </c>
      <c r="L435" s="7" t="n">
        <v>0.4489937360962189</v>
      </c>
      <c r="M435" s="7" t="n">
        <v>0</v>
      </c>
      <c r="N435" s="7" t="n">
        <v>3.591949888769751</v>
      </c>
    </row>
    <row r="436" ht="18" customHeight="1">
      <c r="A436" s="49" t="inlineStr">
        <is>
          <t>ACE-10435</t>
        </is>
      </c>
      <c r="B436" s="49" t="inlineStr">
        <is>
          <t>2026-05-24 14:31:01</t>
        </is>
      </c>
      <c r="C436" s="49" t="inlineStr">
        <is>
          <t>CUST-75082</t>
        </is>
      </c>
      <c r="D436" s="49" t="inlineStr">
        <is>
          <t>USD-PKR</t>
        </is>
      </c>
      <c r="E436" s="49" t="inlineStr">
        <is>
          <t>USD</t>
        </is>
      </c>
      <c r="F436" s="7" t="n">
        <v>254.3886591252113</v>
      </c>
      <c r="G436" s="8" t="n">
        <v>0.8</v>
      </c>
      <c r="H436" s="7" t="n">
        <v>203.5109273001691</v>
      </c>
      <c r="I436" s="7" t="n">
        <v>1.6</v>
      </c>
      <c r="J436" s="9" t="n">
        <v>0.019</v>
      </c>
      <c r="K436" s="49" t="inlineStr">
        <is>
          <t>Success</t>
        </is>
      </c>
      <c r="L436" s="7" t="n">
        <v>0.3052663909502537</v>
      </c>
      <c r="M436" s="7" t="n">
        <v>0</v>
      </c>
      <c r="N436" s="7" t="n">
        <v>2.442131127602029</v>
      </c>
    </row>
    <row r="437" ht="18" customHeight="1">
      <c r="A437" s="49" t="inlineStr">
        <is>
          <t>ACE-10436</t>
        </is>
      </c>
      <c r="B437" s="49" t="inlineStr">
        <is>
          <t>2026-05-07 10:17:17</t>
        </is>
      </c>
      <c r="C437" s="49" t="inlineStr">
        <is>
          <t>CUST-79229</t>
        </is>
      </c>
      <c r="D437" s="49" t="inlineStr">
        <is>
          <t>GBP-PKR</t>
        </is>
      </c>
      <c r="E437" s="49" t="inlineStr">
        <is>
          <t>GBP</t>
        </is>
      </c>
      <c r="F437" s="7" t="n">
        <v>280.6754672867613</v>
      </c>
      <c r="G437" s="8" t="n">
        <v>1</v>
      </c>
      <c r="H437" s="7" t="n">
        <v>280.6754672867613</v>
      </c>
      <c r="I437" s="7" t="n">
        <v>1.5</v>
      </c>
      <c r="J437" s="9" t="n">
        <v>0.021</v>
      </c>
      <c r="K437" s="49" t="inlineStr">
        <is>
          <t>Success</t>
        </is>
      </c>
      <c r="L437" s="7" t="n">
        <v>0.4210132009301419</v>
      </c>
      <c r="M437" s="7" t="n">
        <v>0</v>
      </c>
      <c r="N437" s="7" t="n">
        <v>3.368105607441135</v>
      </c>
    </row>
    <row r="438" ht="18" customHeight="1">
      <c r="A438" s="49" t="inlineStr">
        <is>
          <t>ACE-10437</t>
        </is>
      </c>
      <c r="B438" s="49" t="inlineStr">
        <is>
          <t>2026-05-20 17:15:41</t>
        </is>
      </c>
      <c r="C438" s="49" t="inlineStr">
        <is>
          <t>CUST-69340</t>
        </is>
      </c>
      <c r="D438" s="49" t="inlineStr">
        <is>
          <t>GBP-PKR</t>
        </is>
      </c>
      <c r="E438" s="49" t="inlineStr">
        <is>
          <t>GBP</t>
        </is>
      </c>
      <c r="F438" s="7" t="n">
        <v>327.881137726409</v>
      </c>
      <c r="G438" s="8" t="n">
        <v>1</v>
      </c>
      <c r="H438" s="7" t="n">
        <v>327.881137726409</v>
      </c>
      <c r="I438" s="7" t="n">
        <v>1.5</v>
      </c>
      <c r="J438" s="9" t="n">
        <v>0.021</v>
      </c>
      <c r="K438" s="49" t="inlineStr">
        <is>
          <t>Success</t>
        </is>
      </c>
      <c r="L438" s="7" t="n">
        <v>0.4918217065896135</v>
      </c>
      <c r="M438" s="7" t="n">
        <v>0.9836434131792271</v>
      </c>
      <c r="N438" s="7" t="n">
        <v>3.934573652716908</v>
      </c>
    </row>
    <row r="439" ht="18" customHeight="1">
      <c r="A439" s="49" t="inlineStr">
        <is>
          <t>ACE-10438</t>
        </is>
      </c>
      <c r="B439" s="49" t="inlineStr">
        <is>
          <t>2026-05-16 08:05:17</t>
        </is>
      </c>
      <c r="C439" s="49" t="inlineStr">
        <is>
          <t>CUST-75101</t>
        </is>
      </c>
      <c r="D439" s="49" t="inlineStr">
        <is>
          <t>GBP-PKR</t>
        </is>
      </c>
      <c r="E439" s="49" t="inlineStr">
        <is>
          <t>GBP</t>
        </is>
      </c>
      <c r="F439" s="7" t="n">
        <v>242.6886770022515</v>
      </c>
      <c r="G439" s="8" t="n">
        <v>1</v>
      </c>
      <c r="H439" s="7" t="n">
        <v>242.6886770022515</v>
      </c>
      <c r="I439" s="7" t="n">
        <v>1.5</v>
      </c>
      <c r="J439" s="9" t="n">
        <v>0.021</v>
      </c>
      <c r="K439" s="49" t="inlineStr">
        <is>
          <t>Success</t>
        </is>
      </c>
      <c r="L439" s="7" t="n">
        <v>0.3640330155033773</v>
      </c>
      <c r="M439" s="7" t="n">
        <v>0</v>
      </c>
      <c r="N439" s="7" t="n">
        <v>2.912264124027018</v>
      </c>
    </row>
    <row r="440" ht="18" customHeight="1">
      <c r="A440" s="49" t="inlineStr">
        <is>
          <t>ACE-10439</t>
        </is>
      </c>
      <c r="B440" s="49" t="inlineStr">
        <is>
          <t>2026-05-17 11:40:51</t>
        </is>
      </c>
      <c r="C440" s="49" t="inlineStr">
        <is>
          <t>CUST-85629</t>
        </is>
      </c>
      <c r="D440" s="49" t="inlineStr">
        <is>
          <t>USD-PKR</t>
        </is>
      </c>
      <c r="E440" s="49" t="inlineStr">
        <is>
          <t>USD</t>
        </is>
      </c>
      <c r="F440" s="7" t="n">
        <v>184.618088058381</v>
      </c>
      <c r="G440" s="8" t="n">
        <v>0.8</v>
      </c>
      <c r="H440" s="7" t="n">
        <v>147.6944704467048</v>
      </c>
      <c r="I440" s="7" t="n">
        <v>1.6</v>
      </c>
      <c r="J440" s="9" t="n">
        <v>0.019</v>
      </c>
      <c r="K440" s="49" t="inlineStr">
        <is>
          <t>Success</t>
        </is>
      </c>
      <c r="L440" s="7" t="n">
        <v>0.2215417056700572</v>
      </c>
      <c r="M440" s="7" t="n">
        <v>0.4430834113401144</v>
      </c>
      <c r="N440" s="7" t="n">
        <v>1.772333645360458</v>
      </c>
    </row>
    <row r="441" ht="18" customHeight="1">
      <c r="A441" s="49" t="inlineStr">
        <is>
          <t>ACE-10440</t>
        </is>
      </c>
      <c r="B441" s="49" t="inlineStr">
        <is>
          <t>2026-05-23 13:30:34</t>
        </is>
      </c>
      <c r="C441" s="49" t="inlineStr">
        <is>
          <t>CUST-81763</t>
        </is>
      </c>
      <c r="D441" s="49" t="inlineStr">
        <is>
          <t>GBP-PKR</t>
        </is>
      </c>
      <c r="E441" s="49" t="inlineStr">
        <is>
          <t>GBP</t>
        </is>
      </c>
      <c r="F441" s="7" t="n">
        <v>277.0602061465293</v>
      </c>
      <c r="G441" s="8" t="n">
        <v>1</v>
      </c>
      <c r="H441" s="7" t="n">
        <v>277.0602061465293</v>
      </c>
      <c r="I441" s="7" t="n">
        <v>1.5</v>
      </c>
      <c r="J441" s="9" t="n">
        <v>0.021</v>
      </c>
      <c r="K441" s="49" t="inlineStr">
        <is>
          <t>Success</t>
        </is>
      </c>
      <c r="L441" s="7" t="n">
        <v>0.4155903092197939</v>
      </c>
      <c r="M441" s="7" t="n">
        <v>0</v>
      </c>
      <c r="N441" s="7" t="n">
        <v>3.324722473758351</v>
      </c>
    </row>
    <row r="442" ht="18" customHeight="1">
      <c r="A442" s="49" t="inlineStr">
        <is>
          <t>ACE-10441</t>
        </is>
      </c>
      <c r="B442" s="49" t="inlineStr">
        <is>
          <t>2026-05-11 14:17:11</t>
        </is>
      </c>
      <c r="C442" s="49" t="inlineStr">
        <is>
          <t>CUST-51708</t>
        </is>
      </c>
      <c r="D442" s="49" t="inlineStr">
        <is>
          <t>GBP-PKR</t>
        </is>
      </c>
      <c r="E442" s="49" t="inlineStr">
        <is>
          <t>GBP</t>
        </is>
      </c>
      <c r="F442" s="7" t="n">
        <v>289.5118266205761</v>
      </c>
      <c r="G442" s="8" t="n">
        <v>1</v>
      </c>
      <c r="H442" s="7" t="n">
        <v>289.5118266205761</v>
      </c>
      <c r="I442" s="7" t="n">
        <v>1.5</v>
      </c>
      <c r="J442" s="9" t="n">
        <v>0.021</v>
      </c>
      <c r="K442" s="49" t="inlineStr">
        <is>
          <t>Success</t>
        </is>
      </c>
      <c r="L442" s="7" t="n">
        <v>0.4342677399308641</v>
      </c>
      <c r="M442" s="7" t="n">
        <v>0</v>
      </c>
      <c r="N442" s="7" t="n">
        <v>3.474141919446913</v>
      </c>
    </row>
    <row r="443" ht="18" customHeight="1">
      <c r="A443" s="49" t="inlineStr">
        <is>
          <t>ACE-10442</t>
        </is>
      </c>
      <c r="B443" s="49" t="inlineStr">
        <is>
          <t>2026-05-09 08:51:30</t>
        </is>
      </c>
      <c r="C443" s="49" t="inlineStr">
        <is>
          <t>CUST-84696</t>
        </is>
      </c>
      <c r="D443" s="49" t="inlineStr">
        <is>
          <t>GBP-PKR</t>
        </is>
      </c>
      <c r="E443" s="49" t="inlineStr">
        <is>
          <t>GBP</t>
        </is>
      </c>
      <c r="F443" s="7" t="n">
        <v>277.6940945076691</v>
      </c>
      <c r="G443" s="8" t="n">
        <v>1</v>
      </c>
      <c r="H443" s="7" t="n">
        <v>277.6940945076691</v>
      </c>
      <c r="I443" s="7" t="n">
        <v>1.5</v>
      </c>
      <c r="J443" s="9" t="n">
        <v>0.021</v>
      </c>
      <c r="K443" s="49" t="inlineStr">
        <is>
          <t>Success</t>
        </is>
      </c>
      <c r="L443" s="7" t="n">
        <v>0.4165411417615036</v>
      </c>
      <c r="M443" s="7" t="n">
        <v>0</v>
      </c>
      <c r="N443" s="7" t="n">
        <v>3.332329134092029</v>
      </c>
    </row>
    <row r="444" ht="18" customHeight="1">
      <c r="A444" s="49" t="inlineStr">
        <is>
          <t>ACE-10443</t>
        </is>
      </c>
      <c r="B444" s="49" t="inlineStr">
        <is>
          <t>2026-05-08 10:06:15</t>
        </is>
      </c>
      <c r="C444" s="49" t="inlineStr">
        <is>
          <t>CUST-93048</t>
        </is>
      </c>
      <c r="D444" s="49" t="inlineStr">
        <is>
          <t>GBP-PKR</t>
        </is>
      </c>
      <c r="E444" s="49" t="inlineStr">
        <is>
          <t>GBP</t>
        </is>
      </c>
      <c r="F444" s="7" t="n">
        <v>226.5680617508568</v>
      </c>
      <c r="G444" s="8" t="n">
        <v>1</v>
      </c>
      <c r="H444" s="7" t="n">
        <v>226.5680617508568</v>
      </c>
      <c r="I444" s="7" t="n">
        <v>1.5</v>
      </c>
      <c r="J444" s="9" t="n">
        <v>0.021</v>
      </c>
      <c r="K444" s="49" t="inlineStr">
        <is>
          <t>Success</t>
        </is>
      </c>
      <c r="L444" s="7" t="n">
        <v>0.3398520926262852</v>
      </c>
      <c r="M444" s="7" t="n">
        <v>0</v>
      </c>
      <c r="N444" s="7" t="n">
        <v>2.718816741010282</v>
      </c>
    </row>
    <row r="445" ht="18" customHeight="1">
      <c r="A445" s="49" t="inlineStr">
        <is>
          <t>ACE-10444</t>
        </is>
      </c>
      <c r="B445" s="49" t="inlineStr">
        <is>
          <t>2026-05-24 08:48:14</t>
        </is>
      </c>
      <c r="C445" s="49" t="inlineStr">
        <is>
          <t>CUST-87728</t>
        </is>
      </c>
      <c r="D445" s="49" t="inlineStr">
        <is>
          <t>USD-PKR</t>
        </is>
      </c>
      <c r="E445" s="49" t="inlineStr">
        <is>
          <t>USD</t>
        </is>
      </c>
      <c r="F445" s="7" t="n">
        <v>216.960550569037</v>
      </c>
      <c r="G445" s="8" t="n">
        <v>0.8</v>
      </c>
      <c r="H445" s="7" t="n">
        <v>173.5684404552296</v>
      </c>
      <c r="I445" s="7" t="n">
        <v>1.6</v>
      </c>
      <c r="J445" s="9" t="n">
        <v>0.019</v>
      </c>
      <c r="K445" s="49" t="inlineStr">
        <is>
          <t>Success</t>
        </is>
      </c>
      <c r="L445" s="7" t="n">
        <v>0.2603526606828445</v>
      </c>
      <c r="M445" s="7" t="n">
        <v>0.5207053213656889</v>
      </c>
      <c r="N445" s="7" t="n">
        <v>2.082821285462756</v>
      </c>
    </row>
    <row r="446" ht="18" customHeight="1">
      <c r="A446" s="49" t="inlineStr">
        <is>
          <t>ACE-10445</t>
        </is>
      </c>
      <c r="B446" s="49" t="inlineStr">
        <is>
          <t>2026-05-12 10:11:15</t>
        </is>
      </c>
      <c r="C446" s="49" t="inlineStr">
        <is>
          <t>CUST-88831</t>
        </is>
      </c>
      <c r="D446" s="49" t="inlineStr">
        <is>
          <t>GBP-PKR</t>
        </is>
      </c>
      <c r="E446" s="49" t="inlineStr">
        <is>
          <t>GBP</t>
        </is>
      </c>
      <c r="F446" s="7" t="n">
        <v>244.5311376403951</v>
      </c>
      <c r="G446" s="8" t="n">
        <v>1</v>
      </c>
      <c r="H446" s="7" t="n">
        <v>244.5311376403951</v>
      </c>
      <c r="I446" s="7" t="n">
        <v>1.5</v>
      </c>
      <c r="J446" s="9" t="n">
        <v>0.021</v>
      </c>
      <c r="K446" s="49" t="inlineStr">
        <is>
          <t>Success</t>
        </is>
      </c>
      <c r="L446" s="7" t="n">
        <v>0.3667967064605927</v>
      </c>
      <c r="M446" s="7" t="n">
        <v>0.7335934129211854</v>
      </c>
      <c r="N446" s="7" t="n">
        <v>2.934373651684742</v>
      </c>
    </row>
    <row r="447" ht="18" customHeight="1">
      <c r="A447" s="49" t="inlineStr">
        <is>
          <t>ACE-10446</t>
        </is>
      </c>
      <c r="B447" s="49" t="inlineStr">
        <is>
          <t>2026-05-12 17:01:45</t>
        </is>
      </c>
      <c r="C447" s="49" t="inlineStr">
        <is>
          <t>CUST-95911</t>
        </is>
      </c>
      <c r="D447" s="49" t="inlineStr">
        <is>
          <t>GBP-PKR</t>
        </is>
      </c>
      <c r="E447" s="49" t="inlineStr">
        <is>
          <t>GBP</t>
        </is>
      </c>
      <c r="F447" s="7" t="n">
        <v>297.899701603555</v>
      </c>
      <c r="G447" s="8" t="n">
        <v>1</v>
      </c>
      <c r="H447" s="7" t="n">
        <v>297.899701603555</v>
      </c>
      <c r="I447" s="7" t="n">
        <v>1.5</v>
      </c>
      <c r="J447" s="9" t="n">
        <v>0.021</v>
      </c>
      <c r="K447" s="49" t="inlineStr">
        <is>
          <t>Success</t>
        </is>
      </c>
      <c r="L447" s="7" t="n">
        <v>0.4468495524053325</v>
      </c>
      <c r="M447" s="7" t="n">
        <v>0</v>
      </c>
      <c r="N447" s="7" t="n">
        <v>3.57479641924266</v>
      </c>
    </row>
    <row r="448" ht="18" customHeight="1">
      <c r="A448" s="49" t="inlineStr">
        <is>
          <t>ACE-10447</t>
        </is>
      </c>
      <c r="B448" s="49" t="inlineStr">
        <is>
          <t>2026-05-05 17:12:53</t>
        </is>
      </c>
      <c r="C448" s="49" t="inlineStr">
        <is>
          <t>CUST-82258</t>
        </is>
      </c>
      <c r="D448" s="49" t="inlineStr">
        <is>
          <t>USD-PKR</t>
        </is>
      </c>
      <c r="E448" s="49" t="inlineStr">
        <is>
          <t>USD</t>
        </is>
      </c>
      <c r="F448" s="7" t="n">
        <v>227.0765921586955</v>
      </c>
      <c r="G448" s="8" t="n">
        <v>0.8</v>
      </c>
      <c r="H448" s="7" t="n">
        <v>181.6612737269564</v>
      </c>
      <c r="I448" s="7" t="n">
        <v>1.6</v>
      </c>
      <c r="J448" s="9" t="n">
        <v>0.019</v>
      </c>
      <c r="K448" s="49" t="inlineStr">
        <is>
          <t>Success</t>
        </is>
      </c>
      <c r="L448" s="7" t="n">
        <v>0.2724919105904346</v>
      </c>
      <c r="M448" s="7" t="n">
        <v>0</v>
      </c>
      <c r="N448" s="7" t="n">
        <v>2.179935284723477</v>
      </c>
    </row>
    <row r="449" ht="18" customHeight="1">
      <c r="A449" s="49" t="inlineStr">
        <is>
          <t>ACE-10448</t>
        </is>
      </c>
      <c r="B449" s="49" t="inlineStr">
        <is>
          <t>2026-05-02 09:03:14</t>
        </is>
      </c>
      <c r="C449" s="49" t="inlineStr">
        <is>
          <t>CUST-89430</t>
        </is>
      </c>
      <c r="D449" s="49" t="inlineStr">
        <is>
          <t>EUR-PKR</t>
        </is>
      </c>
      <c r="E449" s="49" t="inlineStr">
        <is>
          <t>EUR</t>
        </is>
      </c>
      <c r="F449" s="7" t="n">
        <v>172.0931833073997</v>
      </c>
      <c r="G449" s="8" t="n">
        <v>0.85</v>
      </c>
      <c r="H449" s="7" t="n">
        <v>146.2792058112898</v>
      </c>
      <c r="I449" s="7" t="n">
        <v>1.275</v>
      </c>
      <c r="J449" s="9" t="n">
        <v>0.023</v>
      </c>
      <c r="K449" s="49" t="inlineStr">
        <is>
          <t>Success</t>
        </is>
      </c>
      <c r="L449" s="7" t="n">
        <v>0.2194188087169346</v>
      </c>
      <c r="M449" s="7" t="n">
        <v>0</v>
      </c>
      <c r="N449" s="7" t="n">
        <v>2.194188087169346</v>
      </c>
    </row>
    <row r="450" ht="18" customHeight="1">
      <c r="A450" s="49" t="inlineStr">
        <is>
          <t>ACE-10449</t>
        </is>
      </c>
      <c r="B450" s="49" t="inlineStr">
        <is>
          <t>2026-05-01 13:58:39</t>
        </is>
      </c>
      <c r="C450" s="49" t="inlineStr">
        <is>
          <t>CUST-63203</t>
        </is>
      </c>
      <c r="D450" s="49" t="inlineStr">
        <is>
          <t>GBP-PKR</t>
        </is>
      </c>
      <c r="E450" s="49" t="inlineStr">
        <is>
          <t>GBP</t>
        </is>
      </c>
      <c r="F450" s="7" t="n">
        <v>264.6486008339722</v>
      </c>
      <c r="G450" s="8" t="n">
        <v>1</v>
      </c>
      <c r="H450" s="7" t="n">
        <v>264.6486008339722</v>
      </c>
      <c r="I450" s="7" t="n">
        <v>1.5</v>
      </c>
      <c r="J450" s="9" t="n">
        <v>0.021</v>
      </c>
      <c r="K450" s="49" t="inlineStr">
        <is>
          <t>Success</t>
        </is>
      </c>
      <c r="L450" s="7" t="n">
        <v>0.3969729012509583</v>
      </c>
      <c r="M450" s="7" t="n">
        <v>0</v>
      </c>
      <c r="N450" s="7" t="n">
        <v>3.175783210007666</v>
      </c>
    </row>
    <row r="451" ht="18" customHeight="1">
      <c r="A451" s="49" t="inlineStr">
        <is>
          <t>ACE-10450</t>
        </is>
      </c>
      <c r="B451" s="49" t="inlineStr">
        <is>
          <t>2026-05-06 20:54:55</t>
        </is>
      </c>
      <c r="C451" s="49" t="inlineStr">
        <is>
          <t>CUST-71206</t>
        </is>
      </c>
      <c r="D451" s="49" t="inlineStr">
        <is>
          <t>GBP-PKR</t>
        </is>
      </c>
      <c r="E451" s="49" t="inlineStr">
        <is>
          <t>GBP</t>
        </is>
      </c>
      <c r="F451" s="7" t="n">
        <v>250.6025582677656</v>
      </c>
      <c r="G451" s="8" t="n">
        <v>1</v>
      </c>
      <c r="H451" s="7" t="n">
        <v>250.6025582677656</v>
      </c>
      <c r="I451" s="7" t="n">
        <v>1.5</v>
      </c>
      <c r="J451" s="9" t="n">
        <v>0.021</v>
      </c>
      <c r="K451" s="49" t="inlineStr">
        <is>
          <t>Success</t>
        </is>
      </c>
      <c r="L451" s="7" t="n">
        <v>0.3759038374016484</v>
      </c>
      <c r="M451" s="7" t="n">
        <v>0</v>
      </c>
      <c r="N451" s="7" t="n">
        <v>3.007230699213187</v>
      </c>
    </row>
    <row r="452" ht="18" customHeight="1">
      <c r="A452" s="49" t="inlineStr">
        <is>
          <t>ACE-10451</t>
        </is>
      </c>
      <c r="B452" s="49" t="inlineStr">
        <is>
          <t>2026-05-23 10:49:07</t>
        </is>
      </c>
      <c r="C452" s="49" t="inlineStr">
        <is>
          <t>CUST-84491</t>
        </is>
      </c>
      <c r="D452" s="49" t="inlineStr">
        <is>
          <t>GBP-PKR</t>
        </is>
      </c>
      <c r="E452" s="49" t="inlineStr">
        <is>
          <t>GBP</t>
        </is>
      </c>
      <c r="F452" s="7" t="n">
        <v>276.8626939113898</v>
      </c>
      <c r="G452" s="8" t="n">
        <v>1</v>
      </c>
      <c r="H452" s="7" t="n">
        <v>276.8626939113898</v>
      </c>
      <c r="I452" s="7" t="n">
        <v>1.5</v>
      </c>
      <c r="J452" s="9" t="n">
        <v>0.021</v>
      </c>
      <c r="K452" s="49" t="inlineStr">
        <is>
          <t>Success</t>
        </is>
      </c>
      <c r="L452" s="7" t="n">
        <v>0.4152940408670847</v>
      </c>
      <c r="M452" s="7" t="n">
        <v>0.8305880817341693</v>
      </c>
      <c r="N452" s="7" t="n">
        <v>3.322352326936677</v>
      </c>
    </row>
    <row r="453" ht="18" customHeight="1">
      <c r="A453" s="49" t="inlineStr">
        <is>
          <t>ACE-10452</t>
        </is>
      </c>
      <c r="B453" s="49" t="inlineStr">
        <is>
          <t>2026-05-12 19:42:25</t>
        </is>
      </c>
      <c r="C453" s="49" t="inlineStr">
        <is>
          <t>CUST-88405</t>
        </is>
      </c>
      <c r="D453" s="49" t="inlineStr">
        <is>
          <t>GBP-PKR</t>
        </is>
      </c>
      <c r="E453" s="49" t="inlineStr">
        <is>
          <t>GBP</t>
        </is>
      </c>
      <c r="F453" s="7" t="n">
        <v>306.5263846074874</v>
      </c>
      <c r="G453" s="8" t="n">
        <v>1</v>
      </c>
      <c r="H453" s="7" t="n">
        <v>306.5263846074874</v>
      </c>
      <c r="I453" s="7" t="n">
        <v>1.5</v>
      </c>
      <c r="J453" s="9" t="n">
        <v>0.021</v>
      </c>
      <c r="K453" s="49" t="inlineStr">
        <is>
          <t>Success</t>
        </is>
      </c>
      <c r="L453" s="7" t="n">
        <v>0.4597895769112312</v>
      </c>
      <c r="M453" s="7" t="n">
        <v>0</v>
      </c>
      <c r="N453" s="7" t="n">
        <v>3.678316615289849</v>
      </c>
    </row>
    <row r="454" ht="18" customHeight="1">
      <c r="A454" s="49" t="inlineStr">
        <is>
          <t>ACE-10453</t>
        </is>
      </c>
      <c r="B454" s="49" t="inlineStr">
        <is>
          <t>2026-05-05 10:46:27</t>
        </is>
      </c>
      <c r="C454" s="49" t="inlineStr">
        <is>
          <t>CUST-91894</t>
        </is>
      </c>
      <c r="D454" s="49" t="inlineStr">
        <is>
          <t>EUR-PKR</t>
        </is>
      </c>
      <c r="E454" s="49" t="inlineStr">
        <is>
          <t>EUR</t>
        </is>
      </c>
      <c r="F454" s="7" t="n">
        <v>171.3060062596174</v>
      </c>
      <c r="G454" s="8" t="n">
        <v>0.85</v>
      </c>
      <c r="H454" s="7" t="n">
        <v>145.6101053206748</v>
      </c>
      <c r="I454" s="7" t="n">
        <v>1.275</v>
      </c>
      <c r="J454" s="9" t="n">
        <v>0.023</v>
      </c>
      <c r="K454" s="49" t="inlineStr">
        <is>
          <t>Success</t>
        </is>
      </c>
      <c r="L454" s="7" t="n">
        <v>0.2184151579810122</v>
      </c>
      <c r="M454" s="7" t="n">
        <v>0.4368303159620244</v>
      </c>
      <c r="N454" s="7" t="n">
        <v>2.184151579810122</v>
      </c>
    </row>
    <row r="455" ht="18" customHeight="1">
      <c r="A455" s="49" t="inlineStr">
        <is>
          <t>ACE-10454</t>
        </is>
      </c>
      <c r="B455" s="49" t="inlineStr">
        <is>
          <t>2026-05-06 19:35:44</t>
        </is>
      </c>
      <c r="C455" s="49" t="inlineStr">
        <is>
          <t>CUST-90220</t>
        </is>
      </c>
      <c r="D455" s="49" t="inlineStr">
        <is>
          <t>GBP-PKR</t>
        </is>
      </c>
      <c r="E455" s="49" t="inlineStr">
        <is>
          <t>GBP</t>
        </is>
      </c>
      <c r="F455" s="7" t="n">
        <v>293.0063422599032</v>
      </c>
      <c r="G455" s="8" t="n">
        <v>1</v>
      </c>
      <c r="H455" s="7" t="n">
        <v>293.0063422599032</v>
      </c>
      <c r="I455" s="7" t="n">
        <v>1.5</v>
      </c>
      <c r="J455" s="9" t="n">
        <v>0.021</v>
      </c>
      <c r="K455" s="49" t="inlineStr">
        <is>
          <t>Success</t>
        </is>
      </c>
      <c r="L455" s="7" t="n">
        <v>0.4395095133898549</v>
      </c>
      <c r="M455" s="7" t="n">
        <v>0</v>
      </c>
      <c r="N455" s="7" t="n">
        <v>3.516076107118839</v>
      </c>
    </row>
    <row r="456" ht="18" customHeight="1">
      <c r="A456" s="49" t="inlineStr">
        <is>
          <t>ACE-10455</t>
        </is>
      </c>
      <c r="B456" s="49" t="inlineStr">
        <is>
          <t>2026-05-19 10:24:19</t>
        </is>
      </c>
      <c r="C456" s="49" t="inlineStr">
        <is>
          <t>CUST-98103</t>
        </is>
      </c>
      <c r="D456" s="49" t="inlineStr">
        <is>
          <t>GBP-PKR</t>
        </is>
      </c>
      <c r="E456" s="49" t="inlineStr">
        <is>
          <t>GBP</t>
        </is>
      </c>
      <c r="F456" s="7" t="n">
        <v>264.2151785262001</v>
      </c>
      <c r="G456" s="8" t="n">
        <v>1</v>
      </c>
      <c r="H456" s="7" t="n">
        <v>264.2151785262001</v>
      </c>
      <c r="I456" s="7" t="n">
        <v>1.5</v>
      </c>
      <c r="J456" s="9" t="n">
        <v>0.021</v>
      </c>
      <c r="K456" s="49" t="inlineStr">
        <is>
          <t>Success</t>
        </is>
      </c>
      <c r="L456" s="7" t="n">
        <v>0.3963227677893001</v>
      </c>
      <c r="M456" s="7" t="n">
        <v>0</v>
      </c>
      <c r="N456" s="7" t="n">
        <v>3.170582142314401</v>
      </c>
    </row>
    <row r="457" ht="18" customHeight="1">
      <c r="A457" s="49" t="inlineStr">
        <is>
          <t>ACE-10456</t>
        </is>
      </c>
      <c r="B457" s="49" t="inlineStr">
        <is>
          <t>2026-05-24 08:44:36</t>
        </is>
      </c>
      <c r="C457" s="49" t="inlineStr">
        <is>
          <t>CUST-75663</t>
        </is>
      </c>
      <c r="D457" s="49" t="inlineStr">
        <is>
          <t>GBP-PKR</t>
        </is>
      </c>
      <c r="E457" s="49" t="inlineStr">
        <is>
          <t>GBP</t>
        </is>
      </c>
      <c r="F457" s="7" t="n">
        <v>257.3668039194084</v>
      </c>
      <c r="G457" s="8" t="n">
        <v>1</v>
      </c>
      <c r="H457" s="7" t="n">
        <v>257.3668039194084</v>
      </c>
      <c r="I457" s="7" t="n">
        <v>1.5</v>
      </c>
      <c r="J457" s="9" t="n">
        <v>0.021</v>
      </c>
      <c r="K457" s="49" t="inlineStr">
        <is>
          <t>Success</t>
        </is>
      </c>
      <c r="L457" s="7" t="n">
        <v>0.3860502058791127</v>
      </c>
      <c r="M457" s="7" t="n">
        <v>0.7721004117582253</v>
      </c>
      <c r="N457" s="7" t="n">
        <v>3.088401647032901</v>
      </c>
    </row>
    <row r="458" ht="18" customHeight="1">
      <c r="A458" s="49" t="inlineStr">
        <is>
          <t>ACE-10457</t>
        </is>
      </c>
      <c r="B458" s="49" t="inlineStr">
        <is>
          <t>2026-05-19 08:11:38</t>
        </is>
      </c>
      <c r="C458" s="49" t="inlineStr">
        <is>
          <t>CUST-70854</t>
        </is>
      </c>
      <c r="D458" s="49" t="inlineStr">
        <is>
          <t>GBP-PKR</t>
        </is>
      </c>
      <c r="E458" s="49" t="inlineStr">
        <is>
          <t>GBP</t>
        </is>
      </c>
      <c r="F458" s="7" t="n">
        <v>275.6374918761656</v>
      </c>
      <c r="G458" s="8" t="n">
        <v>1</v>
      </c>
      <c r="H458" s="7" t="n">
        <v>275.6374918761656</v>
      </c>
      <c r="I458" s="7" t="n">
        <v>1.5</v>
      </c>
      <c r="J458" s="9" t="n">
        <v>0.021</v>
      </c>
      <c r="K458" s="49" t="inlineStr">
        <is>
          <t>Success</t>
        </is>
      </c>
      <c r="L458" s="7" t="n">
        <v>0.4134562378142484</v>
      </c>
      <c r="M458" s="7" t="n">
        <v>0.8269124756284968</v>
      </c>
      <c r="N458" s="7" t="n">
        <v>3.307649902513987</v>
      </c>
    </row>
    <row r="459" ht="18" customHeight="1">
      <c r="A459" s="49" t="inlineStr">
        <is>
          <t>ACE-10458</t>
        </is>
      </c>
      <c r="B459" s="49" t="inlineStr">
        <is>
          <t>2026-05-08 18:36:06</t>
        </is>
      </c>
      <c r="C459" s="49" t="inlineStr">
        <is>
          <t>CUST-82517</t>
        </is>
      </c>
      <c r="D459" s="49" t="inlineStr">
        <is>
          <t>GBP-PKR</t>
        </is>
      </c>
      <c r="E459" s="49" t="inlineStr">
        <is>
          <t>GBP</t>
        </is>
      </c>
      <c r="F459" s="7" t="n">
        <v>251.2040032388155</v>
      </c>
      <c r="G459" s="8" t="n">
        <v>1</v>
      </c>
      <c r="H459" s="7" t="n">
        <v>251.2040032388155</v>
      </c>
      <c r="I459" s="7" t="n">
        <v>1.5</v>
      </c>
      <c r="J459" s="9" t="n">
        <v>0.021</v>
      </c>
      <c r="K459" s="49" t="inlineStr">
        <is>
          <t>Success</t>
        </is>
      </c>
      <c r="L459" s="7" t="n">
        <v>0.3768060048582233</v>
      </c>
      <c r="M459" s="7" t="n">
        <v>0.7536120097164466</v>
      </c>
      <c r="N459" s="7" t="n">
        <v>3.014448038865786</v>
      </c>
    </row>
    <row r="460" ht="18" customHeight="1">
      <c r="A460" s="49" t="inlineStr">
        <is>
          <t>ACE-10459</t>
        </is>
      </c>
      <c r="B460" s="49" t="inlineStr">
        <is>
          <t>2026-05-08 13:20:10</t>
        </is>
      </c>
      <c r="C460" s="49" t="inlineStr">
        <is>
          <t>CUST-91693</t>
        </is>
      </c>
      <c r="D460" s="49" t="inlineStr">
        <is>
          <t>USD-PKR</t>
        </is>
      </c>
      <c r="E460" s="49" t="inlineStr">
        <is>
          <t>USD</t>
        </is>
      </c>
      <c r="F460" s="7" t="n">
        <v>207.1126018832675</v>
      </c>
      <c r="G460" s="8" t="n">
        <v>0.8</v>
      </c>
      <c r="H460" s="7" t="n">
        <v>165.690081506614</v>
      </c>
      <c r="I460" s="7" t="n">
        <v>1.6</v>
      </c>
      <c r="J460" s="9" t="n">
        <v>0.019</v>
      </c>
      <c r="K460" s="49" t="inlineStr">
        <is>
          <t>Success</t>
        </is>
      </c>
      <c r="L460" s="7" t="n">
        <v>0.248535122259921</v>
      </c>
      <c r="M460" s="7" t="n">
        <v>0</v>
      </c>
      <c r="N460" s="7" t="n">
        <v>1.988280978079368</v>
      </c>
    </row>
    <row r="461" ht="18" customHeight="1">
      <c r="A461" s="49" t="inlineStr">
        <is>
          <t>ACE-10460</t>
        </is>
      </c>
      <c r="B461" s="49" t="inlineStr">
        <is>
          <t>2026-05-23 18:40:46</t>
        </is>
      </c>
      <c r="C461" s="49" t="inlineStr">
        <is>
          <t>CUST-72003</t>
        </is>
      </c>
      <c r="D461" s="49" t="inlineStr">
        <is>
          <t>EUR-PKR</t>
        </is>
      </c>
      <c r="E461" s="49" t="inlineStr">
        <is>
          <t>EUR</t>
        </is>
      </c>
      <c r="F461" s="7" t="n">
        <v>167.7099975779431</v>
      </c>
      <c r="G461" s="8" t="n">
        <v>0.85</v>
      </c>
      <c r="H461" s="7" t="n">
        <v>142.5534979412517</v>
      </c>
      <c r="I461" s="7" t="n">
        <v>1.275</v>
      </c>
      <c r="J461" s="9" t="n">
        <v>0.023</v>
      </c>
      <c r="K461" s="49" t="inlineStr">
        <is>
          <t>Success</t>
        </is>
      </c>
      <c r="L461" s="7" t="n">
        <v>0.2138302469118775</v>
      </c>
      <c r="M461" s="7" t="n">
        <v>0</v>
      </c>
      <c r="N461" s="7" t="n">
        <v>2.138302469118775</v>
      </c>
    </row>
    <row r="462" ht="18" customHeight="1">
      <c r="A462" s="49" t="inlineStr">
        <is>
          <t>ACE-10461</t>
        </is>
      </c>
      <c r="B462" s="49" t="inlineStr">
        <is>
          <t>2026-05-08 19:04:22</t>
        </is>
      </c>
      <c r="C462" s="49" t="inlineStr">
        <is>
          <t>CUST-66820</t>
        </is>
      </c>
      <c r="D462" s="49" t="inlineStr">
        <is>
          <t>GBP-PKR</t>
        </is>
      </c>
      <c r="E462" s="49" t="inlineStr">
        <is>
          <t>GBP</t>
        </is>
      </c>
      <c r="F462" s="7" t="n">
        <v>339.0888327152495</v>
      </c>
      <c r="G462" s="8" t="n">
        <v>1</v>
      </c>
      <c r="H462" s="7" t="n">
        <v>339.0888327152495</v>
      </c>
      <c r="I462" s="7" t="n">
        <v>1.5</v>
      </c>
      <c r="J462" s="9" t="n">
        <v>0.021</v>
      </c>
      <c r="K462" s="49" t="inlineStr">
        <is>
          <t>Success</t>
        </is>
      </c>
      <c r="L462" s="7" t="n">
        <v>0.5086332490728743</v>
      </c>
      <c r="M462" s="7" t="n">
        <v>1.017266498145749</v>
      </c>
      <c r="N462" s="7" t="n">
        <v>4.069065992582995</v>
      </c>
    </row>
    <row r="463" ht="18" customHeight="1">
      <c r="A463" s="49" t="inlineStr">
        <is>
          <t>ACE-10462</t>
        </is>
      </c>
      <c r="B463" s="49" t="inlineStr">
        <is>
          <t>2026-05-02 14:28:46</t>
        </is>
      </c>
      <c r="C463" s="49" t="inlineStr">
        <is>
          <t>CUST-77502</t>
        </is>
      </c>
      <c r="D463" s="49" t="inlineStr">
        <is>
          <t>GBP-PKR</t>
        </is>
      </c>
      <c r="E463" s="49" t="inlineStr">
        <is>
          <t>GBP</t>
        </is>
      </c>
      <c r="F463" s="7" t="n">
        <v>279.5876833339809</v>
      </c>
      <c r="G463" s="8" t="n">
        <v>1</v>
      </c>
      <c r="H463" s="7" t="n">
        <v>279.5876833339809</v>
      </c>
      <c r="I463" s="7" t="n">
        <v>1.5</v>
      </c>
      <c r="J463" s="9" t="n">
        <v>0.021</v>
      </c>
      <c r="K463" s="49" t="inlineStr">
        <is>
          <t>Success</t>
        </is>
      </c>
      <c r="L463" s="7" t="n">
        <v>0.4193815250009714</v>
      </c>
      <c r="M463" s="7" t="n">
        <v>0.8387630500019427</v>
      </c>
      <c r="N463" s="7" t="n">
        <v>3.355052200007771</v>
      </c>
    </row>
    <row r="464" ht="18" customHeight="1">
      <c r="A464" s="49" t="inlineStr">
        <is>
          <t>ACE-10463</t>
        </is>
      </c>
      <c r="B464" s="49" t="inlineStr">
        <is>
          <t>2026-05-16 14:22:34</t>
        </is>
      </c>
      <c r="C464" s="49" t="inlineStr">
        <is>
          <t>CUST-74598</t>
        </is>
      </c>
      <c r="D464" s="49" t="inlineStr">
        <is>
          <t>GBP-PKR</t>
        </is>
      </c>
      <c r="E464" s="49" t="inlineStr">
        <is>
          <t>GBP</t>
        </is>
      </c>
      <c r="F464" s="7" t="n">
        <v>259.7753066986719</v>
      </c>
      <c r="G464" s="8" t="n">
        <v>1</v>
      </c>
      <c r="H464" s="7" t="n">
        <v>259.7753066986719</v>
      </c>
      <c r="I464" s="7" t="n">
        <v>1.5</v>
      </c>
      <c r="J464" s="9" t="n">
        <v>0.021</v>
      </c>
      <c r="K464" s="49" t="inlineStr">
        <is>
          <t>Success</t>
        </is>
      </c>
      <c r="L464" s="7" t="n">
        <v>0.3896629600480079</v>
      </c>
      <c r="M464" s="7" t="n">
        <v>0</v>
      </c>
      <c r="N464" s="7" t="n">
        <v>3.117303680384063</v>
      </c>
    </row>
    <row r="465" ht="18" customHeight="1">
      <c r="A465" s="49" t="inlineStr">
        <is>
          <t>ACE-10464</t>
        </is>
      </c>
      <c r="B465" s="49" t="inlineStr">
        <is>
          <t>2026-05-19 18:48:43</t>
        </is>
      </c>
      <c r="C465" s="49" t="inlineStr">
        <is>
          <t>CUST-64783</t>
        </is>
      </c>
      <c r="D465" s="49" t="inlineStr">
        <is>
          <t>GBP-PKR</t>
        </is>
      </c>
      <c r="E465" s="49" t="inlineStr">
        <is>
          <t>GBP</t>
        </is>
      </c>
      <c r="F465" s="7" t="n">
        <v>284.6292892908712</v>
      </c>
      <c r="G465" s="8" t="n">
        <v>1</v>
      </c>
      <c r="H465" s="7" t="n">
        <v>284.6292892908712</v>
      </c>
      <c r="I465" s="7" t="n">
        <v>1.5</v>
      </c>
      <c r="J465" s="9" t="n">
        <v>0.021</v>
      </c>
      <c r="K465" s="49" t="inlineStr">
        <is>
          <t>Success</t>
        </is>
      </c>
      <c r="L465" s="7" t="n">
        <v>0.4269439339363068</v>
      </c>
      <c r="M465" s="7" t="n">
        <v>0</v>
      </c>
      <c r="N465" s="7" t="n">
        <v>3.415551471490454</v>
      </c>
    </row>
    <row r="466" ht="18" customHeight="1">
      <c r="A466" s="49" t="inlineStr">
        <is>
          <t>ACE-10465</t>
        </is>
      </c>
      <c r="B466" s="49" t="inlineStr">
        <is>
          <t>2026-05-02 12:01:20</t>
        </is>
      </c>
      <c r="C466" s="49" t="inlineStr">
        <is>
          <t>CUST-67113</t>
        </is>
      </c>
      <c r="D466" s="49" t="inlineStr">
        <is>
          <t>GBP-PKR</t>
        </is>
      </c>
      <c r="E466" s="49" t="inlineStr">
        <is>
          <t>GBP</t>
        </is>
      </c>
      <c r="F466" s="7" t="n">
        <v>275.4915063577146</v>
      </c>
      <c r="G466" s="8" t="n">
        <v>1</v>
      </c>
      <c r="H466" s="7" t="n">
        <v>275.4915063577146</v>
      </c>
      <c r="I466" s="7" t="n">
        <v>1.5</v>
      </c>
      <c r="J466" s="9" t="n">
        <v>0.021</v>
      </c>
      <c r="K466" s="49" t="inlineStr">
        <is>
          <t>Success</t>
        </is>
      </c>
      <c r="L466" s="7" t="n">
        <v>0.4132372595365719</v>
      </c>
      <c r="M466" s="7" t="n">
        <v>0</v>
      </c>
      <c r="N466" s="7" t="n">
        <v>3.305898076292575</v>
      </c>
    </row>
    <row r="467" ht="18" customHeight="1">
      <c r="A467" s="49" t="inlineStr">
        <is>
          <t>ACE-10466</t>
        </is>
      </c>
      <c r="B467" s="49" t="inlineStr">
        <is>
          <t>2026-05-06 14:10:46</t>
        </is>
      </c>
      <c r="C467" s="49" t="inlineStr">
        <is>
          <t>CUST-54915</t>
        </is>
      </c>
      <c r="D467" s="49" t="inlineStr">
        <is>
          <t>GBP-PKR</t>
        </is>
      </c>
      <c r="E467" s="49" t="inlineStr">
        <is>
          <t>GBP</t>
        </is>
      </c>
      <c r="F467" s="7" t="n">
        <v>272.5147233309318</v>
      </c>
      <c r="G467" s="8" t="n">
        <v>1</v>
      </c>
      <c r="H467" s="7" t="n">
        <v>272.5147233309318</v>
      </c>
      <c r="I467" s="7" t="n">
        <v>1.5</v>
      </c>
      <c r="J467" s="9" t="n">
        <v>0.021</v>
      </c>
      <c r="K467" s="49" t="inlineStr">
        <is>
          <t>Success</t>
        </is>
      </c>
      <c r="L467" s="7" t="n">
        <v>0.4087720849963977</v>
      </c>
      <c r="M467" s="7" t="n">
        <v>0.8175441699927954</v>
      </c>
      <c r="N467" s="7" t="n">
        <v>3.270176679971182</v>
      </c>
    </row>
    <row r="468" ht="18" customHeight="1">
      <c r="A468" s="49" t="inlineStr">
        <is>
          <t>ACE-10467</t>
        </is>
      </c>
      <c r="B468" s="49" t="inlineStr">
        <is>
          <t>2026-05-03 13:38:39</t>
        </is>
      </c>
      <c r="C468" s="49" t="inlineStr">
        <is>
          <t>CUST-81636</t>
        </is>
      </c>
      <c r="D468" s="49" t="inlineStr">
        <is>
          <t>GBP-PKR</t>
        </is>
      </c>
      <c r="E468" s="49" t="inlineStr">
        <is>
          <t>GBP</t>
        </is>
      </c>
      <c r="F468" s="7" t="n">
        <v>296.2507645405458</v>
      </c>
      <c r="G468" s="8" t="n">
        <v>1</v>
      </c>
      <c r="H468" s="7" t="n">
        <v>296.2507645405458</v>
      </c>
      <c r="I468" s="7" t="n">
        <v>1.5</v>
      </c>
      <c r="J468" s="9" t="n">
        <v>0.021</v>
      </c>
      <c r="K468" s="49" t="inlineStr">
        <is>
          <t>Success</t>
        </is>
      </c>
      <c r="L468" s="7" t="n">
        <v>0.4443761468108187</v>
      </c>
      <c r="M468" s="7" t="n">
        <v>0</v>
      </c>
      <c r="N468" s="7" t="n">
        <v>3.55500917448655</v>
      </c>
    </row>
    <row r="469" ht="18" customHeight="1">
      <c r="A469" s="49" t="inlineStr">
        <is>
          <t>ACE-10468</t>
        </is>
      </c>
      <c r="B469" s="49" t="inlineStr">
        <is>
          <t>2026-05-21 10:38:56</t>
        </is>
      </c>
      <c r="C469" s="49" t="inlineStr">
        <is>
          <t>CUST-78455</t>
        </is>
      </c>
      <c r="D469" s="49" t="inlineStr">
        <is>
          <t>USD-PKR</t>
        </is>
      </c>
      <c r="E469" s="49" t="inlineStr">
        <is>
          <t>USD</t>
        </is>
      </c>
      <c r="F469" s="7" t="n">
        <v>236.1290121603871</v>
      </c>
      <c r="G469" s="8" t="n">
        <v>0.8</v>
      </c>
      <c r="H469" s="7" t="n">
        <v>188.9032097283097</v>
      </c>
      <c r="I469" s="7" t="n">
        <v>1.6</v>
      </c>
      <c r="J469" s="9" t="n">
        <v>0.019</v>
      </c>
      <c r="K469" s="49" t="inlineStr">
        <is>
          <t>Success</t>
        </is>
      </c>
      <c r="L469" s="7" t="n">
        <v>0.2833548145924645</v>
      </c>
      <c r="M469" s="7" t="n">
        <v>0</v>
      </c>
      <c r="N469" s="7" t="n">
        <v>2.266838516739716</v>
      </c>
    </row>
    <row r="470" ht="18" customHeight="1">
      <c r="A470" s="49" t="inlineStr">
        <is>
          <t>ACE-10469</t>
        </is>
      </c>
      <c r="B470" s="49" t="inlineStr">
        <is>
          <t>2026-05-07 11:26:44</t>
        </is>
      </c>
      <c r="C470" s="49" t="inlineStr">
        <is>
          <t>CUST-86314</t>
        </is>
      </c>
      <c r="D470" s="49" t="inlineStr">
        <is>
          <t>GBP-PKR</t>
        </is>
      </c>
      <c r="E470" s="49" t="inlineStr">
        <is>
          <t>GBP</t>
        </is>
      </c>
      <c r="F470" s="7" t="n">
        <v>264.208744192436</v>
      </c>
      <c r="G470" s="8" t="n">
        <v>1</v>
      </c>
      <c r="H470" s="7" t="n">
        <v>264.208744192436</v>
      </c>
      <c r="I470" s="7" t="n">
        <v>1.5</v>
      </c>
      <c r="J470" s="9" t="n">
        <v>0.021</v>
      </c>
      <c r="K470" s="49" t="inlineStr">
        <is>
          <t>Success</t>
        </is>
      </c>
      <c r="L470" s="7" t="n">
        <v>0.396313116288654</v>
      </c>
      <c r="M470" s="7" t="n">
        <v>0.7926262325773079</v>
      </c>
      <c r="N470" s="7" t="n">
        <v>3.170504930309232</v>
      </c>
    </row>
    <row r="471" ht="18" customHeight="1">
      <c r="A471" s="49" t="inlineStr">
        <is>
          <t>ACE-10470</t>
        </is>
      </c>
      <c r="B471" s="49" t="inlineStr">
        <is>
          <t>2026-05-09 18:18:19</t>
        </is>
      </c>
      <c r="C471" s="49" t="inlineStr">
        <is>
          <t>CUST-65567</t>
        </is>
      </c>
      <c r="D471" s="49" t="inlineStr">
        <is>
          <t>GBP-PKR</t>
        </is>
      </c>
      <c r="E471" s="49" t="inlineStr">
        <is>
          <t>GBP</t>
        </is>
      </c>
      <c r="F471" s="7" t="n">
        <v>263.0141358216805</v>
      </c>
      <c r="G471" s="8" t="n">
        <v>1</v>
      </c>
      <c r="H471" s="7" t="n">
        <v>263.0141358216805</v>
      </c>
      <c r="I471" s="7" t="n">
        <v>1.5</v>
      </c>
      <c r="J471" s="9" t="n">
        <v>0.021</v>
      </c>
      <c r="K471" s="49" t="inlineStr">
        <is>
          <t>Success</t>
        </is>
      </c>
      <c r="L471" s="7" t="n">
        <v>0.3945212037325208</v>
      </c>
      <c r="M471" s="7" t="n">
        <v>0</v>
      </c>
      <c r="N471" s="7" t="n">
        <v>3.156169629860166</v>
      </c>
    </row>
    <row r="472" ht="18" customHeight="1">
      <c r="A472" s="49" t="inlineStr">
        <is>
          <t>ACE-10471</t>
        </is>
      </c>
      <c r="B472" s="49" t="inlineStr">
        <is>
          <t>2026-05-18 15:09:03</t>
        </is>
      </c>
      <c r="C472" s="49" t="inlineStr">
        <is>
          <t>CUST-73647</t>
        </is>
      </c>
      <c r="D472" s="49" t="inlineStr">
        <is>
          <t>EUR-PKR</t>
        </is>
      </c>
      <c r="E472" s="49" t="inlineStr">
        <is>
          <t>EUR</t>
        </is>
      </c>
      <c r="F472" s="7" t="n">
        <v>183.9233146343417</v>
      </c>
      <c r="G472" s="8" t="n">
        <v>0.85</v>
      </c>
      <c r="H472" s="7" t="n">
        <v>156.3348174391904</v>
      </c>
      <c r="I472" s="7" t="n">
        <v>1.275</v>
      </c>
      <c r="J472" s="9" t="n">
        <v>0.023</v>
      </c>
      <c r="K472" s="49" t="inlineStr">
        <is>
          <t>Failed</t>
        </is>
      </c>
      <c r="L472" s="7" t="n">
        <v>0</v>
      </c>
      <c r="M472" s="7" t="n">
        <v>0</v>
      </c>
      <c r="N472" s="7" t="n">
        <v>0.5</v>
      </c>
    </row>
    <row r="473" ht="18" customHeight="1">
      <c r="A473" s="49" t="inlineStr">
        <is>
          <t>ACE-10472</t>
        </is>
      </c>
      <c r="B473" s="49" t="inlineStr">
        <is>
          <t>2026-05-03 12:52:42</t>
        </is>
      </c>
      <c r="C473" s="49" t="inlineStr">
        <is>
          <t>CUST-90965</t>
        </is>
      </c>
      <c r="D473" s="49" t="inlineStr">
        <is>
          <t>GBP-PKR</t>
        </is>
      </c>
      <c r="E473" s="49" t="inlineStr">
        <is>
          <t>GBP</t>
        </is>
      </c>
      <c r="F473" s="7" t="n">
        <v>221.3173151093965</v>
      </c>
      <c r="G473" s="8" t="n">
        <v>1</v>
      </c>
      <c r="H473" s="7" t="n">
        <v>221.3173151093965</v>
      </c>
      <c r="I473" s="7" t="n">
        <v>1.5</v>
      </c>
      <c r="J473" s="9" t="n">
        <v>0.021</v>
      </c>
      <c r="K473" s="49" t="inlineStr">
        <is>
          <t>Success</t>
        </is>
      </c>
      <c r="L473" s="7" t="n">
        <v>0.3319759726640948</v>
      </c>
      <c r="M473" s="7" t="n">
        <v>0</v>
      </c>
      <c r="N473" s="7" t="n">
        <v>2.655807781312758</v>
      </c>
    </row>
    <row r="474" ht="18" customHeight="1">
      <c r="A474" s="49" t="inlineStr">
        <is>
          <t>ACE-10473</t>
        </is>
      </c>
      <c r="B474" s="49" t="inlineStr">
        <is>
          <t>2026-05-01 11:10:40</t>
        </is>
      </c>
      <c r="C474" s="49" t="inlineStr">
        <is>
          <t>CUST-69124</t>
        </is>
      </c>
      <c r="D474" s="49" t="inlineStr">
        <is>
          <t>GBP-PKR</t>
        </is>
      </c>
      <c r="E474" s="49" t="inlineStr">
        <is>
          <t>GBP</t>
        </is>
      </c>
      <c r="F474" s="7" t="n">
        <v>239.4322502678982</v>
      </c>
      <c r="G474" s="8" t="n">
        <v>1</v>
      </c>
      <c r="H474" s="7" t="n">
        <v>239.4322502678982</v>
      </c>
      <c r="I474" s="7" t="n">
        <v>1.5</v>
      </c>
      <c r="J474" s="9" t="n">
        <v>0.021</v>
      </c>
      <c r="K474" s="49" t="inlineStr">
        <is>
          <t>Success</t>
        </is>
      </c>
      <c r="L474" s="7" t="n">
        <v>0.3591483754018474</v>
      </c>
      <c r="M474" s="7" t="n">
        <v>0</v>
      </c>
      <c r="N474" s="7" t="n">
        <v>2.873187003214779</v>
      </c>
    </row>
    <row r="475" ht="18" customHeight="1">
      <c r="A475" s="49" t="inlineStr">
        <is>
          <t>ACE-10474</t>
        </is>
      </c>
      <c r="B475" s="49" t="inlineStr">
        <is>
          <t>2026-05-04 12:50:25</t>
        </is>
      </c>
      <c r="C475" s="49" t="inlineStr">
        <is>
          <t>CUST-80863</t>
        </is>
      </c>
      <c r="D475" s="49" t="inlineStr">
        <is>
          <t>GBP-PKR</t>
        </is>
      </c>
      <c r="E475" s="49" t="inlineStr">
        <is>
          <t>GBP</t>
        </is>
      </c>
      <c r="F475" s="7" t="n">
        <v>319.4104746177651</v>
      </c>
      <c r="G475" s="8" t="n">
        <v>1</v>
      </c>
      <c r="H475" s="7" t="n">
        <v>319.4104746177651</v>
      </c>
      <c r="I475" s="7" t="n">
        <v>1.5</v>
      </c>
      <c r="J475" s="9" t="n">
        <v>0.021</v>
      </c>
      <c r="K475" s="49" t="inlineStr">
        <is>
          <t>Success</t>
        </is>
      </c>
      <c r="L475" s="7" t="n">
        <v>0.4791157119266476</v>
      </c>
      <c r="M475" s="7" t="n">
        <v>0.9582314238532953</v>
      </c>
      <c r="N475" s="7" t="n">
        <v>3.832925695413181</v>
      </c>
    </row>
    <row r="476" ht="18" customHeight="1">
      <c r="A476" s="49" t="inlineStr">
        <is>
          <t>ACE-10475</t>
        </is>
      </c>
      <c r="B476" s="49" t="inlineStr">
        <is>
          <t>2026-05-03 18:34:24</t>
        </is>
      </c>
      <c r="C476" s="49" t="inlineStr">
        <is>
          <t>CUST-62116</t>
        </is>
      </c>
      <c r="D476" s="49" t="inlineStr">
        <is>
          <t>GBP-PKR</t>
        </is>
      </c>
      <c r="E476" s="49" t="inlineStr">
        <is>
          <t>GBP</t>
        </is>
      </c>
      <c r="F476" s="7" t="n">
        <v>328.4177330742203</v>
      </c>
      <c r="G476" s="8" t="n">
        <v>1</v>
      </c>
      <c r="H476" s="7" t="n">
        <v>328.4177330742203</v>
      </c>
      <c r="I476" s="7" t="n">
        <v>1.5</v>
      </c>
      <c r="J476" s="9" t="n">
        <v>0.021</v>
      </c>
      <c r="K476" s="49" t="inlineStr">
        <is>
          <t>Success</t>
        </is>
      </c>
      <c r="L476" s="7" t="n">
        <v>0.4926265996113305</v>
      </c>
      <c r="M476" s="7" t="n">
        <v>0</v>
      </c>
      <c r="N476" s="7" t="n">
        <v>3.941012796890644</v>
      </c>
    </row>
    <row r="477" ht="18" customHeight="1">
      <c r="A477" s="49" t="inlineStr">
        <is>
          <t>ACE-10476</t>
        </is>
      </c>
      <c r="B477" s="49" t="inlineStr">
        <is>
          <t>2026-05-06 15:02:16</t>
        </is>
      </c>
      <c r="C477" s="49" t="inlineStr">
        <is>
          <t>CUST-78818</t>
        </is>
      </c>
      <c r="D477" s="49" t="inlineStr">
        <is>
          <t>USD-PKR</t>
        </is>
      </c>
      <c r="E477" s="49" t="inlineStr">
        <is>
          <t>USD</t>
        </is>
      </c>
      <c r="F477" s="7" t="n">
        <v>213.5185987369914</v>
      </c>
      <c r="G477" s="8" t="n">
        <v>0.8</v>
      </c>
      <c r="H477" s="7" t="n">
        <v>170.8148789895931</v>
      </c>
      <c r="I477" s="7" t="n">
        <v>1.6</v>
      </c>
      <c r="J477" s="9" t="n">
        <v>0.019</v>
      </c>
      <c r="K477" s="49" t="inlineStr">
        <is>
          <t>Success</t>
        </is>
      </c>
      <c r="L477" s="7" t="n">
        <v>0.2562223184843896</v>
      </c>
      <c r="M477" s="7" t="n">
        <v>0</v>
      </c>
      <c r="N477" s="7" t="n">
        <v>2.049778547875117</v>
      </c>
    </row>
    <row r="478" ht="18" customHeight="1">
      <c r="A478" s="49" t="inlineStr">
        <is>
          <t>ACE-10477</t>
        </is>
      </c>
      <c r="B478" s="49" t="inlineStr">
        <is>
          <t>2026-05-09 17:03:09</t>
        </is>
      </c>
      <c r="C478" s="49" t="inlineStr">
        <is>
          <t>CUST-99298</t>
        </is>
      </c>
      <c r="D478" s="49" t="inlineStr">
        <is>
          <t>USD-PKR</t>
        </is>
      </c>
      <c r="E478" s="49" t="inlineStr">
        <is>
          <t>USD</t>
        </is>
      </c>
      <c r="F478" s="7" t="n">
        <v>231.8946659894829</v>
      </c>
      <c r="G478" s="8" t="n">
        <v>0.8</v>
      </c>
      <c r="H478" s="7" t="n">
        <v>185.5157327915864</v>
      </c>
      <c r="I478" s="7" t="n">
        <v>1.6</v>
      </c>
      <c r="J478" s="9" t="n">
        <v>0.019</v>
      </c>
      <c r="K478" s="49" t="inlineStr">
        <is>
          <t>Success</t>
        </is>
      </c>
      <c r="L478" s="7" t="n">
        <v>0.2782735991873795</v>
      </c>
      <c r="M478" s="7" t="n">
        <v>0</v>
      </c>
      <c r="N478" s="7" t="n">
        <v>2.226188793499036</v>
      </c>
    </row>
    <row r="479" ht="18" customHeight="1">
      <c r="A479" s="49" t="inlineStr">
        <is>
          <t>ACE-10478</t>
        </is>
      </c>
      <c r="B479" s="49" t="inlineStr">
        <is>
          <t>2026-05-22 13:51:34</t>
        </is>
      </c>
      <c r="C479" s="49" t="inlineStr">
        <is>
          <t>CUST-77131</t>
        </is>
      </c>
      <c r="D479" s="49" t="inlineStr">
        <is>
          <t>USD-PKR</t>
        </is>
      </c>
      <c r="E479" s="49" t="inlineStr">
        <is>
          <t>USD</t>
        </is>
      </c>
      <c r="F479" s="7" t="n">
        <v>225.8232382942896</v>
      </c>
      <c r="G479" s="8" t="n">
        <v>0.8</v>
      </c>
      <c r="H479" s="7" t="n">
        <v>180.6585906354317</v>
      </c>
      <c r="I479" s="7" t="n">
        <v>1.6</v>
      </c>
      <c r="J479" s="9" t="n">
        <v>0.019</v>
      </c>
      <c r="K479" s="49" t="inlineStr">
        <is>
          <t>Success</t>
        </is>
      </c>
      <c r="L479" s="7" t="n">
        <v>0.2709878859531475</v>
      </c>
      <c r="M479" s="7" t="n">
        <v>0</v>
      </c>
      <c r="N479" s="7" t="n">
        <v>2.16790308762518</v>
      </c>
    </row>
    <row r="480" ht="18" customHeight="1">
      <c r="A480" s="49" t="inlineStr">
        <is>
          <t>ACE-10479</t>
        </is>
      </c>
      <c r="B480" s="49" t="inlineStr">
        <is>
          <t>2026-05-18 08:53:24</t>
        </is>
      </c>
      <c r="C480" s="49" t="inlineStr">
        <is>
          <t>CUST-84247</t>
        </is>
      </c>
      <c r="D480" s="49" t="inlineStr">
        <is>
          <t>USD-PKR</t>
        </is>
      </c>
      <c r="E480" s="49" t="inlineStr">
        <is>
          <t>USD</t>
        </is>
      </c>
      <c r="F480" s="7" t="n">
        <v>297.8278476710628</v>
      </c>
      <c r="G480" s="8" t="n">
        <v>0.8</v>
      </c>
      <c r="H480" s="7" t="n">
        <v>238.2622781368503</v>
      </c>
      <c r="I480" s="7" t="n">
        <v>1.6</v>
      </c>
      <c r="J480" s="9" t="n">
        <v>0.019</v>
      </c>
      <c r="K480" s="49" t="inlineStr">
        <is>
          <t>Success</t>
        </is>
      </c>
      <c r="L480" s="7" t="n">
        <v>0.3573934172052755</v>
      </c>
      <c r="M480" s="7" t="n">
        <v>0</v>
      </c>
      <c r="N480" s="7" t="n">
        <v>2.859147337642204</v>
      </c>
    </row>
    <row r="481" ht="18" customHeight="1">
      <c r="A481" s="49" t="inlineStr">
        <is>
          <t>ACE-10480</t>
        </is>
      </c>
      <c r="B481" s="49" t="inlineStr">
        <is>
          <t>2026-05-16 17:56:15</t>
        </is>
      </c>
      <c r="C481" s="49" t="inlineStr">
        <is>
          <t>CUST-81212</t>
        </is>
      </c>
      <c r="D481" s="49" t="inlineStr">
        <is>
          <t>USD-PKR</t>
        </is>
      </c>
      <c r="E481" s="49" t="inlineStr">
        <is>
          <t>USD</t>
        </is>
      </c>
      <c r="F481" s="7" t="n">
        <v>244.8351281029027</v>
      </c>
      <c r="G481" s="8" t="n">
        <v>0.8</v>
      </c>
      <c r="H481" s="7" t="n">
        <v>195.8681024823222</v>
      </c>
      <c r="I481" s="7" t="n">
        <v>1.6</v>
      </c>
      <c r="J481" s="9" t="n">
        <v>0.019</v>
      </c>
      <c r="K481" s="49" t="inlineStr">
        <is>
          <t>Success</t>
        </is>
      </c>
      <c r="L481" s="7" t="n">
        <v>0.2938021537234833</v>
      </c>
      <c r="M481" s="7" t="n">
        <v>0</v>
      </c>
      <c r="N481" s="7" t="n">
        <v>2.350417229787866</v>
      </c>
    </row>
    <row r="482" ht="18" customHeight="1">
      <c r="A482" s="49" t="inlineStr">
        <is>
          <t>ACE-10481</t>
        </is>
      </c>
      <c r="B482" s="49" t="inlineStr">
        <is>
          <t>2026-05-23 08:32:36</t>
        </is>
      </c>
      <c r="C482" s="49" t="inlineStr">
        <is>
          <t>CUST-83870</t>
        </is>
      </c>
      <c r="D482" s="49" t="inlineStr">
        <is>
          <t>GBP-PKR</t>
        </is>
      </c>
      <c r="E482" s="49" t="inlineStr">
        <is>
          <t>GBP</t>
        </is>
      </c>
      <c r="F482" s="7" t="n">
        <v>275.0623623174622</v>
      </c>
      <c r="G482" s="8" t="n">
        <v>1</v>
      </c>
      <c r="H482" s="7" t="n">
        <v>275.0623623174622</v>
      </c>
      <c r="I482" s="7" t="n">
        <v>1.5</v>
      </c>
      <c r="J482" s="9" t="n">
        <v>0.021</v>
      </c>
      <c r="K482" s="49" t="inlineStr">
        <is>
          <t>Success</t>
        </is>
      </c>
      <c r="L482" s="7" t="n">
        <v>0.4125935434761933</v>
      </c>
      <c r="M482" s="7" t="n">
        <v>0.8251870869523866</v>
      </c>
      <c r="N482" s="7" t="n">
        <v>3.300748347809547</v>
      </c>
    </row>
    <row r="483" ht="18" customHeight="1">
      <c r="A483" s="49" t="inlineStr">
        <is>
          <t>ACE-10482</t>
        </is>
      </c>
      <c r="B483" s="49" t="inlineStr">
        <is>
          <t>2026-05-20 10:07:48</t>
        </is>
      </c>
      <c r="C483" s="49" t="inlineStr">
        <is>
          <t>CUST-79428</t>
        </is>
      </c>
      <c r="D483" s="49" t="inlineStr">
        <is>
          <t>GBP-PKR</t>
        </is>
      </c>
      <c r="E483" s="49" t="inlineStr">
        <is>
          <t>GBP</t>
        </is>
      </c>
      <c r="F483" s="7" t="n">
        <v>253.2141463852492</v>
      </c>
      <c r="G483" s="8" t="n">
        <v>1</v>
      </c>
      <c r="H483" s="7" t="n">
        <v>253.2141463852492</v>
      </c>
      <c r="I483" s="7" t="n">
        <v>1.5</v>
      </c>
      <c r="J483" s="9" t="n">
        <v>0.021</v>
      </c>
      <c r="K483" s="49" t="inlineStr">
        <is>
          <t>Success</t>
        </is>
      </c>
      <c r="L483" s="7" t="n">
        <v>0.3798212195778737</v>
      </c>
      <c r="M483" s="7" t="n">
        <v>0.7596424391557475</v>
      </c>
      <c r="N483" s="7" t="n">
        <v>3.03856975662299</v>
      </c>
    </row>
    <row r="484" ht="18" customHeight="1">
      <c r="A484" s="49" t="inlineStr">
        <is>
          <t>ACE-10483</t>
        </is>
      </c>
      <c r="B484" s="49" t="inlineStr">
        <is>
          <t>2026-05-07 20:12:08</t>
        </is>
      </c>
      <c r="C484" s="49" t="inlineStr">
        <is>
          <t>CUST-52796</t>
        </is>
      </c>
      <c r="D484" s="49" t="inlineStr">
        <is>
          <t>EUR-PKR</t>
        </is>
      </c>
      <c r="E484" s="49" t="inlineStr">
        <is>
          <t>EUR</t>
        </is>
      </c>
      <c r="F484" s="7" t="n">
        <v>160.9959871492028</v>
      </c>
      <c r="G484" s="8" t="n">
        <v>0.85</v>
      </c>
      <c r="H484" s="7" t="n">
        <v>136.8465890768224</v>
      </c>
      <c r="I484" s="7" t="n">
        <v>1.275</v>
      </c>
      <c r="J484" s="9" t="n">
        <v>0.023</v>
      </c>
      <c r="K484" s="49" t="inlineStr">
        <is>
          <t>Success</t>
        </is>
      </c>
      <c r="L484" s="7" t="n">
        <v>0.2052698836152337</v>
      </c>
      <c r="M484" s="7" t="n">
        <v>0.4105397672304673</v>
      </c>
      <c r="N484" s="7" t="n">
        <v>2.052698836152336</v>
      </c>
    </row>
    <row r="485" ht="18" customHeight="1">
      <c r="A485" s="49" t="inlineStr">
        <is>
          <t>ACE-10484</t>
        </is>
      </c>
      <c r="B485" s="49" t="inlineStr">
        <is>
          <t>2026-05-14 11:52:40</t>
        </is>
      </c>
      <c r="C485" s="49" t="inlineStr">
        <is>
          <t>CUST-59691</t>
        </is>
      </c>
      <c r="D485" s="49" t="inlineStr">
        <is>
          <t>GBP-PKR</t>
        </is>
      </c>
      <c r="E485" s="49" t="inlineStr">
        <is>
          <t>GBP</t>
        </is>
      </c>
      <c r="F485" s="7" t="n">
        <v>284.3301226402408</v>
      </c>
      <c r="G485" s="8" t="n">
        <v>1</v>
      </c>
      <c r="H485" s="7" t="n">
        <v>284.3301226402408</v>
      </c>
      <c r="I485" s="7" t="n">
        <v>1.5</v>
      </c>
      <c r="J485" s="9" t="n">
        <v>0.021</v>
      </c>
      <c r="K485" s="49" t="inlineStr">
        <is>
          <t>Success</t>
        </is>
      </c>
      <c r="L485" s="7" t="n">
        <v>0.4264951839603612</v>
      </c>
      <c r="M485" s="7" t="n">
        <v>0</v>
      </c>
      <c r="N485" s="7" t="n">
        <v>3.41196147168289</v>
      </c>
    </row>
    <row r="486" ht="18" customHeight="1">
      <c r="A486" s="49" t="inlineStr">
        <is>
          <t>ACE-10485</t>
        </is>
      </c>
      <c r="B486" s="49" t="inlineStr">
        <is>
          <t>2026-05-24 20:04:05</t>
        </is>
      </c>
      <c r="C486" s="49" t="inlineStr">
        <is>
          <t>CUST-75434</t>
        </is>
      </c>
      <c r="D486" s="49" t="inlineStr">
        <is>
          <t>GBP-PKR</t>
        </is>
      </c>
      <c r="E486" s="49" t="inlineStr">
        <is>
          <t>GBP</t>
        </is>
      </c>
      <c r="F486" s="7" t="n">
        <v>258.308479750818</v>
      </c>
      <c r="G486" s="8" t="n">
        <v>1</v>
      </c>
      <c r="H486" s="7" t="n">
        <v>258.308479750818</v>
      </c>
      <c r="I486" s="7" t="n">
        <v>1.5</v>
      </c>
      <c r="J486" s="9" t="n">
        <v>0.021</v>
      </c>
      <c r="K486" s="49" t="inlineStr">
        <is>
          <t>Success</t>
        </is>
      </c>
      <c r="L486" s="7" t="n">
        <v>0.3874627196262271</v>
      </c>
      <c r="M486" s="7" t="n">
        <v>0</v>
      </c>
      <c r="N486" s="7" t="n">
        <v>3.099701757009817</v>
      </c>
    </row>
    <row r="487" ht="18" customHeight="1">
      <c r="A487" s="49" t="inlineStr">
        <is>
          <t>ACE-10486</t>
        </is>
      </c>
      <c r="B487" s="49" t="inlineStr">
        <is>
          <t>2026-05-09 16:29:58</t>
        </is>
      </c>
      <c r="C487" s="49" t="inlineStr">
        <is>
          <t>CUST-50810</t>
        </is>
      </c>
      <c r="D487" s="49" t="inlineStr">
        <is>
          <t>GBP-PKR</t>
        </is>
      </c>
      <c r="E487" s="49" t="inlineStr">
        <is>
          <t>GBP</t>
        </is>
      </c>
      <c r="F487" s="7" t="n">
        <v>241.667842625066</v>
      </c>
      <c r="G487" s="8" t="n">
        <v>1</v>
      </c>
      <c r="H487" s="7" t="n">
        <v>241.667842625066</v>
      </c>
      <c r="I487" s="7" t="n">
        <v>1.5</v>
      </c>
      <c r="J487" s="9" t="n">
        <v>0.021</v>
      </c>
      <c r="K487" s="49" t="inlineStr">
        <is>
          <t>Success</t>
        </is>
      </c>
      <c r="L487" s="7" t="n">
        <v>0.362501763937599</v>
      </c>
      <c r="M487" s="7" t="n">
        <v>0.725003527875198</v>
      </c>
      <c r="N487" s="7" t="n">
        <v>2.900014111500792</v>
      </c>
    </row>
    <row r="488" ht="18" customHeight="1">
      <c r="A488" s="49" t="inlineStr">
        <is>
          <t>ACE-10487</t>
        </is>
      </c>
      <c r="B488" s="49" t="inlineStr">
        <is>
          <t>2026-05-17 20:26:07</t>
        </is>
      </c>
      <c r="C488" s="49" t="inlineStr">
        <is>
          <t>CUST-77160</t>
        </is>
      </c>
      <c r="D488" s="49" t="inlineStr">
        <is>
          <t>GBP-PKR</t>
        </is>
      </c>
      <c r="E488" s="49" t="inlineStr">
        <is>
          <t>GBP</t>
        </is>
      </c>
      <c r="F488" s="7" t="n">
        <v>261.1597567103947</v>
      </c>
      <c r="G488" s="8" t="n">
        <v>1</v>
      </c>
      <c r="H488" s="7" t="n">
        <v>261.1597567103947</v>
      </c>
      <c r="I488" s="7" t="n">
        <v>1.5</v>
      </c>
      <c r="J488" s="9" t="n">
        <v>0.021</v>
      </c>
      <c r="K488" s="49" t="inlineStr">
        <is>
          <t>Success</t>
        </is>
      </c>
      <c r="L488" s="7" t="n">
        <v>0.3917396350655921</v>
      </c>
      <c r="M488" s="7" t="n">
        <v>0</v>
      </c>
      <c r="N488" s="7" t="n">
        <v>3.133917080524737</v>
      </c>
    </row>
    <row r="489" ht="18" customHeight="1">
      <c r="A489" s="49" t="inlineStr">
        <is>
          <t>ACE-10488</t>
        </is>
      </c>
      <c r="B489" s="49" t="inlineStr">
        <is>
          <t>2026-05-19 20:06:59</t>
        </is>
      </c>
      <c r="C489" s="49" t="inlineStr">
        <is>
          <t>CUST-56922</t>
        </is>
      </c>
      <c r="D489" s="49" t="inlineStr">
        <is>
          <t>EUR-PKR</t>
        </is>
      </c>
      <c r="E489" s="49" t="inlineStr">
        <is>
          <t>EUR</t>
        </is>
      </c>
      <c r="F489" s="7" t="n">
        <v>169.672358046644</v>
      </c>
      <c r="G489" s="8" t="n">
        <v>0.85</v>
      </c>
      <c r="H489" s="7" t="n">
        <v>144.2215043396474</v>
      </c>
      <c r="I489" s="7" t="n">
        <v>1.275</v>
      </c>
      <c r="J489" s="9" t="n">
        <v>0.023</v>
      </c>
      <c r="K489" s="49" t="inlineStr">
        <is>
          <t>Success</t>
        </is>
      </c>
      <c r="L489" s="7" t="n">
        <v>0.216332256509471</v>
      </c>
      <c r="M489" s="7" t="n">
        <v>0</v>
      </c>
      <c r="N489" s="7" t="n">
        <v>2.163322565094711</v>
      </c>
    </row>
    <row r="490" ht="18" customHeight="1">
      <c r="A490" s="49" t="inlineStr">
        <is>
          <t>ACE-10489</t>
        </is>
      </c>
      <c r="B490" s="49" t="inlineStr">
        <is>
          <t>2026-05-10 16:56:22</t>
        </is>
      </c>
      <c r="C490" s="49" t="inlineStr">
        <is>
          <t>CUST-76928</t>
        </is>
      </c>
      <c r="D490" s="49" t="inlineStr">
        <is>
          <t>USD-PKR</t>
        </is>
      </c>
      <c r="E490" s="49" t="inlineStr">
        <is>
          <t>USD</t>
        </is>
      </c>
      <c r="F490" s="7" t="n">
        <v>259.1330690458705</v>
      </c>
      <c r="G490" s="8" t="n">
        <v>0.8</v>
      </c>
      <c r="H490" s="7" t="n">
        <v>207.3064552366964</v>
      </c>
      <c r="I490" s="7" t="n">
        <v>1.6</v>
      </c>
      <c r="J490" s="9" t="n">
        <v>0.019</v>
      </c>
      <c r="K490" s="49" t="inlineStr">
        <is>
          <t>Success</t>
        </is>
      </c>
      <c r="L490" s="7" t="n">
        <v>0.3109596828550446</v>
      </c>
      <c r="M490" s="7" t="n">
        <v>0.6219193657100891</v>
      </c>
      <c r="N490" s="7" t="n">
        <v>2.487677462840356</v>
      </c>
    </row>
    <row r="491" ht="18" customHeight="1">
      <c r="A491" s="49" t="inlineStr">
        <is>
          <t>ACE-10490</t>
        </is>
      </c>
      <c r="B491" s="49" t="inlineStr">
        <is>
          <t>2026-05-19 17:30:02</t>
        </is>
      </c>
      <c r="C491" s="49" t="inlineStr">
        <is>
          <t>CUST-61285</t>
        </is>
      </c>
      <c r="D491" s="49" t="inlineStr">
        <is>
          <t>GBP-PKR</t>
        </is>
      </c>
      <c r="E491" s="49" t="inlineStr">
        <is>
          <t>GBP</t>
        </is>
      </c>
      <c r="F491" s="7" t="n">
        <v>304.2815970893058</v>
      </c>
      <c r="G491" s="8" t="n">
        <v>1</v>
      </c>
      <c r="H491" s="7" t="n">
        <v>304.2815970893058</v>
      </c>
      <c r="I491" s="7" t="n">
        <v>1.5</v>
      </c>
      <c r="J491" s="9" t="n">
        <v>0.021</v>
      </c>
      <c r="K491" s="49" t="inlineStr">
        <is>
          <t>Success</t>
        </is>
      </c>
      <c r="L491" s="7" t="n">
        <v>0.4564223956339586</v>
      </c>
      <c r="M491" s="7" t="n">
        <v>0</v>
      </c>
      <c r="N491" s="7" t="n">
        <v>3.651379165071669</v>
      </c>
    </row>
    <row r="492" ht="18" customHeight="1">
      <c r="A492" s="49" t="inlineStr">
        <is>
          <t>ACE-10491</t>
        </is>
      </c>
      <c r="B492" s="49" t="inlineStr">
        <is>
          <t>2026-05-20 18:44:25</t>
        </is>
      </c>
      <c r="C492" s="49" t="inlineStr">
        <is>
          <t>CUST-52541</t>
        </is>
      </c>
      <c r="D492" s="49" t="inlineStr">
        <is>
          <t>GBP-PKR</t>
        </is>
      </c>
      <c r="E492" s="49" t="inlineStr">
        <is>
          <t>GBP</t>
        </is>
      </c>
      <c r="F492" s="7" t="n">
        <v>278.3814621219469</v>
      </c>
      <c r="G492" s="8" t="n">
        <v>1</v>
      </c>
      <c r="H492" s="7" t="n">
        <v>278.3814621219469</v>
      </c>
      <c r="I492" s="7" t="n">
        <v>1.5</v>
      </c>
      <c r="J492" s="9" t="n">
        <v>0.021</v>
      </c>
      <c r="K492" s="49" t="inlineStr">
        <is>
          <t>Success</t>
        </is>
      </c>
      <c r="L492" s="7" t="n">
        <v>0.4175721931829203</v>
      </c>
      <c r="M492" s="7" t="n">
        <v>0.8351443863658407</v>
      </c>
      <c r="N492" s="7" t="n">
        <v>3.340577545463363</v>
      </c>
    </row>
    <row r="493" ht="18" customHeight="1">
      <c r="A493" s="49" t="inlineStr">
        <is>
          <t>ACE-10492</t>
        </is>
      </c>
      <c r="B493" s="49" t="inlineStr">
        <is>
          <t>2026-05-23 11:03:47</t>
        </is>
      </c>
      <c r="C493" s="49" t="inlineStr">
        <is>
          <t>CUST-81143</t>
        </is>
      </c>
      <c r="D493" s="49" t="inlineStr">
        <is>
          <t>GBP-PKR</t>
        </is>
      </c>
      <c r="E493" s="49" t="inlineStr">
        <is>
          <t>GBP</t>
        </is>
      </c>
      <c r="F493" s="7" t="n">
        <v>323.0425399099578</v>
      </c>
      <c r="G493" s="8" t="n">
        <v>1</v>
      </c>
      <c r="H493" s="7" t="n">
        <v>323.0425399099578</v>
      </c>
      <c r="I493" s="7" t="n">
        <v>1.5</v>
      </c>
      <c r="J493" s="9" t="n">
        <v>0.021</v>
      </c>
      <c r="K493" s="49" t="inlineStr">
        <is>
          <t>Success</t>
        </is>
      </c>
      <c r="L493" s="7" t="n">
        <v>0.4845638098649367</v>
      </c>
      <c r="M493" s="7" t="n">
        <v>0.9691276197298735</v>
      </c>
      <c r="N493" s="7" t="n">
        <v>3.876510478919494</v>
      </c>
    </row>
    <row r="494" ht="18" customHeight="1">
      <c r="A494" s="49" t="inlineStr">
        <is>
          <t>ACE-10493</t>
        </is>
      </c>
      <c r="B494" s="49" t="inlineStr">
        <is>
          <t>2026-05-01 13:52:50</t>
        </is>
      </c>
      <c r="C494" s="49" t="inlineStr">
        <is>
          <t>CUST-69861</t>
        </is>
      </c>
      <c r="D494" s="49" t="inlineStr">
        <is>
          <t>GBP-PKR</t>
        </is>
      </c>
      <c r="E494" s="49" t="inlineStr">
        <is>
          <t>GBP</t>
        </is>
      </c>
      <c r="F494" s="7" t="n">
        <v>280.7673622054015</v>
      </c>
      <c r="G494" s="8" t="n">
        <v>1</v>
      </c>
      <c r="H494" s="7" t="n">
        <v>280.7673622054015</v>
      </c>
      <c r="I494" s="7" t="n">
        <v>1.5</v>
      </c>
      <c r="J494" s="9" t="n">
        <v>0.021</v>
      </c>
      <c r="K494" s="49" t="inlineStr">
        <is>
          <t>Success</t>
        </is>
      </c>
      <c r="L494" s="7" t="n">
        <v>0.4211510433081022</v>
      </c>
      <c r="M494" s="7" t="n">
        <v>0.8423020866162044</v>
      </c>
      <c r="N494" s="7" t="n">
        <v>3.369208346464818</v>
      </c>
    </row>
    <row r="495" ht="18" customHeight="1">
      <c r="A495" s="49" t="inlineStr">
        <is>
          <t>ACE-10494</t>
        </is>
      </c>
      <c r="B495" s="49" t="inlineStr">
        <is>
          <t>2026-05-23 18:06:55</t>
        </is>
      </c>
      <c r="C495" s="49" t="inlineStr">
        <is>
          <t>CUST-64939</t>
        </is>
      </c>
      <c r="D495" s="49" t="inlineStr">
        <is>
          <t>GBP-PKR</t>
        </is>
      </c>
      <c r="E495" s="49" t="inlineStr">
        <is>
          <t>GBP</t>
        </is>
      </c>
      <c r="F495" s="7" t="n">
        <v>255.6121312001201</v>
      </c>
      <c r="G495" s="8" t="n">
        <v>1</v>
      </c>
      <c r="H495" s="7" t="n">
        <v>255.6121312001201</v>
      </c>
      <c r="I495" s="7" t="n">
        <v>1.5</v>
      </c>
      <c r="J495" s="9" t="n">
        <v>0.021</v>
      </c>
      <c r="K495" s="49" t="inlineStr">
        <is>
          <t>Success</t>
        </is>
      </c>
      <c r="L495" s="7" t="n">
        <v>0.3834181968001802</v>
      </c>
      <c r="M495" s="7" t="n">
        <v>0.7668363936003604</v>
      </c>
      <c r="N495" s="7" t="n">
        <v>3.067345574401442</v>
      </c>
    </row>
    <row r="496" ht="18" customHeight="1">
      <c r="A496" s="49" t="inlineStr">
        <is>
          <t>ACE-10495</t>
        </is>
      </c>
      <c r="B496" s="49" t="inlineStr">
        <is>
          <t>2026-05-15 20:52:20</t>
        </is>
      </c>
      <c r="C496" s="49" t="inlineStr">
        <is>
          <t>CUST-67656</t>
        </is>
      </c>
      <c r="D496" s="49" t="inlineStr">
        <is>
          <t>GBP-PKR</t>
        </is>
      </c>
      <c r="E496" s="49" t="inlineStr">
        <is>
          <t>GBP</t>
        </is>
      </c>
      <c r="F496" s="7" t="n">
        <v>324.4404515215388</v>
      </c>
      <c r="G496" s="8" t="n">
        <v>1</v>
      </c>
      <c r="H496" s="7" t="n">
        <v>324.4404515215388</v>
      </c>
      <c r="I496" s="7" t="n">
        <v>1.5</v>
      </c>
      <c r="J496" s="9" t="n">
        <v>0.021</v>
      </c>
      <c r="K496" s="49" t="inlineStr">
        <is>
          <t>Success</t>
        </is>
      </c>
      <c r="L496" s="7" t="n">
        <v>0.4866606772823082</v>
      </c>
      <c r="M496" s="7" t="n">
        <v>0.9733213545646163</v>
      </c>
      <c r="N496" s="7" t="n">
        <v>3.893285418258465</v>
      </c>
    </row>
    <row r="497" ht="18" customHeight="1">
      <c r="A497" s="49" t="inlineStr">
        <is>
          <t>ACE-10496</t>
        </is>
      </c>
      <c r="B497" s="49" t="inlineStr">
        <is>
          <t>2026-05-03 11:28:13</t>
        </is>
      </c>
      <c r="C497" s="49" t="inlineStr">
        <is>
          <t>CUST-76684</t>
        </is>
      </c>
      <c r="D497" s="49" t="inlineStr">
        <is>
          <t>GBP-PKR</t>
        </is>
      </c>
      <c r="E497" s="49" t="inlineStr">
        <is>
          <t>GBP</t>
        </is>
      </c>
      <c r="F497" s="7" t="n">
        <v>294.0296485133717</v>
      </c>
      <c r="G497" s="8" t="n">
        <v>1</v>
      </c>
      <c r="H497" s="7" t="n">
        <v>294.0296485133717</v>
      </c>
      <c r="I497" s="7" t="n">
        <v>1.5</v>
      </c>
      <c r="J497" s="9" t="n">
        <v>0.021</v>
      </c>
      <c r="K497" s="49" t="inlineStr">
        <is>
          <t>Success</t>
        </is>
      </c>
      <c r="L497" s="7" t="n">
        <v>0.4410444727700576</v>
      </c>
      <c r="M497" s="7" t="n">
        <v>0.8820889455401152</v>
      </c>
      <c r="N497" s="7" t="n">
        <v>3.528355782160461</v>
      </c>
    </row>
    <row r="498" ht="18" customHeight="1">
      <c r="A498" s="49" t="inlineStr">
        <is>
          <t>ACE-10497</t>
        </is>
      </c>
      <c r="B498" s="49" t="inlineStr">
        <is>
          <t>2026-05-12 08:32:50</t>
        </is>
      </c>
      <c r="C498" s="49" t="inlineStr">
        <is>
          <t>CUST-60418</t>
        </is>
      </c>
      <c r="D498" s="49" t="inlineStr">
        <is>
          <t>GBP-PKR</t>
        </is>
      </c>
      <c r="E498" s="49" t="inlineStr">
        <is>
          <t>GBP</t>
        </is>
      </c>
      <c r="F498" s="7" t="n">
        <v>251.1536712221411</v>
      </c>
      <c r="G498" s="8" t="n">
        <v>1</v>
      </c>
      <c r="H498" s="7" t="n">
        <v>251.1536712221411</v>
      </c>
      <c r="I498" s="7" t="n">
        <v>1.5</v>
      </c>
      <c r="J498" s="9" t="n">
        <v>0.021</v>
      </c>
      <c r="K498" s="49" t="inlineStr">
        <is>
          <t>Success</t>
        </is>
      </c>
      <c r="L498" s="7" t="n">
        <v>0.3767305068332117</v>
      </c>
      <c r="M498" s="7" t="n">
        <v>0.7534610136664234</v>
      </c>
      <c r="N498" s="7" t="n">
        <v>3.013844054665693</v>
      </c>
    </row>
    <row r="499" ht="18" customHeight="1">
      <c r="A499" s="49" t="inlineStr">
        <is>
          <t>ACE-10498</t>
        </is>
      </c>
      <c r="B499" s="49" t="inlineStr">
        <is>
          <t>2026-05-13 10:49:54</t>
        </is>
      </c>
      <c r="C499" s="49" t="inlineStr">
        <is>
          <t>CUST-84359</t>
        </is>
      </c>
      <c r="D499" s="49" t="inlineStr">
        <is>
          <t>GBP-PKR</t>
        </is>
      </c>
      <c r="E499" s="49" t="inlineStr">
        <is>
          <t>GBP</t>
        </is>
      </c>
      <c r="F499" s="7" t="n">
        <v>273.3507407849381</v>
      </c>
      <c r="G499" s="8" t="n">
        <v>1</v>
      </c>
      <c r="H499" s="7" t="n">
        <v>273.3507407849381</v>
      </c>
      <c r="I499" s="7" t="n">
        <v>1.5</v>
      </c>
      <c r="J499" s="9" t="n">
        <v>0.021</v>
      </c>
      <c r="K499" s="49" t="inlineStr">
        <is>
          <t>Success</t>
        </is>
      </c>
      <c r="L499" s="7" t="n">
        <v>0.4100261111774072</v>
      </c>
      <c r="M499" s="7" t="n">
        <v>0</v>
      </c>
      <c r="N499" s="7" t="n">
        <v>3.280208889419257</v>
      </c>
    </row>
    <row r="500" ht="18" customHeight="1">
      <c r="A500" s="49" t="inlineStr">
        <is>
          <t>ACE-10499</t>
        </is>
      </c>
      <c r="B500" s="49" t="inlineStr">
        <is>
          <t>2026-05-07 11:53:03</t>
        </is>
      </c>
      <c r="C500" s="49" t="inlineStr">
        <is>
          <t>CUST-66350</t>
        </is>
      </c>
      <c r="D500" s="49" t="inlineStr">
        <is>
          <t>GBP-PKR</t>
        </is>
      </c>
      <c r="E500" s="49" t="inlineStr">
        <is>
          <t>GBP</t>
        </is>
      </c>
      <c r="F500" s="7" t="n">
        <v>255.245997912001</v>
      </c>
      <c r="G500" s="8" t="n">
        <v>1</v>
      </c>
      <c r="H500" s="7" t="n">
        <v>255.245997912001</v>
      </c>
      <c r="I500" s="7" t="n">
        <v>1.5</v>
      </c>
      <c r="J500" s="9" t="n">
        <v>0.021</v>
      </c>
      <c r="K500" s="49" t="inlineStr">
        <is>
          <t>Success</t>
        </is>
      </c>
      <c r="L500" s="7" t="n">
        <v>0.3828689968680016</v>
      </c>
      <c r="M500" s="7" t="n">
        <v>0</v>
      </c>
      <c r="N500" s="7" t="n">
        <v>3.062951974944013</v>
      </c>
    </row>
    <row r="501" ht="18" customHeight="1">
      <c r="A501" s="49" t="inlineStr">
        <is>
          <t>ACE-10500</t>
        </is>
      </c>
      <c r="B501" s="49" t="inlineStr">
        <is>
          <t>2026-05-12 19:12:17</t>
        </is>
      </c>
      <c r="C501" s="49" t="inlineStr">
        <is>
          <t>CUST-74140</t>
        </is>
      </c>
      <c r="D501" s="49" t="inlineStr">
        <is>
          <t>GBP-PKR</t>
        </is>
      </c>
      <c r="E501" s="49" t="inlineStr">
        <is>
          <t>GBP</t>
        </is>
      </c>
      <c r="F501" s="7" t="n">
        <v>242.6232018117696</v>
      </c>
      <c r="G501" s="8" t="n">
        <v>1</v>
      </c>
      <c r="H501" s="7" t="n">
        <v>242.6232018117696</v>
      </c>
      <c r="I501" s="7" t="n">
        <v>1.5</v>
      </c>
      <c r="J501" s="9" t="n">
        <v>0.021</v>
      </c>
      <c r="K501" s="49" t="inlineStr">
        <is>
          <t>Success</t>
        </is>
      </c>
      <c r="L501" s="7" t="n">
        <v>0.3639348027176544</v>
      </c>
      <c r="M501" s="7" t="n">
        <v>0</v>
      </c>
      <c r="N501" s="7" t="n">
        <v>2.911478421741236</v>
      </c>
    </row>
    <row r="502" ht="18" customHeight="1">
      <c r="A502" s="49" t="inlineStr">
        <is>
          <t>ACE-10501</t>
        </is>
      </c>
      <c r="B502" s="49" t="inlineStr">
        <is>
          <t>2026-05-21 09:43:01</t>
        </is>
      </c>
      <c r="C502" s="49" t="inlineStr">
        <is>
          <t>CUST-65855</t>
        </is>
      </c>
      <c r="D502" s="49" t="inlineStr">
        <is>
          <t>EUR-PKR</t>
        </is>
      </c>
      <c r="E502" s="49" t="inlineStr">
        <is>
          <t>EUR</t>
        </is>
      </c>
      <c r="F502" s="7" t="n">
        <v>207.3984509597043</v>
      </c>
      <c r="G502" s="8" t="n">
        <v>0.85</v>
      </c>
      <c r="H502" s="7" t="n">
        <v>176.2886833157486</v>
      </c>
      <c r="I502" s="7" t="n">
        <v>1.275</v>
      </c>
      <c r="J502" s="9" t="n">
        <v>0.023</v>
      </c>
      <c r="K502" s="49" t="inlineStr">
        <is>
          <t>Success</t>
        </is>
      </c>
      <c r="L502" s="7" t="n">
        <v>0.2644330249736229</v>
      </c>
      <c r="M502" s="7" t="n">
        <v>0</v>
      </c>
      <c r="N502" s="7" t="n">
        <v>2.644330249736229</v>
      </c>
    </row>
    <row r="503" ht="18" customHeight="1">
      <c r="A503" s="49" t="inlineStr">
        <is>
          <t>ACE-10502</t>
        </is>
      </c>
      <c r="B503" s="49" t="inlineStr">
        <is>
          <t>2026-05-06 15:37:35</t>
        </is>
      </c>
      <c r="C503" s="49" t="inlineStr">
        <is>
          <t>CUST-72921</t>
        </is>
      </c>
      <c r="D503" s="49" t="inlineStr">
        <is>
          <t>GBP-PKR</t>
        </is>
      </c>
      <c r="E503" s="49" t="inlineStr">
        <is>
          <t>GBP</t>
        </is>
      </c>
      <c r="F503" s="7" t="n">
        <v>337.2185603658499</v>
      </c>
      <c r="G503" s="8" t="n">
        <v>1</v>
      </c>
      <c r="H503" s="7" t="n">
        <v>337.2185603658499</v>
      </c>
      <c r="I503" s="7" t="n">
        <v>1.5</v>
      </c>
      <c r="J503" s="9" t="n">
        <v>0.021</v>
      </c>
      <c r="K503" s="49" t="inlineStr">
        <is>
          <t>Success</t>
        </is>
      </c>
      <c r="L503" s="7" t="n">
        <v>0.5058278405487748</v>
      </c>
      <c r="M503" s="7" t="n">
        <v>1.01165568109755</v>
      </c>
      <c r="N503" s="7" t="n">
        <v>4.046622724390199</v>
      </c>
    </row>
    <row r="504" ht="18" customHeight="1">
      <c r="A504" s="49" t="inlineStr">
        <is>
          <t>ACE-10503</t>
        </is>
      </c>
      <c r="B504" s="49" t="inlineStr">
        <is>
          <t>2026-05-09 19:53:44</t>
        </is>
      </c>
      <c r="C504" s="49" t="inlineStr">
        <is>
          <t>CUST-55923</t>
        </is>
      </c>
      <c r="D504" s="49" t="inlineStr">
        <is>
          <t>GBP-PKR</t>
        </is>
      </c>
      <c r="E504" s="49" t="inlineStr">
        <is>
          <t>GBP</t>
        </is>
      </c>
      <c r="F504" s="7" t="n">
        <v>242.2409388122051</v>
      </c>
      <c r="G504" s="8" t="n">
        <v>1</v>
      </c>
      <c r="H504" s="7" t="n">
        <v>242.2409388122051</v>
      </c>
      <c r="I504" s="7" t="n">
        <v>1.5</v>
      </c>
      <c r="J504" s="9" t="n">
        <v>0.021</v>
      </c>
      <c r="K504" s="49" t="inlineStr">
        <is>
          <t>Success</t>
        </is>
      </c>
      <c r="L504" s="7" t="n">
        <v>0.3633614082183077</v>
      </c>
      <c r="M504" s="7" t="n">
        <v>0</v>
      </c>
      <c r="N504" s="7" t="n">
        <v>2.906891265746462</v>
      </c>
    </row>
    <row r="505" ht="18" customHeight="1">
      <c r="A505" s="49" t="inlineStr">
        <is>
          <t>ACE-10504</t>
        </is>
      </c>
      <c r="B505" s="49" t="inlineStr">
        <is>
          <t>2026-05-06 17:49:13</t>
        </is>
      </c>
      <c r="C505" s="49" t="inlineStr">
        <is>
          <t>CUST-64506</t>
        </is>
      </c>
      <c r="D505" s="49" t="inlineStr">
        <is>
          <t>GBP-PKR</t>
        </is>
      </c>
      <c r="E505" s="49" t="inlineStr">
        <is>
          <t>GBP</t>
        </is>
      </c>
      <c r="F505" s="7" t="n">
        <v>294.7379117901746</v>
      </c>
      <c r="G505" s="8" t="n">
        <v>1</v>
      </c>
      <c r="H505" s="7" t="n">
        <v>294.7379117901746</v>
      </c>
      <c r="I505" s="7" t="n">
        <v>1.5</v>
      </c>
      <c r="J505" s="9" t="n">
        <v>0.021</v>
      </c>
      <c r="K505" s="49" t="inlineStr">
        <is>
          <t>Success</t>
        </is>
      </c>
      <c r="L505" s="7" t="n">
        <v>0.4421068676852619</v>
      </c>
      <c r="M505" s="7" t="n">
        <v>0.8842137353705238</v>
      </c>
      <c r="N505" s="7" t="n">
        <v>3.536854941482095</v>
      </c>
    </row>
    <row r="506" ht="18" customHeight="1">
      <c r="A506" s="49" t="inlineStr">
        <is>
          <t>ACE-10505</t>
        </is>
      </c>
      <c r="B506" s="49" t="inlineStr">
        <is>
          <t>2026-05-09 18:26:32</t>
        </is>
      </c>
      <c r="C506" s="49" t="inlineStr">
        <is>
          <t>CUST-51314</t>
        </is>
      </c>
      <c r="D506" s="49" t="inlineStr">
        <is>
          <t>GBP-PKR</t>
        </is>
      </c>
      <c r="E506" s="49" t="inlineStr">
        <is>
          <t>GBP</t>
        </is>
      </c>
      <c r="F506" s="7" t="n">
        <v>261.0534945432415</v>
      </c>
      <c r="G506" s="8" t="n">
        <v>1</v>
      </c>
      <c r="H506" s="7" t="n">
        <v>261.0534945432415</v>
      </c>
      <c r="I506" s="7" t="n">
        <v>1.5</v>
      </c>
      <c r="J506" s="9" t="n">
        <v>0.021</v>
      </c>
      <c r="K506" s="49" t="inlineStr">
        <is>
          <t>Success</t>
        </is>
      </c>
      <c r="L506" s="7" t="n">
        <v>0.3915802418148623</v>
      </c>
      <c r="M506" s="7" t="n">
        <v>0.7831604836297246</v>
      </c>
      <c r="N506" s="7" t="n">
        <v>3.132641934518898</v>
      </c>
    </row>
    <row r="507" ht="18" customHeight="1">
      <c r="A507" s="49" t="inlineStr">
        <is>
          <t>ACE-10506</t>
        </is>
      </c>
      <c r="B507" s="49" t="inlineStr">
        <is>
          <t>2026-05-22 08:30:58</t>
        </is>
      </c>
      <c r="C507" s="49" t="inlineStr">
        <is>
          <t>CUST-58671</t>
        </is>
      </c>
      <c r="D507" s="49" t="inlineStr">
        <is>
          <t>GBP-PKR</t>
        </is>
      </c>
      <c r="E507" s="49" t="inlineStr">
        <is>
          <t>GBP</t>
        </is>
      </c>
      <c r="F507" s="7" t="n">
        <v>265.3572588862185</v>
      </c>
      <c r="G507" s="8" t="n">
        <v>1</v>
      </c>
      <c r="H507" s="7" t="n">
        <v>265.3572588862185</v>
      </c>
      <c r="I507" s="7" t="n">
        <v>1.5</v>
      </c>
      <c r="J507" s="9" t="n">
        <v>0.021</v>
      </c>
      <c r="K507" s="49" t="inlineStr">
        <is>
          <t>Success</t>
        </is>
      </c>
      <c r="L507" s="7" t="n">
        <v>0.3980358883293278</v>
      </c>
      <c r="M507" s="7" t="n">
        <v>0.7960717766586556</v>
      </c>
      <c r="N507" s="7" t="n">
        <v>3.184287106634622</v>
      </c>
    </row>
    <row r="508" ht="18" customHeight="1">
      <c r="A508" s="49" t="inlineStr">
        <is>
          <t>ACE-10507</t>
        </is>
      </c>
      <c r="B508" s="49" t="inlineStr">
        <is>
          <t>2026-05-01 11:16:38</t>
        </is>
      </c>
      <c r="C508" s="49" t="inlineStr">
        <is>
          <t>CUST-70018</t>
        </is>
      </c>
      <c r="D508" s="49" t="inlineStr">
        <is>
          <t>GBP-PKR</t>
        </is>
      </c>
      <c r="E508" s="49" t="inlineStr">
        <is>
          <t>GBP</t>
        </is>
      </c>
      <c r="F508" s="7" t="n">
        <v>262.578533032499</v>
      </c>
      <c r="G508" s="8" t="n">
        <v>1</v>
      </c>
      <c r="H508" s="7" t="n">
        <v>262.578533032499</v>
      </c>
      <c r="I508" s="7" t="n">
        <v>1.5</v>
      </c>
      <c r="J508" s="9" t="n">
        <v>0.021</v>
      </c>
      <c r="K508" s="49" t="inlineStr">
        <is>
          <t>Success</t>
        </is>
      </c>
      <c r="L508" s="7" t="n">
        <v>0.3938677995487485</v>
      </c>
      <c r="M508" s="7" t="n">
        <v>0.7877355990974969</v>
      </c>
      <c r="N508" s="7" t="n">
        <v>3.150942396389988</v>
      </c>
    </row>
    <row r="509" ht="18" customHeight="1">
      <c r="A509" s="49" t="inlineStr">
        <is>
          <t>ACE-10508</t>
        </is>
      </c>
      <c r="B509" s="49" t="inlineStr">
        <is>
          <t>2026-05-09 14:57:24</t>
        </is>
      </c>
      <c r="C509" s="49" t="inlineStr">
        <is>
          <t>CUST-72853</t>
        </is>
      </c>
      <c r="D509" s="49" t="inlineStr">
        <is>
          <t>GBP-PKR</t>
        </is>
      </c>
      <c r="E509" s="49" t="inlineStr">
        <is>
          <t>GBP</t>
        </is>
      </c>
      <c r="F509" s="7" t="n">
        <v>255.5429573912667</v>
      </c>
      <c r="G509" s="8" t="n">
        <v>1</v>
      </c>
      <c r="H509" s="7" t="n">
        <v>255.5429573912667</v>
      </c>
      <c r="I509" s="7" t="n">
        <v>1.5</v>
      </c>
      <c r="J509" s="9" t="n">
        <v>0.021</v>
      </c>
      <c r="K509" s="49" t="inlineStr">
        <is>
          <t>Success</t>
        </is>
      </c>
      <c r="L509" s="7" t="n">
        <v>0.3833144360869001</v>
      </c>
      <c r="M509" s="7" t="n">
        <v>0</v>
      </c>
      <c r="N509" s="7" t="n">
        <v>3.066515488695201</v>
      </c>
    </row>
    <row r="510" ht="18" customHeight="1">
      <c r="A510" s="49" t="inlineStr">
        <is>
          <t>ACE-10509</t>
        </is>
      </c>
      <c r="B510" s="49" t="inlineStr">
        <is>
          <t>2026-05-10 18:33:52</t>
        </is>
      </c>
      <c r="C510" s="49" t="inlineStr">
        <is>
          <t>CUST-90868</t>
        </is>
      </c>
      <c r="D510" s="49" t="inlineStr">
        <is>
          <t>GBP-PKR</t>
        </is>
      </c>
      <c r="E510" s="49" t="inlineStr">
        <is>
          <t>GBP</t>
        </is>
      </c>
      <c r="F510" s="7" t="n">
        <v>279.9586086421218</v>
      </c>
      <c r="G510" s="8" t="n">
        <v>1</v>
      </c>
      <c r="H510" s="7" t="n">
        <v>279.9586086421218</v>
      </c>
      <c r="I510" s="7" t="n">
        <v>1.5</v>
      </c>
      <c r="J510" s="9" t="n">
        <v>0.021</v>
      </c>
      <c r="K510" s="49" t="inlineStr">
        <is>
          <t>Success</t>
        </is>
      </c>
      <c r="L510" s="7" t="n">
        <v>0.4199379129631827</v>
      </c>
      <c r="M510" s="7" t="n">
        <v>0</v>
      </c>
      <c r="N510" s="7" t="n">
        <v>3.359503303705461</v>
      </c>
    </row>
    <row r="511" ht="18" customHeight="1">
      <c r="A511" s="49" t="inlineStr">
        <is>
          <t>ACE-10510</t>
        </is>
      </c>
      <c r="B511" s="49" t="inlineStr">
        <is>
          <t>2026-05-17 18:53:53</t>
        </is>
      </c>
      <c r="C511" s="49" t="inlineStr">
        <is>
          <t>CUST-74525</t>
        </is>
      </c>
      <c r="D511" s="49" t="inlineStr">
        <is>
          <t>GBP-PKR</t>
        </is>
      </c>
      <c r="E511" s="49" t="inlineStr">
        <is>
          <t>GBP</t>
        </is>
      </c>
      <c r="F511" s="7" t="n">
        <v>256.3886844155903</v>
      </c>
      <c r="G511" s="8" t="n">
        <v>1</v>
      </c>
      <c r="H511" s="7" t="n">
        <v>256.3886844155903</v>
      </c>
      <c r="I511" s="7" t="n">
        <v>1.5</v>
      </c>
      <c r="J511" s="9" t="n">
        <v>0.021</v>
      </c>
      <c r="K511" s="49" t="inlineStr">
        <is>
          <t>Success</t>
        </is>
      </c>
      <c r="L511" s="7" t="n">
        <v>0.3845830266233855</v>
      </c>
      <c r="M511" s="7" t="n">
        <v>0</v>
      </c>
      <c r="N511" s="7" t="n">
        <v>3.076664212987084</v>
      </c>
    </row>
    <row r="512" ht="18" customHeight="1">
      <c r="A512" s="49" t="inlineStr">
        <is>
          <t>ACE-10511</t>
        </is>
      </c>
      <c r="B512" s="49" t="inlineStr">
        <is>
          <t>2026-05-10 12:43:06</t>
        </is>
      </c>
      <c r="C512" s="49" t="inlineStr">
        <is>
          <t>CUST-81571</t>
        </is>
      </c>
      <c r="D512" s="49" t="inlineStr">
        <is>
          <t>USD-PKR</t>
        </is>
      </c>
      <c r="E512" s="49" t="inlineStr">
        <is>
          <t>USD</t>
        </is>
      </c>
      <c r="F512" s="7" t="n">
        <v>224.9039065390737</v>
      </c>
      <c r="G512" s="8" t="n">
        <v>0.8</v>
      </c>
      <c r="H512" s="7" t="n">
        <v>179.923125231259</v>
      </c>
      <c r="I512" s="7" t="n">
        <v>1.6</v>
      </c>
      <c r="J512" s="9" t="n">
        <v>0.019</v>
      </c>
      <c r="K512" s="49" t="inlineStr">
        <is>
          <t>Success</t>
        </is>
      </c>
      <c r="L512" s="7" t="n">
        <v>0.2698846878468884</v>
      </c>
      <c r="M512" s="7" t="n">
        <v>0.5397693756937768</v>
      </c>
      <c r="N512" s="7" t="n">
        <v>2.159077502775107</v>
      </c>
    </row>
    <row r="513" ht="18" customHeight="1">
      <c r="A513" s="49" t="inlineStr">
        <is>
          <t>ACE-10512</t>
        </is>
      </c>
      <c r="B513" s="49" t="inlineStr">
        <is>
          <t>2026-05-21 13:55:17</t>
        </is>
      </c>
      <c r="C513" s="49" t="inlineStr">
        <is>
          <t>CUST-67114</t>
        </is>
      </c>
      <c r="D513" s="49" t="inlineStr">
        <is>
          <t>GBP-PKR</t>
        </is>
      </c>
      <c r="E513" s="49" t="inlineStr">
        <is>
          <t>GBP</t>
        </is>
      </c>
      <c r="F513" s="7" t="n">
        <v>277.2073528021763</v>
      </c>
      <c r="G513" s="8" t="n">
        <v>1</v>
      </c>
      <c r="H513" s="7" t="n">
        <v>277.2073528021763</v>
      </c>
      <c r="I513" s="7" t="n">
        <v>1.5</v>
      </c>
      <c r="J513" s="9" t="n">
        <v>0.021</v>
      </c>
      <c r="K513" s="49" t="inlineStr">
        <is>
          <t>Success</t>
        </is>
      </c>
      <c r="L513" s="7" t="n">
        <v>0.4158110292032644</v>
      </c>
      <c r="M513" s="7" t="n">
        <v>0.8316220584065288</v>
      </c>
      <c r="N513" s="7" t="n">
        <v>3.326488233626115</v>
      </c>
    </row>
    <row r="514" ht="18" customHeight="1">
      <c r="A514" s="49" t="inlineStr">
        <is>
          <t>ACE-10513</t>
        </is>
      </c>
      <c r="B514" s="49" t="inlineStr">
        <is>
          <t>2026-05-21 12:12:09</t>
        </is>
      </c>
      <c r="C514" s="49" t="inlineStr">
        <is>
          <t>CUST-83901</t>
        </is>
      </c>
      <c r="D514" s="49" t="inlineStr">
        <is>
          <t>GBP-PKR</t>
        </is>
      </c>
      <c r="E514" s="49" t="inlineStr">
        <is>
          <t>GBP</t>
        </is>
      </c>
      <c r="F514" s="7" t="n">
        <v>272.0252243242934</v>
      </c>
      <c r="G514" s="8" t="n">
        <v>1</v>
      </c>
      <c r="H514" s="7" t="n">
        <v>272.0252243242934</v>
      </c>
      <c r="I514" s="7" t="n">
        <v>1.5</v>
      </c>
      <c r="J514" s="9" t="n">
        <v>0.021</v>
      </c>
      <c r="K514" s="49" t="inlineStr">
        <is>
          <t>Success</t>
        </is>
      </c>
      <c r="L514" s="7" t="n">
        <v>0.4080378364864402</v>
      </c>
      <c r="M514" s="7" t="n">
        <v>0.8160756729728803</v>
      </c>
      <c r="N514" s="7" t="n">
        <v>3.264302691891521</v>
      </c>
    </row>
    <row r="515" ht="18" customHeight="1">
      <c r="A515" s="49" t="inlineStr">
        <is>
          <t>ACE-10514</t>
        </is>
      </c>
      <c r="B515" s="49" t="inlineStr">
        <is>
          <t>2026-05-20 14:42:20</t>
        </is>
      </c>
      <c r="C515" s="49" t="inlineStr">
        <is>
          <t>CUST-94614</t>
        </is>
      </c>
      <c r="D515" s="49" t="inlineStr">
        <is>
          <t>GBP-PKR</t>
        </is>
      </c>
      <c r="E515" s="49" t="inlineStr">
        <is>
          <t>GBP</t>
        </is>
      </c>
      <c r="F515" s="7" t="n">
        <v>254.4319051594761</v>
      </c>
      <c r="G515" s="8" t="n">
        <v>1</v>
      </c>
      <c r="H515" s="7" t="n">
        <v>254.4319051594761</v>
      </c>
      <c r="I515" s="7" t="n">
        <v>1.5</v>
      </c>
      <c r="J515" s="9" t="n">
        <v>0.021</v>
      </c>
      <c r="K515" s="49" t="inlineStr">
        <is>
          <t>Success</t>
        </is>
      </c>
      <c r="L515" s="7" t="n">
        <v>0.3816478577392141</v>
      </c>
      <c r="M515" s="7" t="n">
        <v>0</v>
      </c>
      <c r="N515" s="7" t="n">
        <v>3.053182861913713</v>
      </c>
    </row>
    <row r="516" ht="18" customHeight="1">
      <c r="A516" s="49" t="inlineStr">
        <is>
          <t>ACE-10515</t>
        </is>
      </c>
      <c r="B516" s="49" t="inlineStr">
        <is>
          <t>2026-05-16 12:16:58</t>
        </is>
      </c>
      <c r="C516" s="49" t="inlineStr">
        <is>
          <t>CUST-77431</t>
        </is>
      </c>
      <c r="D516" s="49" t="inlineStr">
        <is>
          <t>GBP-PKR</t>
        </is>
      </c>
      <c r="E516" s="49" t="inlineStr">
        <is>
          <t>GBP</t>
        </is>
      </c>
      <c r="F516" s="7" t="n">
        <v>262.989069403964</v>
      </c>
      <c r="G516" s="8" t="n">
        <v>1</v>
      </c>
      <c r="H516" s="7" t="n">
        <v>262.989069403964</v>
      </c>
      <c r="I516" s="7" t="n">
        <v>1.5</v>
      </c>
      <c r="J516" s="9" t="n">
        <v>0.021</v>
      </c>
      <c r="K516" s="49" t="inlineStr">
        <is>
          <t>Success</t>
        </is>
      </c>
      <c r="L516" s="7" t="n">
        <v>0.3944836041059461</v>
      </c>
      <c r="M516" s="7" t="n">
        <v>0.7889672082118921</v>
      </c>
      <c r="N516" s="7" t="n">
        <v>3.155868832847569</v>
      </c>
    </row>
    <row r="517" ht="18" customHeight="1">
      <c r="A517" s="49" t="inlineStr">
        <is>
          <t>ACE-10516</t>
        </is>
      </c>
      <c r="B517" s="49" t="inlineStr">
        <is>
          <t>2026-05-19 19:36:52</t>
        </is>
      </c>
      <c r="C517" s="49" t="inlineStr">
        <is>
          <t>CUST-62446</t>
        </is>
      </c>
      <c r="D517" s="49" t="inlineStr">
        <is>
          <t>GBP-PKR</t>
        </is>
      </c>
      <c r="E517" s="49" t="inlineStr">
        <is>
          <t>GBP</t>
        </is>
      </c>
      <c r="F517" s="7" t="n">
        <v>300.4642341474722</v>
      </c>
      <c r="G517" s="8" t="n">
        <v>1</v>
      </c>
      <c r="H517" s="7" t="n">
        <v>300.4642341474722</v>
      </c>
      <c r="I517" s="7" t="n">
        <v>1.5</v>
      </c>
      <c r="J517" s="9" t="n">
        <v>0.021</v>
      </c>
      <c r="K517" s="49" t="inlineStr">
        <is>
          <t>Success</t>
        </is>
      </c>
      <c r="L517" s="7" t="n">
        <v>0.4506963512212083</v>
      </c>
      <c r="M517" s="7" t="n">
        <v>0.9013927024424165</v>
      </c>
      <c r="N517" s="7" t="n">
        <v>3.605570809769666</v>
      </c>
    </row>
    <row r="518" ht="18" customHeight="1">
      <c r="A518" s="49" t="inlineStr">
        <is>
          <t>ACE-10517</t>
        </is>
      </c>
      <c r="B518" s="49" t="inlineStr">
        <is>
          <t>2026-05-22 16:40:50</t>
        </is>
      </c>
      <c r="C518" s="49" t="inlineStr">
        <is>
          <t>CUST-81177</t>
        </is>
      </c>
      <c r="D518" s="49" t="inlineStr">
        <is>
          <t>GBP-PKR</t>
        </is>
      </c>
      <c r="E518" s="49" t="inlineStr">
        <is>
          <t>GBP</t>
        </is>
      </c>
      <c r="F518" s="7" t="n">
        <v>292.9146653130332</v>
      </c>
      <c r="G518" s="8" t="n">
        <v>1</v>
      </c>
      <c r="H518" s="7" t="n">
        <v>292.9146653130332</v>
      </c>
      <c r="I518" s="7" t="n">
        <v>1.5</v>
      </c>
      <c r="J518" s="9" t="n">
        <v>0.021</v>
      </c>
      <c r="K518" s="49" t="inlineStr">
        <is>
          <t>Success</t>
        </is>
      </c>
      <c r="L518" s="7" t="n">
        <v>0.4393719979695498</v>
      </c>
      <c r="M518" s="7" t="n">
        <v>0.8787439959390996</v>
      </c>
      <c r="N518" s="7" t="n">
        <v>3.514975983756398</v>
      </c>
    </row>
    <row r="519" ht="18" customHeight="1">
      <c r="A519" s="49" t="inlineStr">
        <is>
          <t>ACE-10518</t>
        </is>
      </c>
      <c r="B519" s="49" t="inlineStr">
        <is>
          <t>2026-05-17 12:54:10</t>
        </is>
      </c>
      <c r="C519" s="49" t="inlineStr">
        <is>
          <t>CUST-93097</t>
        </is>
      </c>
      <c r="D519" s="49" t="inlineStr">
        <is>
          <t>GBP-PKR</t>
        </is>
      </c>
      <c r="E519" s="49" t="inlineStr">
        <is>
          <t>GBP</t>
        </is>
      </c>
      <c r="F519" s="7" t="n">
        <v>252.6573135531425</v>
      </c>
      <c r="G519" s="8" t="n">
        <v>1</v>
      </c>
      <c r="H519" s="7" t="n">
        <v>252.6573135531425</v>
      </c>
      <c r="I519" s="7" t="n">
        <v>1.5</v>
      </c>
      <c r="J519" s="9" t="n">
        <v>0.021</v>
      </c>
      <c r="K519" s="49" t="inlineStr">
        <is>
          <t>Success</t>
        </is>
      </c>
      <c r="L519" s="7" t="n">
        <v>0.3789859703297138</v>
      </c>
      <c r="M519" s="7" t="n">
        <v>0</v>
      </c>
      <c r="N519" s="7" t="n">
        <v>3.031887762637711</v>
      </c>
    </row>
    <row r="520" ht="18" customHeight="1">
      <c r="A520" s="49" t="inlineStr">
        <is>
          <t>ACE-10519</t>
        </is>
      </c>
      <c r="B520" s="49" t="inlineStr">
        <is>
          <t>2026-05-04 15:08:47</t>
        </is>
      </c>
      <c r="C520" s="49" t="inlineStr">
        <is>
          <t>CUST-66951</t>
        </is>
      </c>
      <c r="D520" s="49" t="inlineStr">
        <is>
          <t>GBP-PKR</t>
        </is>
      </c>
      <c r="E520" s="49" t="inlineStr">
        <is>
          <t>GBP</t>
        </is>
      </c>
      <c r="F520" s="7" t="n">
        <v>281.3847173085846</v>
      </c>
      <c r="G520" s="8" t="n">
        <v>1</v>
      </c>
      <c r="H520" s="7" t="n">
        <v>281.3847173085846</v>
      </c>
      <c r="I520" s="7" t="n">
        <v>1.5</v>
      </c>
      <c r="J520" s="9" t="n">
        <v>0.021</v>
      </c>
      <c r="K520" s="49" t="inlineStr">
        <is>
          <t>Success</t>
        </is>
      </c>
      <c r="L520" s="7" t="n">
        <v>0.422077075962877</v>
      </c>
      <c r="M520" s="7" t="n">
        <v>0</v>
      </c>
      <c r="N520" s="7" t="n">
        <v>3.376616607703016</v>
      </c>
    </row>
    <row r="521" ht="18" customHeight="1">
      <c r="A521" s="49" t="inlineStr">
        <is>
          <t>ACE-10520</t>
        </is>
      </c>
      <c r="B521" s="49" t="inlineStr">
        <is>
          <t>2026-05-06 18:57:21</t>
        </is>
      </c>
      <c r="C521" s="49" t="inlineStr">
        <is>
          <t>CUST-92889</t>
        </is>
      </c>
      <c r="D521" s="49" t="inlineStr">
        <is>
          <t>GBP-PKR</t>
        </is>
      </c>
      <c r="E521" s="49" t="inlineStr">
        <is>
          <t>GBP</t>
        </is>
      </c>
      <c r="F521" s="7" t="n">
        <v>300.3439492729993</v>
      </c>
      <c r="G521" s="8" t="n">
        <v>1</v>
      </c>
      <c r="H521" s="7" t="n">
        <v>300.3439492729993</v>
      </c>
      <c r="I521" s="7" t="n">
        <v>1.5</v>
      </c>
      <c r="J521" s="9" t="n">
        <v>0.021</v>
      </c>
      <c r="K521" s="49" t="inlineStr">
        <is>
          <t>Success</t>
        </is>
      </c>
      <c r="L521" s="7" t="n">
        <v>0.450515923909499</v>
      </c>
      <c r="M521" s="7" t="n">
        <v>0</v>
      </c>
      <c r="N521" s="7" t="n">
        <v>3.604127391275992</v>
      </c>
    </row>
    <row r="522" ht="18" customHeight="1">
      <c r="A522" s="49" t="inlineStr">
        <is>
          <t>ACE-10521</t>
        </is>
      </c>
      <c r="B522" s="49" t="inlineStr">
        <is>
          <t>2026-05-24 12:26:50</t>
        </is>
      </c>
      <c r="C522" s="49" t="inlineStr">
        <is>
          <t>CUST-71713</t>
        </is>
      </c>
      <c r="D522" s="49" t="inlineStr">
        <is>
          <t>USD-PKR</t>
        </is>
      </c>
      <c r="E522" s="49" t="inlineStr">
        <is>
          <t>USD</t>
        </is>
      </c>
      <c r="F522" s="7" t="n">
        <v>185.2464347246699</v>
      </c>
      <c r="G522" s="8" t="n">
        <v>0.8</v>
      </c>
      <c r="H522" s="7" t="n">
        <v>148.1971477797359</v>
      </c>
      <c r="I522" s="7" t="n">
        <v>1.6</v>
      </c>
      <c r="J522" s="9" t="n">
        <v>0.019</v>
      </c>
      <c r="K522" s="49" t="inlineStr">
        <is>
          <t>Success</t>
        </is>
      </c>
      <c r="L522" s="7" t="n">
        <v>0.2222957216696038</v>
      </c>
      <c r="M522" s="7" t="n">
        <v>0</v>
      </c>
      <c r="N522" s="7" t="n">
        <v>1.778365773356831</v>
      </c>
    </row>
    <row r="523" ht="18" customHeight="1">
      <c r="A523" s="49" t="inlineStr">
        <is>
          <t>ACE-10522</t>
        </is>
      </c>
      <c r="B523" s="49" t="inlineStr">
        <is>
          <t>2026-05-15 09:30:03</t>
        </is>
      </c>
      <c r="C523" s="49" t="inlineStr">
        <is>
          <t>CUST-91575</t>
        </is>
      </c>
      <c r="D523" s="49" t="inlineStr">
        <is>
          <t>USD-PKR</t>
        </is>
      </c>
      <c r="E523" s="49" t="inlineStr">
        <is>
          <t>USD</t>
        </is>
      </c>
      <c r="F523" s="7" t="n">
        <v>231.1261269412212</v>
      </c>
      <c r="G523" s="8" t="n">
        <v>0.8</v>
      </c>
      <c r="H523" s="7" t="n">
        <v>184.900901552977</v>
      </c>
      <c r="I523" s="7" t="n">
        <v>1.6</v>
      </c>
      <c r="J523" s="9" t="n">
        <v>0.019</v>
      </c>
      <c r="K523" s="49" t="inlineStr">
        <is>
          <t>Success</t>
        </is>
      </c>
      <c r="L523" s="7" t="n">
        <v>0.2773513523294655</v>
      </c>
      <c r="M523" s="7" t="n">
        <v>0.5547027046589309</v>
      </c>
      <c r="N523" s="7" t="n">
        <v>2.218810818635724</v>
      </c>
    </row>
    <row r="524" ht="18" customHeight="1">
      <c r="A524" s="49" t="inlineStr">
        <is>
          <t>ACE-10523</t>
        </is>
      </c>
      <c r="B524" s="49" t="inlineStr">
        <is>
          <t>2026-05-03 15:56:12</t>
        </is>
      </c>
      <c r="C524" s="49" t="inlineStr">
        <is>
          <t>CUST-82799</t>
        </is>
      </c>
      <c r="D524" s="49" t="inlineStr">
        <is>
          <t>EUR-PKR</t>
        </is>
      </c>
      <c r="E524" s="49" t="inlineStr">
        <is>
          <t>EUR</t>
        </is>
      </c>
      <c r="F524" s="7" t="n">
        <v>176.931330897411</v>
      </c>
      <c r="G524" s="8" t="n">
        <v>0.85</v>
      </c>
      <c r="H524" s="7" t="n">
        <v>150.3916312627993</v>
      </c>
      <c r="I524" s="7" t="n">
        <v>1.275</v>
      </c>
      <c r="J524" s="9" t="n">
        <v>0.023</v>
      </c>
      <c r="K524" s="49" t="inlineStr">
        <is>
          <t>Success</t>
        </is>
      </c>
      <c r="L524" s="7" t="n">
        <v>0.225587446894199</v>
      </c>
      <c r="M524" s="7" t="n">
        <v>0.4511748937883979</v>
      </c>
      <c r="N524" s="7" t="n">
        <v>2.25587446894199</v>
      </c>
    </row>
    <row r="525" ht="18" customHeight="1">
      <c r="A525" s="49" t="inlineStr">
        <is>
          <t>ACE-10524</t>
        </is>
      </c>
      <c r="B525" s="49" t="inlineStr">
        <is>
          <t>2026-05-17 12:26:03</t>
        </is>
      </c>
      <c r="C525" s="49" t="inlineStr">
        <is>
          <t>CUST-59881</t>
        </is>
      </c>
      <c r="D525" s="49" t="inlineStr">
        <is>
          <t>GBP-PKR</t>
        </is>
      </c>
      <c r="E525" s="49" t="inlineStr">
        <is>
          <t>GBP</t>
        </is>
      </c>
      <c r="F525" s="7" t="n">
        <v>294.9628658755678</v>
      </c>
      <c r="G525" s="8" t="n">
        <v>1</v>
      </c>
      <c r="H525" s="7" t="n">
        <v>294.9628658755678</v>
      </c>
      <c r="I525" s="7" t="n">
        <v>1.5</v>
      </c>
      <c r="J525" s="9" t="n">
        <v>0.021</v>
      </c>
      <c r="K525" s="49" t="inlineStr">
        <is>
          <t>Success</t>
        </is>
      </c>
      <c r="L525" s="7" t="n">
        <v>0.4424442988133518</v>
      </c>
      <c r="M525" s="7" t="n">
        <v>0</v>
      </c>
      <c r="N525" s="7" t="n">
        <v>3.539554390506814</v>
      </c>
    </row>
    <row r="526" ht="18" customHeight="1">
      <c r="A526" s="49" t="inlineStr">
        <is>
          <t>ACE-10525</t>
        </is>
      </c>
      <c r="B526" s="49" t="inlineStr">
        <is>
          <t>2026-05-14 17:57:58</t>
        </is>
      </c>
      <c r="C526" s="49" t="inlineStr">
        <is>
          <t>CUST-79987</t>
        </is>
      </c>
      <c r="D526" s="49" t="inlineStr">
        <is>
          <t>GBP-PKR</t>
        </is>
      </c>
      <c r="E526" s="49" t="inlineStr">
        <is>
          <t>GBP</t>
        </is>
      </c>
      <c r="F526" s="7" t="n">
        <v>258.1300912560069</v>
      </c>
      <c r="G526" s="8" t="n">
        <v>1</v>
      </c>
      <c r="H526" s="7" t="n">
        <v>258.1300912560069</v>
      </c>
      <c r="I526" s="7" t="n">
        <v>1.5</v>
      </c>
      <c r="J526" s="9" t="n">
        <v>0.021</v>
      </c>
      <c r="K526" s="49" t="inlineStr">
        <is>
          <t>Success</t>
        </is>
      </c>
      <c r="L526" s="7" t="n">
        <v>0.3871951368840104</v>
      </c>
      <c r="M526" s="7" t="n">
        <v>0.7743902737680208</v>
      </c>
      <c r="N526" s="7" t="n">
        <v>3.097561095072083</v>
      </c>
    </row>
    <row r="527" ht="18" customHeight="1">
      <c r="A527" s="49" t="inlineStr">
        <is>
          <t>ACE-10526</t>
        </is>
      </c>
      <c r="B527" s="49" t="inlineStr">
        <is>
          <t>2026-05-06 20:05:31</t>
        </is>
      </c>
      <c r="C527" s="49" t="inlineStr">
        <is>
          <t>CUST-71799</t>
        </is>
      </c>
      <c r="D527" s="49" t="inlineStr">
        <is>
          <t>GBP-PKR</t>
        </is>
      </c>
      <c r="E527" s="49" t="inlineStr">
        <is>
          <t>GBP</t>
        </is>
      </c>
      <c r="F527" s="7" t="n">
        <v>232.5956162333516</v>
      </c>
      <c r="G527" s="8" t="n">
        <v>1</v>
      </c>
      <c r="H527" s="7" t="n">
        <v>232.5956162333516</v>
      </c>
      <c r="I527" s="7" t="n">
        <v>1.5</v>
      </c>
      <c r="J527" s="9" t="n">
        <v>0.021</v>
      </c>
      <c r="K527" s="49" t="inlineStr">
        <is>
          <t>Success</t>
        </is>
      </c>
      <c r="L527" s="7" t="n">
        <v>0.3488934243500275</v>
      </c>
      <c r="M527" s="7" t="n">
        <v>0</v>
      </c>
      <c r="N527" s="7" t="n">
        <v>2.79114739480022</v>
      </c>
    </row>
    <row r="528" ht="18" customHeight="1">
      <c r="A528" s="49" t="inlineStr">
        <is>
          <t>ACE-10527</t>
        </is>
      </c>
      <c r="B528" s="49" t="inlineStr">
        <is>
          <t>2026-05-21 08:00:28</t>
        </is>
      </c>
      <c r="C528" s="49" t="inlineStr">
        <is>
          <t>CUST-67925</t>
        </is>
      </c>
      <c r="D528" s="49" t="inlineStr">
        <is>
          <t>EUR-PKR</t>
        </is>
      </c>
      <c r="E528" s="49" t="inlineStr">
        <is>
          <t>EUR</t>
        </is>
      </c>
      <c r="F528" s="7" t="n">
        <v>160.6567061224403</v>
      </c>
      <c r="G528" s="8" t="n">
        <v>0.85</v>
      </c>
      <c r="H528" s="7" t="n">
        <v>136.5582002040743</v>
      </c>
      <c r="I528" s="7" t="n">
        <v>1.275</v>
      </c>
      <c r="J528" s="9" t="n">
        <v>0.023</v>
      </c>
      <c r="K528" s="49" t="inlineStr">
        <is>
          <t>Success</t>
        </is>
      </c>
      <c r="L528" s="7" t="n">
        <v>0.2048373003061114</v>
      </c>
      <c r="M528" s="7" t="n">
        <v>0.4096746006122229</v>
      </c>
      <c r="N528" s="7" t="n">
        <v>2.048373003061114</v>
      </c>
    </row>
    <row r="529" ht="18" customHeight="1">
      <c r="A529" s="49" t="inlineStr">
        <is>
          <t>ACE-10528</t>
        </is>
      </c>
      <c r="B529" s="49" t="inlineStr">
        <is>
          <t>2026-05-19 20:10:31</t>
        </is>
      </c>
      <c r="C529" s="49" t="inlineStr">
        <is>
          <t>CUST-55769</t>
        </is>
      </c>
      <c r="D529" s="49" t="inlineStr">
        <is>
          <t>GBP-PKR</t>
        </is>
      </c>
      <c r="E529" s="49" t="inlineStr">
        <is>
          <t>GBP</t>
        </is>
      </c>
      <c r="F529" s="7" t="n">
        <v>279.9463836405918</v>
      </c>
      <c r="G529" s="8" t="n">
        <v>1</v>
      </c>
      <c r="H529" s="7" t="n">
        <v>279.9463836405918</v>
      </c>
      <c r="I529" s="7" t="n">
        <v>1.5</v>
      </c>
      <c r="J529" s="9" t="n">
        <v>0.021</v>
      </c>
      <c r="K529" s="49" t="inlineStr">
        <is>
          <t>Success</t>
        </is>
      </c>
      <c r="L529" s="7" t="n">
        <v>0.4199195754608878</v>
      </c>
      <c r="M529" s="7" t="n">
        <v>0</v>
      </c>
      <c r="N529" s="7" t="n">
        <v>3.359356603687102</v>
      </c>
    </row>
    <row r="530" ht="18" customHeight="1">
      <c r="A530" s="49" t="inlineStr">
        <is>
          <t>ACE-10529</t>
        </is>
      </c>
      <c r="B530" s="49" t="inlineStr">
        <is>
          <t>2026-05-14 14:27:30</t>
        </is>
      </c>
      <c r="C530" s="49" t="inlineStr">
        <is>
          <t>CUST-75121</t>
        </is>
      </c>
      <c r="D530" s="49" t="inlineStr">
        <is>
          <t>GBP-PKR</t>
        </is>
      </c>
      <c r="E530" s="49" t="inlineStr">
        <is>
          <t>GBP</t>
        </is>
      </c>
      <c r="F530" s="7" t="n">
        <v>285.9342397224855</v>
      </c>
      <c r="G530" s="8" t="n">
        <v>1</v>
      </c>
      <c r="H530" s="7" t="n">
        <v>285.9342397224855</v>
      </c>
      <c r="I530" s="7" t="n">
        <v>1.5</v>
      </c>
      <c r="J530" s="9" t="n">
        <v>0.021</v>
      </c>
      <c r="K530" s="49" t="inlineStr">
        <is>
          <t>Failed</t>
        </is>
      </c>
      <c r="L530" s="7" t="n">
        <v>0</v>
      </c>
      <c r="M530" s="7" t="n">
        <v>0</v>
      </c>
      <c r="N530" s="7" t="n">
        <v>0.5</v>
      </c>
    </row>
    <row r="531" ht="18" customHeight="1">
      <c r="A531" s="49" t="inlineStr">
        <is>
          <t>ACE-10530</t>
        </is>
      </c>
      <c r="B531" s="49" t="inlineStr">
        <is>
          <t>2026-05-18 11:46:23</t>
        </is>
      </c>
      <c r="C531" s="49" t="inlineStr">
        <is>
          <t>CUST-50922</t>
        </is>
      </c>
      <c r="D531" s="49" t="inlineStr">
        <is>
          <t>EUR-PKR</t>
        </is>
      </c>
      <c r="E531" s="49" t="inlineStr">
        <is>
          <t>EUR</t>
        </is>
      </c>
      <c r="F531" s="7" t="n">
        <v>172.7062906252689</v>
      </c>
      <c r="G531" s="8" t="n">
        <v>0.85</v>
      </c>
      <c r="H531" s="7" t="n">
        <v>146.8003470314785</v>
      </c>
      <c r="I531" s="7" t="n">
        <v>1.275</v>
      </c>
      <c r="J531" s="9" t="n">
        <v>0.023</v>
      </c>
      <c r="K531" s="49" t="inlineStr">
        <is>
          <t>Success</t>
        </is>
      </c>
      <c r="L531" s="7" t="n">
        <v>0.2202005205472178</v>
      </c>
      <c r="M531" s="7" t="n">
        <v>0.4404010410944356</v>
      </c>
      <c r="N531" s="7" t="n">
        <v>2.202005205472178</v>
      </c>
    </row>
    <row r="532" ht="18" customHeight="1">
      <c r="A532" s="49" t="inlineStr">
        <is>
          <t>ACE-10531</t>
        </is>
      </c>
      <c r="B532" s="49" t="inlineStr">
        <is>
          <t>2026-05-17 11:01:43</t>
        </is>
      </c>
      <c r="C532" s="49" t="inlineStr">
        <is>
          <t>CUST-50270</t>
        </is>
      </c>
      <c r="D532" s="49" t="inlineStr">
        <is>
          <t>USD-PKR</t>
        </is>
      </c>
      <c r="E532" s="49" t="inlineStr">
        <is>
          <t>USD</t>
        </is>
      </c>
      <c r="F532" s="7" t="n">
        <v>233.3377074071188</v>
      </c>
      <c r="G532" s="8" t="n">
        <v>0.8</v>
      </c>
      <c r="H532" s="7" t="n">
        <v>186.6701659256951</v>
      </c>
      <c r="I532" s="7" t="n">
        <v>1.6</v>
      </c>
      <c r="J532" s="9" t="n">
        <v>0.019</v>
      </c>
      <c r="K532" s="49" t="inlineStr">
        <is>
          <t>Success</t>
        </is>
      </c>
      <c r="L532" s="7" t="n">
        <v>0.2800052488885426</v>
      </c>
      <c r="M532" s="7" t="n">
        <v>0</v>
      </c>
      <c r="N532" s="7" t="n">
        <v>2.240041991108341</v>
      </c>
    </row>
    <row r="533" ht="18" customHeight="1">
      <c r="A533" s="49" t="inlineStr">
        <is>
          <t>ACE-10532</t>
        </is>
      </c>
      <c r="B533" s="49" t="inlineStr">
        <is>
          <t>2026-05-23 13:19:08</t>
        </is>
      </c>
      <c r="C533" s="49" t="inlineStr">
        <is>
          <t>CUST-56731</t>
        </is>
      </c>
      <c r="D533" s="49" t="inlineStr">
        <is>
          <t>GBP-PKR</t>
        </is>
      </c>
      <c r="E533" s="49" t="inlineStr">
        <is>
          <t>GBP</t>
        </is>
      </c>
      <c r="F533" s="7" t="n">
        <v>235.9541713426434</v>
      </c>
      <c r="G533" s="8" t="n">
        <v>1</v>
      </c>
      <c r="H533" s="7" t="n">
        <v>235.9541713426434</v>
      </c>
      <c r="I533" s="7" t="n">
        <v>1.5</v>
      </c>
      <c r="J533" s="9" t="n">
        <v>0.021</v>
      </c>
      <c r="K533" s="49" t="inlineStr">
        <is>
          <t>Success</t>
        </is>
      </c>
      <c r="L533" s="7" t="n">
        <v>0.3539312570139651</v>
      </c>
      <c r="M533" s="7" t="n">
        <v>0</v>
      </c>
      <c r="N533" s="7" t="n">
        <v>2.83145005611172</v>
      </c>
    </row>
    <row r="534" ht="18" customHeight="1">
      <c r="A534" s="49" t="inlineStr">
        <is>
          <t>ACE-10533</t>
        </is>
      </c>
      <c r="B534" s="49" t="inlineStr">
        <is>
          <t>2026-05-06 09:52:02</t>
        </is>
      </c>
      <c r="C534" s="49" t="inlineStr">
        <is>
          <t>CUST-69542</t>
        </is>
      </c>
      <c r="D534" s="49" t="inlineStr">
        <is>
          <t>USD-PKR</t>
        </is>
      </c>
      <c r="E534" s="49" t="inlineStr">
        <is>
          <t>USD</t>
        </is>
      </c>
      <c r="F534" s="7" t="n">
        <v>217.4610092163761</v>
      </c>
      <c r="G534" s="8" t="n">
        <v>0.8</v>
      </c>
      <c r="H534" s="7" t="n">
        <v>173.9688073731008</v>
      </c>
      <c r="I534" s="7" t="n">
        <v>1.6</v>
      </c>
      <c r="J534" s="9" t="n">
        <v>0.019</v>
      </c>
      <c r="K534" s="49" t="inlineStr">
        <is>
          <t>Success</t>
        </is>
      </c>
      <c r="L534" s="7" t="n">
        <v>0.2609532110596512</v>
      </c>
      <c r="M534" s="7" t="n">
        <v>0</v>
      </c>
      <c r="N534" s="7" t="n">
        <v>2.08762568847721</v>
      </c>
    </row>
    <row r="535" ht="18" customHeight="1">
      <c r="A535" s="49" t="inlineStr">
        <is>
          <t>ACE-10534</t>
        </is>
      </c>
      <c r="B535" s="49" t="inlineStr">
        <is>
          <t>2026-05-17 17:33:21</t>
        </is>
      </c>
      <c r="C535" s="49" t="inlineStr">
        <is>
          <t>CUST-78420</t>
        </is>
      </c>
      <c r="D535" s="49" t="inlineStr">
        <is>
          <t>USD-PKR</t>
        </is>
      </c>
      <c r="E535" s="49" t="inlineStr">
        <is>
          <t>USD</t>
        </is>
      </c>
      <c r="F535" s="7" t="n">
        <v>193.9355575642155</v>
      </c>
      <c r="G535" s="8" t="n">
        <v>0.8</v>
      </c>
      <c r="H535" s="7" t="n">
        <v>155.1484460513724</v>
      </c>
      <c r="I535" s="7" t="n">
        <v>1.6</v>
      </c>
      <c r="J535" s="9" t="n">
        <v>0.019</v>
      </c>
      <c r="K535" s="49" t="inlineStr">
        <is>
          <t>Success</t>
        </is>
      </c>
      <c r="L535" s="7" t="n">
        <v>0.2327226690770586</v>
      </c>
      <c r="M535" s="7" t="n">
        <v>0.4654453381541171</v>
      </c>
      <c r="N535" s="7" t="n">
        <v>1.861781352616469</v>
      </c>
    </row>
    <row r="536" ht="18" customHeight="1">
      <c r="A536" s="49" t="inlineStr">
        <is>
          <t>ACE-10535</t>
        </is>
      </c>
      <c r="B536" s="49" t="inlineStr">
        <is>
          <t>2026-05-11 15:22:48</t>
        </is>
      </c>
      <c r="C536" s="49" t="inlineStr">
        <is>
          <t>CUST-62348</t>
        </is>
      </c>
      <c r="D536" s="49" t="inlineStr">
        <is>
          <t>GBP-PKR</t>
        </is>
      </c>
      <c r="E536" s="49" t="inlineStr">
        <is>
          <t>GBP</t>
        </is>
      </c>
      <c r="F536" s="7" t="n">
        <v>261.0223386582289</v>
      </c>
      <c r="G536" s="8" t="n">
        <v>1</v>
      </c>
      <c r="H536" s="7" t="n">
        <v>261.0223386582289</v>
      </c>
      <c r="I536" s="7" t="n">
        <v>1.5</v>
      </c>
      <c r="J536" s="9" t="n">
        <v>0.021</v>
      </c>
      <c r="K536" s="49" t="inlineStr">
        <is>
          <t>Success</t>
        </is>
      </c>
      <c r="L536" s="7" t="n">
        <v>0.3915335079873433</v>
      </c>
      <c r="M536" s="7" t="n">
        <v>0.7830670159746866</v>
      </c>
      <c r="N536" s="7" t="n">
        <v>3.132268063898747</v>
      </c>
    </row>
    <row r="537" ht="18" customHeight="1">
      <c r="A537" s="49" t="inlineStr">
        <is>
          <t>ACE-10536</t>
        </is>
      </c>
      <c r="B537" s="49" t="inlineStr">
        <is>
          <t>2026-05-13 08:14:14</t>
        </is>
      </c>
      <c r="C537" s="49" t="inlineStr">
        <is>
          <t>CUST-97655</t>
        </is>
      </c>
      <c r="D537" s="49" t="inlineStr">
        <is>
          <t>EUR-PKR</t>
        </is>
      </c>
      <c r="E537" s="49" t="inlineStr">
        <is>
          <t>EUR</t>
        </is>
      </c>
      <c r="F537" s="7" t="n">
        <v>189.9505811830198</v>
      </c>
      <c r="G537" s="8" t="n">
        <v>0.85</v>
      </c>
      <c r="H537" s="7" t="n">
        <v>161.4579940055668</v>
      </c>
      <c r="I537" s="7" t="n">
        <v>1.275</v>
      </c>
      <c r="J537" s="9" t="n">
        <v>0.023</v>
      </c>
      <c r="K537" s="49" t="inlineStr">
        <is>
          <t>Success</t>
        </is>
      </c>
      <c r="L537" s="7" t="n">
        <v>0.2421869910083503</v>
      </c>
      <c r="M537" s="7" t="n">
        <v>0</v>
      </c>
      <c r="N537" s="7" t="n">
        <v>2.421869910083502</v>
      </c>
    </row>
    <row r="538" ht="18" customHeight="1">
      <c r="A538" s="49" t="inlineStr">
        <is>
          <t>ACE-10537</t>
        </is>
      </c>
      <c r="B538" s="49" t="inlineStr">
        <is>
          <t>2026-05-01 17:32:10</t>
        </is>
      </c>
      <c r="C538" s="49" t="inlineStr">
        <is>
          <t>CUST-58071</t>
        </is>
      </c>
      <c r="D538" s="49" t="inlineStr">
        <is>
          <t>GBP-PKR</t>
        </is>
      </c>
      <c r="E538" s="49" t="inlineStr">
        <is>
          <t>GBP</t>
        </is>
      </c>
      <c r="F538" s="7" t="n">
        <v>255.6343917950938</v>
      </c>
      <c r="G538" s="8" t="n">
        <v>1</v>
      </c>
      <c r="H538" s="7" t="n">
        <v>255.6343917950938</v>
      </c>
      <c r="I538" s="7" t="n">
        <v>1.5</v>
      </c>
      <c r="J538" s="9" t="n">
        <v>0.021</v>
      </c>
      <c r="K538" s="49" t="inlineStr">
        <is>
          <t>Success</t>
        </is>
      </c>
      <c r="L538" s="7" t="n">
        <v>0.3834515876926407</v>
      </c>
      <c r="M538" s="7" t="n">
        <v>0.7669031753852814</v>
      </c>
      <c r="N538" s="7" t="n">
        <v>3.067612701541126</v>
      </c>
    </row>
    <row r="539" ht="18" customHeight="1">
      <c r="A539" s="49" t="inlineStr">
        <is>
          <t>ACE-10538</t>
        </is>
      </c>
      <c r="B539" s="49" t="inlineStr">
        <is>
          <t>2026-05-02 14:56:40</t>
        </is>
      </c>
      <c r="C539" s="49" t="inlineStr">
        <is>
          <t>CUST-66763</t>
        </is>
      </c>
      <c r="D539" s="49" t="inlineStr">
        <is>
          <t>GBP-PKR</t>
        </is>
      </c>
      <c r="E539" s="49" t="inlineStr">
        <is>
          <t>GBP</t>
        </is>
      </c>
      <c r="F539" s="7" t="n">
        <v>268.0930304301098</v>
      </c>
      <c r="G539" s="8" t="n">
        <v>1</v>
      </c>
      <c r="H539" s="7" t="n">
        <v>268.0930304301098</v>
      </c>
      <c r="I539" s="7" t="n">
        <v>1.5</v>
      </c>
      <c r="J539" s="9" t="n">
        <v>0.021</v>
      </c>
      <c r="K539" s="49" t="inlineStr">
        <is>
          <t>Success</t>
        </is>
      </c>
      <c r="L539" s="7" t="n">
        <v>0.4021395456451647</v>
      </c>
      <c r="M539" s="7" t="n">
        <v>0.8042790912903295</v>
      </c>
      <c r="N539" s="7" t="n">
        <v>3.217116365161318</v>
      </c>
    </row>
    <row r="540" ht="18" customHeight="1">
      <c r="A540" s="49" t="inlineStr">
        <is>
          <t>ACE-10539</t>
        </is>
      </c>
      <c r="B540" s="49" t="inlineStr">
        <is>
          <t>2026-05-20 08:42:06</t>
        </is>
      </c>
      <c r="C540" s="49" t="inlineStr">
        <is>
          <t>CUST-92832</t>
        </is>
      </c>
      <c r="D540" s="49" t="inlineStr">
        <is>
          <t>GBP-PKR</t>
        </is>
      </c>
      <c r="E540" s="49" t="inlineStr">
        <is>
          <t>GBP</t>
        </is>
      </c>
      <c r="F540" s="7" t="n">
        <v>308.0982988268713</v>
      </c>
      <c r="G540" s="8" t="n">
        <v>1</v>
      </c>
      <c r="H540" s="7" t="n">
        <v>308.0982988268713</v>
      </c>
      <c r="I540" s="7" t="n">
        <v>1.5</v>
      </c>
      <c r="J540" s="9" t="n">
        <v>0.021</v>
      </c>
      <c r="K540" s="49" t="inlineStr">
        <is>
          <t>Success</t>
        </is>
      </c>
      <c r="L540" s="7" t="n">
        <v>0.4621474482403069</v>
      </c>
      <c r="M540" s="7" t="n">
        <v>0</v>
      </c>
      <c r="N540" s="7" t="n">
        <v>3.697179585922455</v>
      </c>
    </row>
    <row r="541" ht="18" customHeight="1">
      <c r="A541" s="49" t="inlineStr">
        <is>
          <t>ACE-10540</t>
        </is>
      </c>
      <c r="B541" s="49" t="inlineStr">
        <is>
          <t>2026-05-04 14:28:24</t>
        </is>
      </c>
      <c r="C541" s="49" t="inlineStr">
        <is>
          <t>CUST-58099</t>
        </is>
      </c>
      <c r="D541" s="49" t="inlineStr">
        <is>
          <t>EUR-PKR</t>
        </is>
      </c>
      <c r="E541" s="49" t="inlineStr">
        <is>
          <t>EUR</t>
        </is>
      </c>
      <c r="F541" s="7" t="n">
        <v>178.4547174366419</v>
      </c>
      <c r="G541" s="8" t="n">
        <v>0.85</v>
      </c>
      <c r="H541" s="7" t="n">
        <v>151.6865098211456</v>
      </c>
      <c r="I541" s="7" t="n">
        <v>1.275</v>
      </c>
      <c r="J541" s="9" t="n">
        <v>0.023</v>
      </c>
      <c r="K541" s="49" t="inlineStr">
        <is>
          <t>Success</t>
        </is>
      </c>
      <c r="L541" s="7" t="n">
        <v>0.2275297647317183</v>
      </c>
      <c r="M541" s="7" t="n">
        <v>0</v>
      </c>
      <c r="N541" s="7" t="n">
        <v>2.275297647317184</v>
      </c>
    </row>
    <row r="542" ht="18" customHeight="1">
      <c r="A542" s="49" t="inlineStr">
        <is>
          <t>ACE-10541</t>
        </is>
      </c>
      <c r="B542" s="49" t="inlineStr">
        <is>
          <t>2026-05-05 11:44:43</t>
        </is>
      </c>
      <c r="C542" s="49" t="inlineStr">
        <is>
          <t>CUST-91308</t>
        </is>
      </c>
      <c r="D542" s="49" t="inlineStr">
        <is>
          <t>GBP-PKR</t>
        </is>
      </c>
      <c r="E542" s="49" t="inlineStr">
        <is>
          <t>GBP</t>
        </is>
      </c>
      <c r="F542" s="7" t="n">
        <v>302.8867018740854</v>
      </c>
      <c r="G542" s="8" t="n">
        <v>1</v>
      </c>
      <c r="H542" s="7" t="n">
        <v>302.8867018740854</v>
      </c>
      <c r="I542" s="7" t="n">
        <v>1.5</v>
      </c>
      <c r="J542" s="9" t="n">
        <v>0.021</v>
      </c>
      <c r="K542" s="49" t="inlineStr">
        <is>
          <t>Failed</t>
        </is>
      </c>
      <c r="L542" s="7" t="n">
        <v>0</v>
      </c>
      <c r="M542" s="7" t="n">
        <v>0</v>
      </c>
      <c r="N542" s="7" t="n">
        <v>0.5</v>
      </c>
    </row>
    <row r="543" ht="18" customHeight="1">
      <c r="A543" s="49" t="inlineStr">
        <is>
          <t>ACE-10542</t>
        </is>
      </c>
      <c r="B543" s="49" t="inlineStr">
        <is>
          <t>2026-05-14 18:06:42</t>
        </is>
      </c>
      <c r="C543" s="49" t="inlineStr">
        <is>
          <t>CUST-84098</t>
        </is>
      </c>
      <c r="D543" s="49" t="inlineStr">
        <is>
          <t>GBP-PKR</t>
        </is>
      </c>
      <c r="E543" s="49" t="inlineStr">
        <is>
          <t>GBP</t>
        </is>
      </c>
      <c r="F543" s="7" t="n">
        <v>248.8421893180522</v>
      </c>
      <c r="G543" s="8" t="n">
        <v>1</v>
      </c>
      <c r="H543" s="7" t="n">
        <v>248.8421893180522</v>
      </c>
      <c r="I543" s="7" t="n">
        <v>1.5</v>
      </c>
      <c r="J543" s="9" t="n">
        <v>0.021</v>
      </c>
      <c r="K543" s="49" t="inlineStr">
        <is>
          <t>Success</t>
        </is>
      </c>
      <c r="L543" s="7" t="n">
        <v>0.3732632839770783</v>
      </c>
      <c r="M543" s="7" t="n">
        <v>0.7465265679541565</v>
      </c>
      <c r="N543" s="7" t="n">
        <v>2.986106271816626</v>
      </c>
    </row>
    <row r="544" ht="18" customHeight="1">
      <c r="A544" s="49" t="inlineStr">
        <is>
          <t>ACE-10543</t>
        </is>
      </c>
      <c r="B544" s="49" t="inlineStr">
        <is>
          <t>2026-05-05 14:53:57</t>
        </is>
      </c>
      <c r="C544" s="49" t="inlineStr">
        <is>
          <t>CUST-56875</t>
        </is>
      </c>
      <c r="D544" s="49" t="inlineStr">
        <is>
          <t>GBP-PKR</t>
        </is>
      </c>
      <c r="E544" s="49" t="inlineStr">
        <is>
          <t>GBP</t>
        </is>
      </c>
      <c r="F544" s="7" t="n">
        <v>293.7620309251972</v>
      </c>
      <c r="G544" s="8" t="n">
        <v>1</v>
      </c>
      <c r="H544" s="7" t="n">
        <v>293.7620309251972</v>
      </c>
      <c r="I544" s="7" t="n">
        <v>1.5</v>
      </c>
      <c r="J544" s="9" t="n">
        <v>0.021</v>
      </c>
      <c r="K544" s="49" t="inlineStr">
        <is>
          <t>Success</t>
        </is>
      </c>
      <c r="L544" s="7" t="n">
        <v>0.4406430463877958</v>
      </c>
      <c r="M544" s="7" t="n">
        <v>0.8812860927755917</v>
      </c>
      <c r="N544" s="7" t="n">
        <v>3.525144371102367</v>
      </c>
    </row>
    <row r="545" ht="18" customHeight="1">
      <c r="A545" s="49" t="inlineStr">
        <is>
          <t>ACE-10544</t>
        </is>
      </c>
      <c r="B545" s="49" t="inlineStr">
        <is>
          <t>2026-05-10 09:50:06</t>
        </is>
      </c>
      <c r="C545" s="49" t="inlineStr">
        <is>
          <t>CUST-82619</t>
        </is>
      </c>
      <c r="D545" s="49" t="inlineStr">
        <is>
          <t>GBP-PKR</t>
        </is>
      </c>
      <c r="E545" s="49" t="inlineStr">
        <is>
          <t>GBP</t>
        </is>
      </c>
      <c r="F545" s="7" t="n">
        <v>321.8052230741671</v>
      </c>
      <c r="G545" s="8" t="n">
        <v>1</v>
      </c>
      <c r="H545" s="7" t="n">
        <v>321.8052230741671</v>
      </c>
      <c r="I545" s="7" t="n">
        <v>1.5</v>
      </c>
      <c r="J545" s="9" t="n">
        <v>0.021</v>
      </c>
      <c r="K545" s="49" t="inlineStr">
        <is>
          <t>Success</t>
        </is>
      </c>
      <c r="L545" s="7" t="n">
        <v>0.4827078346112507</v>
      </c>
      <c r="M545" s="7" t="n">
        <v>0</v>
      </c>
      <c r="N545" s="7" t="n">
        <v>3.861662676890006</v>
      </c>
    </row>
    <row r="546" ht="18" customHeight="1">
      <c r="A546" s="49" t="inlineStr">
        <is>
          <t>ACE-10545</t>
        </is>
      </c>
      <c r="B546" s="49" t="inlineStr">
        <is>
          <t>2026-05-09 16:12:22</t>
        </is>
      </c>
      <c r="C546" s="49" t="inlineStr">
        <is>
          <t>CUST-96100</t>
        </is>
      </c>
      <c r="D546" s="49" t="inlineStr">
        <is>
          <t>GBP-PKR</t>
        </is>
      </c>
      <c r="E546" s="49" t="inlineStr">
        <is>
          <t>GBP</t>
        </is>
      </c>
      <c r="F546" s="7" t="n">
        <v>217.5927405879162</v>
      </c>
      <c r="G546" s="8" t="n">
        <v>1</v>
      </c>
      <c r="H546" s="7" t="n">
        <v>217.5927405879162</v>
      </c>
      <c r="I546" s="7" t="n">
        <v>1.5</v>
      </c>
      <c r="J546" s="9" t="n">
        <v>0.021</v>
      </c>
      <c r="K546" s="49" t="inlineStr">
        <is>
          <t>Success</t>
        </is>
      </c>
      <c r="L546" s="7" t="n">
        <v>0.3263891108818742</v>
      </c>
      <c r="M546" s="7" t="n">
        <v>0</v>
      </c>
      <c r="N546" s="7" t="n">
        <v>2.611112887054994</v>
      </c>
    </row>
    <row r="547" ht="18" customHeight="1">
      <c r="A547" s="49" t="inlineStr">
        <is>
          <t>ACE-10546</t>
        </is>
      </c>
      <c r="B547" s="49" t="inlineStr">
        <is>
          <t>2026-05-18 15:58:13</t>
        </is>
      </c>
      <c r="C547" s="49" t="inlineStr">
        <is>
          <t>CUST-95102</t>
        </is>
      </c>
      <c r="D547" s="49" t="inlineStr">
        <is>
          <t>GBP-PKR</t>
        </is>
      </c>
      <c r="E547" s="49" t="inlineStr">
        <is>
          <t>GBP</t>
        </is>
      </c>
      <c r="F547" s="7" t="n">
        <v>257.263300916939</v>
      </c>
      <c r="G547" s="8" t="n">
        <v>1</v>
      </c>
      <c r="H547" s="7" t="n">
        <v>257.263300916939</v>
      </c>
      <c r="I547" s="7" t="n">
        <v>1.5</v>
      </c>
      <c r="J547" s="9" t="n">
        <v>0.021</v>
      </c>
      <c r="K547" s="49" t="inlineStr">
        <is>
          <t>Success</t>
        </is>
      </c>
      <c r="L547" s="7" t="n">
        <v>0.3858949513754086</v>
      </c>
      <c r="M547" s="7" t="n">
        <v>0</v>
      </c>
      <c r="N547" s="7" t="n">
        <v>3.087159611003269</v>
      </c>
    </row>
    <row r="548" ht="18" customHeight="1">
      <c r="A548" s="49" t="inlineStr">
        <is>
          <t>ACE-10547</t>
        </is>
      </c>
      <c r="B548" s="49" t="inlineStr">
        <is>
          <t>2026-05-01 08:42:05</t>
        </is>
      </c>
      <c r="C548" s="49" t="inlineStr">
        <is>
          <t>CUST-57237</t>
        </is>
      </c>
      <c r="D548" s="49" t="inlineStr">
        <is>
          <t>GBP-PKR</t>
        </is>
      </c>
      <c r="E548" s="49" t="inlineStr">
        <is>
          <t>GBP</t>
        </is>
      </c>
      <c r="F548" s="7" t="n">
        <v>295.1538706816888</v>
      </c>
      <c r="G548" s="8" t="n">
        <v>1</v>
      </c>
      <c r="H548" s="7" t="n">
        <v>295.1538706816888</v>
      </c>
      <c r="I548" s="7" t="n">
        <v>1.5</v>
      </c>
      <c r="J548" s="9" t="n">
        <v>0.021</v>
      </c>
      <c r="K548" s="49" t="inlineStr">
        <is>
          <t>Success</t>
        </is>
      </c>
      <c r="L548" s="7" t="n">
        <v>0.4427308060225332</v>
      </c>
      <c r="M548" s="7" t="n">
        <v>0.8854616120450665</v>
      </c>
      <c r="N548" s="7" t="n">
        <v>3.541846448180266</v>
      </c>
    </row>
    <row r="549" ht="18" customHeight="1">
      <c r="A549" s="49" t="inlineStr">
        <is>
          <t>ACE-10548</t>
        </is>
      </c>
      <c r="B549" s="49" t="inlineStr">
        <is>
          <t>2026-05-05 09:49:32</t>
        </is>
      </c>
      <c r="C549" s="49" t="inlineStr">
        <is>
          <t>CUST-54918</t>
        </is>
      </c>
      <c r="D549" s="49" t="inlineStr">
        <is>
          <t>GBP-PKR</t>
        </is>
      </c>
      <c r="E549" s="49" t="inlineStr">
        <is>
          <t>GBP</t>
        </is>
      </c>
      <c r="F549" s="7" t="n">
        <v>273.0036225647719</v>
      </c>
      <c r="G549" s="8" t="n">
        <v>1</v>
      </c>
      <c r="H549" s="7" t="n">
        <v>273.0036225647719</v>
      </c>
      <c r="I549" s="7" t="n">
        <v>1.5</v>
      </c>
      <c r="J549" s="9" t="n">
        <v>0.021</v>
      </c>
      <c r="K549" s="49" t="inlineStr">
        <is>
          <t>Success</t>
        </is>
      </c>
      <c r="L549" s="7" t="n">
        <v>0.4095054338471578</v>
      </c>
      <c r="M549" s="7" t="n">
        <v>0</v>
      </c>
      <c r="N549" s="7" t="n">
        <v>3.276043470777263</v>
      </c>
    </row>
    <row r="550" ht="18" customHeight="1">
      <c r="A550" s="49" t="inlineStr">
        <is>
          <t>ACE-10549</t>
        </is>
      </c>
      <c r="B550" s="49" t="inlineStr">
        <is>
          <t>2026-05-09 18:14:29</t>
        </is>
      </c>
      <c r="C550" s="49" t="inlineStr">
        <is>
          <t>CUST-69400</t>
        </is>
      </c>
      <c r="D550" s="49" t="inlineStr">
        <is>
          <t>GBP-PKR</t>
        </is>
      </c>
      <c r="E550" s="49" t="inlineStr">
        <is>
          <t>GBP</t>
        </is>
      </c>
      <c r="F550" s="7" t="n">
        <v>289.1380311443292</v>
      </c>
      <c r="G550" s="8" t="n">
        <v>1</v>
      </c>
      <c r="H550" s="7" t="n">
        <v>289.1380311443292</v>
      </c>
      <c r="I550" s="7" t="n">
        <v>1.5</v>
      </c>
      <c r="J550" s="9" t="n">
        <v>0.021</v>
      </c>
      <c r="K550" s="49" t="inlineStr">
        <is>
          <t>Success</t>
        </is>
      </c>
      <c r="L550" s="7" t="n">
        <v>0.4337070467164938</v>
      </c>
      <c r="M550" s="7" t="n">
        <v>0</v>
      </c>
      <c r="N550" s="7" t="n">
        <v>3.46965637373195</v>
      </c>
    </row>
    <row r="551" ht="18" customHeight="1">
      <c r="A551" s="49" t="inlineStr">
        <is>
          <t>ACE-10550</t>
        </is>
      </c>
      <c r="B551" s="49" t="inlineStr">
        <is>
          <t>2026-05-06 08:54:18</t>
        </is>
      </c>
      <c r="C551" s="49" t="inlineStr">
        <is>
          <t>CUST-73607</t>
        </is>
      </c>
      <c r="D551" s="49" t="inlineStr">
        <is>
          <t>EUR-PKR</t>
        </is>
      </c>
      <c r="E551" s="49" t="inlineStr">
        <is>
          <t>EUR</t>
        </is>
      </c>
      <c r="F551" s="7" t="n">
        <v>177.9718787906228</v>
      </c>
      <c r="G551" s="8" t="n">
        <v>0.85</v>
      </c>
      <c r="H551" s="7" t="n">
        <v>151.2760969720294</v>
      </c>
      <c r="I551" s="7" t="n">
        <v>1.275</v>
      </c>
      <c r="J551" s="9" t="n">
        <v>0.023</v>
      </c>
      <c r="K551" s="49" t="inlineStr">
        <is>
          <t>Success</t>
        </is>
      </c>
      <c r="L551" s="7" t="n">
        <v>0.2269141454580441</v>
      </c>
      <c r="M551" s="7" t="n">
        <v>0</v>
      </c>
      <c r="N551" s="7" t="n">
        <v>2.269141454580441</v>
      </c>
    </row>
    <row r="552" ht="18" customHeight="1">
      <c r="A552" s="49" t="inlineStr">
        <is>
          <t>ACE-10551</t>
        </is>
      </c>
      <c r="B552" s="49" t="inlineStr">
        <is>
          <t>2026-05-24 09:06:54</t>
        </is>
      </c>
      <c r="C552" s="49" t="inlineStr">
        <is>
          <t>CUST-99689</t>
        </is>
      </c>
      <c r="D552" s="49" t="inlineStr">
        <is>
          <t>GBP-PKR</t>
        </is>
      </c>
      <c r="E552" s="49" t="inlineStr">
        <is>
          <t>GBP</t>
        </is>
      </c>
      <c r="F552" s="7" t="n">
        <v>281.0263906749538</v>
      </c>
      <c r="G552" s="8" t="n">
        <v>1</v>
      </c>
      <c r="H552" s="7" t="n">
        <v>281.0263906749538</v>
      </c>
      <c r="I552" s="7" t="n">
        <v>1.5</v>
      </c>
      <c r="J552" s="9" t="n">
        <v>0.021</v>
      </c>
      <c r="K552" s="49" t="inlineStr">
        <is>
          <t>Success</t>
        </is>
      </c>
      <c r="L552" s="7" t="n">
        <v>0.4215395860124307</v>
      </c>
      <c r="M552" s="7" t="n">
        <v>0</v>
      </c>
      <c r="N552" s="7" t="n">
        <v>3.372316688099446</v>
      </c>
    </row>
    <row r="553" ht="18" customHeight="1">
      <c r="A553" s="49" t="inlineStr">
        <is>
          <t>ACE-10552</t>
        </is>
      </c>
      <c r="B553" s="49" t="inlineStr">
        <is>
          <t>2026-05-05 18:41:10</t>
        </is>
      </c>
      <c r="C553" s="49" t="inlineStr">
        <is>
          <t>CUST-71539</t>
        </is>
      </c>
      <c r="D553" s="49" t="inlineStr">
        <is>
          <t>GBP-PKR</t>
        </is>
      </c>
      <c r="E553" s="49" t="inlineStr">
        <is>
          <t>GBP</t>
        </is>
      </c>
      <c r="F553" s="7" t="n">
        <v>274.2998578266394</v>
      </c>
      <c r="G553" s="8" t="n">
        <v>1</v>
      </c>
      <c r="H553" s="7" t="n">
        <v>274.2998578266394</v>
      </c>
      <c r="I553" s="7" t="n">
        <v>1.5</v>
      </c>
      <c r="J553" s="9" t="n">
        <v>0.021</v>
      </c>
      <c r="K553" s="49" t="inlineStr">
        <is>
          <t>Success</t>
        </is>
      </c>
      <c r="L553" s="7" t="n">
        <v>0.4114497867399591</v>
      </c>
      <c r="M553" s="7" t="n">
        <v>0</v>
      </c>
      <c r="N553" s="7" t="n">
        <v>3.291598293919673</v>
      </c>
    </row>
    <row r="554" ht="18" customHeight="1">
      <c r="A554" s="49" t="inlineStr">
        <is>
          <t>ACE-10553</t>
        </is>
      </c>
      <c r="B554" s="49" t="inlineStr">
        <is>
          <t>2026-05-20 12:56:46</t>
        </is>
      </c>
      <c r="C554" s="49" t="inlineStr">
        <is>
          <t>CUST-56091</t>
        </is>
      </c>
      <c r="D554" s="49" t="inlineStr">
        <is>
          <t>GBP-PKR</t>
        </is>
      </c>
      <c r="E554" s="49" t="inlineStr">
        <is>
          <t>GBP</t>
        </is>
      </c>
      <c r="F554" s="7" t="n">
        <v>313.1141464915725</v>
      </c>
      <c r="G554" s="8" t="n">
        <v>1</v>
      </c>
      <c r="H554" s="7" t="n">
        <v>313.1141464915725</v>
      </c>
      <c r="I554" s="7" t="n">
        <v>1.5</v>
      </c>
      <c r="J554" s="9" t="n">
        <v>0.021</v>
      </c>
      <c r="K554" s="49" t="inlineStr">
        <is>
          <t>Success</t>
        </is>
      </c>
      <c r="L554" s="7" t="n">
        <v>0.4696712197373587</v>
      </c>
      <c r="M554" s="7" t="n">
        <v>0</v>
      </c>
      <c r="N554" s="7" t="n">
        <v>3.75736975789887</v>
      </c>
    </row>
    <row r="555" ht="18" customHeight="1">
      <c r="A555" s="49" t="inlineStr">
        <is>
          <t>ACE-10554</t>
        </is>
      </c>
      <c r="B555" s="49" t="inlineStr">
        <is>
          <t>2026-05-04 14:25:29</t>
        </is>
      </c>
      <c r="C555" s="49" t="inlineStr">
        <is>
          <t>CUST-67814</t>
        </is>
      </c>
      <c r="D555" s="49" t="inlineStr">
        <is>
          <t>USD-PKR</t>
        </is>
      </c>
      <c r="E555" s="49" t="inlineStr">
        <is>
          <t>USD</t>
        </is>
      </c>
      <c r="F555" s="7" t="n">
        <v>224.5435400473719</v>
      </c>
      <c r="G555" s="8" t="n">
        <v>0.8</v>
      </c>
      <c r="H555" s="7" t="n">
        <v>179.6348320378976</v>
      </c>
      <c r="I555" s="7" t="n">
        <v>1.6</v>
      </c>
      <c r="J555" s="9" t="n">
        <v>0.019</v>
      </c>
      <c r="K555" s="49" t="inlineStr">
        <is>
          <t>Success</t>
        </is>
      </c>
      <c r="L555" s="7" t="n">
        <v>0.2694522480568464</v>
      </c>
      <c r="M555" s="7" t="n">
        <v>0.5389044961136927</v>
      </c>
      <c r="N555" s="7" t="n">
        <v>2.155617984454771</v>
      </c>
    </row>
    <row r="556" ht="18" customHeight="1">
      <c r="A556" s="49" t="inlineStr">
        <is>
          <t>ACE-10555</t>
        </is>
      </c>
      <c r="B556" s="49" t="inlineStr">
        <is>
          <t>2026-05-16 20:26:41</t>
        </is>
      </c>
      <c r="C556" s="49" t="inlineStr">
        <is>
          <t>CUST-60930</t>
        </is>
      </c>
      <c r="D556" s="49" t="inlineStr">
        <is>
          <t>GBP-PKR</t>
        </is>
      </c>
      <c r="E556" s="49" t="inlineStr">
        <is>
          <t>GBP</t>
        </is>
      </c>
      <c r="F556" s="7" t="n">
        <v>288.1697941338597</v>
      </c>
      <c r="G556" s="8" t="n">
        <v>1</v>
      </c>
      <c r="H556" s="7" t="n">
        <v>288.1697941338597</v>
      </c>
      <c r="I556" s="7" t="n">
        <v>1.5</v>
      </c>
      <c r="J556" s="9" t="n">
        <v>0.021</v>
      </c>
      <c r="K556" s="49" t="inlineStr">
        <is>
          <t>Success</t>
        </is>
      </c>
      <c r="L556" s="7" t="n">
        <v>0.4322546912007896</v>
      </c>
      <c r="M556" s="7" t="n">
        <v>0.8645093824015793</v>
      </c>
      <c r="N556" s="7" t="n">
        <v>3.458037529606317</v>
      </c>
    </row>
    <row r="557" ht="18" customHeight="1">
      <c r="A557" s="49" t="inlineStr">
        <is>
          <t>ACE-10556</t>
        </is>
      </c>
      <c r="B557" s="49" t="inlineStr">
        <is>
          <t>2026-05-02 10:06:26</t>
        </is>
      </c>
      <c r="C557" s="49" t="inlineStr">
        <is>
          <t>CUST-88715</t>
        </is>
      </c>
      <c r="D557" s="49" t="inlineStr">
        <is>
          <t>GBP-PKR</t>
        </is>
      </c>
      <c r="E557" s="49" t="inlineStr">
        <is>
          <t>GBP</t>
        </is>
      </c>
      <c r="F557" s="7" t="n">
        <v>267.3615618441258</v>
      </c>
      <c r="G557" s="8" t="n">
        <v>1</v>
      </c>
      <c r="H557" s="7" t="n">
        <v>267.3615618441258</v>
      </c>
      <c r="I557" s="7" t="n">
        <v>1.5</v>
      </c>
      <c r="J557" s="9" t="n">
        <v>0.021</v>
      </c>
      <c r="K557" s="49" t="inlineStr">
        <is>
          <t>Success</t>
        </is>
      </c>
      <c r="L557" s="7" t="n">
        <v>0.4010423427661888</v>
      </c>
      <c r="M557" s="7" t="n">
        <v>0</v>
      </c>
      <c r="N557" s="7" t="n">
        <v>3.20833874212951</v>
      </c>
    </row>
    <row r="558" ht="18" customHeight="1">
      <c r="A558" s="49" t="inlineStr">
        <is>
          <t>ACE-10557</t>
        </is>
      </c>
      <c r="B558" s="49" t="inlineStr">
        <is>
          <t>2026-05-15 10:39:24</t>
        </is>
      </c>
      <c r="C558" s="49" t="inlineStr">
        <is>
          <t>CUST-73501</t>
        </is>
      </c>
      <c r="D558" s="49" t="inlineStr">
        <is>
          <t>GBP-PKR</t>
        </is>
      </c>
      <c r="E558" s="49" t="inlineStr">
        <is>
          <t>GBP</t>
        </is>
      </c>
      <c r="F558" s="7" t="n">
        <v>265.3444997463726</v>
      </c>
      <c r="G558" s="8" t="n">
        <v>1</v>
      </c>
      <c r="H558" s="7" t="n">
        <v>265.3444997463726</v>
      </c>
      <c r="I558" s="7" t="n">
        <v>1.5</v>
      </c>
      <c r="J558" s="9" t="n">
        <v>0.021</v>
      </c>
      <c r="K558" s="49" t="inlineStr">
        <is>
          <t>Success</t>
        </is>
      </c>
      <c r="L558" s="7" t="n">
        <v>0.3980167496195589</v>
      </c>
      <c r="M558" s="7" t="n">
        <v>0.7960334992391178</v>
      </c>
      <c r="N558" s="7" t="n">
        <v>3.184133996956471</v>
      </c>
    </row>
    <row r="559" ht="18" customHeight="1">
      <c r="A559" s="49" t="inlineStr">
        <is>
          <t>ACE-10558</t>
        </is>
      </c>
      <c r="B559" s="49" t="inlineStr">
        <is>
          <t>2026-05-24 10:30:58</t>
        </is>
      </c>
      <c r="C559" s="49" t="inlineStr">
        <is>
          <t>CUST-81989</t>
        </is>
      </c>
      <c r="D559" s="49" t="inlineStr">
        <is>
          <t>USD-PKR</t>
        </is>
      </c>
      <c r="E559" s="49" t="inlineStr">
        <is>
          <t>USD</t>
        </is>
      </c>
      <c r="F559" s="7" t="n">
        <v>209.6357975224644</v>
      </c>
      <c r="G559" s="8" t="n">
        <v>0.8</v>
      </c>
      <c r="H559" s="7" t="n">
        <v>167.7086380179715</v>
      </c>
      <c r="I559" s="7" t="n">
        <v>1.6</v>
      </c>
      <c r="J559" s="9" t="n">
        <v>0.019</v>
      </c>
      <c r="K559" s="49" t="inlineStr">
        <is>
          <t>Success</t>
        </is>
      </c>
      <c r="L559" s="7" t="n">
        <v>0.2515629570269572</v>
      </c>
      <c r="M559" s="7" t="n">
        <v>0</v>
      </c>
      <c r="N559" s="7" t="n">
        <v>2.012503656215658</v>
      </c>
    </row>
    <row r="560" ht="18" customHeight="1">
      <c r="A560" s="49" t="inlineStr">
        <is>
          <t>ACE-10559</t>
        </is>
      </c>
      <c r="B560" s="49" t="inlineStr">
        <is>
          <t>2026-05-02 09:16:41</t>
        </is>
      </c>
      <c r="C560" s="49" t="inlineStr">
        <is>
          <t>CUST-70593</t>
        </is>
      </c>
      <c r="D560" s="49" t="inlineStr">
        <is>
          <t>GBP-PKR</t>
        </is>
      </c>
      <c r="E560" s="49" t="inlineStr">
        <is>
          <t>GBP</t>
        </is>
      </c>
      <c r="F560" s="7" t="n">
        <v>289.8126899012677</v>
      </c>
      <c r="G560" s="8" t="n">
        <v>1</v>
      </c>
      <c r="H560" s="7" t="n">
        <v>289.8126899012677</v>
      </c>
      <c r="I560" s="7" t="n">
        <v>1.5</v>
      </c>
      <c r="J560" s="9" t="n">
        <v>0.021</v>
      </c>
      <c r="K560" s="49" t="inlineStr">
        <is>
          <t>Failed</t>
        </is>
      </c>
      <c r="L560" s="7" t="n">
        <v>0</v>
      </c>
      <c r="M560" s="7" t="n">
        <v>0</v>
      </c>
      <c r="N560" s="7" t="n">
        <v>0.5</v>
      </c>
    </row>
    <row r="561" ht="18" customHeight="1">
      <c r="A561" s="49" t="inlineStr">
        <is>
          <t>ACE-10560</t>
        </is>
      </c>
      <c r="B561" s="49" t="inlineStr">
        <is>
          <t>2026-05-22 16:49:47</t>
        </is>
      </c>
      <c r="C561" s="49" t="inlineStr">
        <is>
          <t>CUST-87791</t>
        </is>
      </c>
      <c r="D561" s="49" t="inlineStr">
        <is>
          <t>GBP-PKR</t>
        </is>
      </c>
      <c r="E561" s="49" t="inlineStr">
        <is>
          <t>GBP</t>
        </is>
      </c>
      <c r="F561" s="7" t="n">
        <v>267.118172759021</v>
      </c>
      <c r="G561" s="8" t="n">
        <v>1</v>
      </c>
      <c r="H561" s="7" t="n">
        <v>267.118172759021</v>
      </c>
      <c r="I561" s="7" t="n">
        <v>1.5</v>
      </c>
      <c r="J561" s="9" t="n">
        <v>0.021</v>
      </c>
      <c r="K561" s="49" t="inlineStr">
        <is>
          <t>Success</t>
        </is>
      </c>
      <c r="L561" s="7" t="n">
        <v>0.4006772591385315</v>
      </c>
      <c r="M561" s="7" t="n">
        <v>0</v>
      </c>
      <c r="N561" s="7" t="n">
        <v>3.205418073108252</v>
      </c>
    </row>
    <row r="562" ht="18" customHeight="1">
      <c r="A562" s="49" t="inlineStr">
        <is>
          <t>ACE-10561</t>
        </is>
      </c>
      <c r="B562" s="49" t="inlineStr">
        <is>
          <t>2026-05-22 13:33:33</t>
        </is>
      </c>
      <c r="C562" s="49" t="inlineStr">
        <is>
          <t>CUST-95104</t>
        </is>
      </c>
      <c r="D562" s="49" t="inlineStr">
        <is>
          <t>GBP-PKR</t>
        </is>
      </c>
      <c r="E562" s="49" t="inlineStr">
        <is>
          <t>GBP</t>
        </is>
      </c>
      <c r="F562" s="7" t="n">
        <v>286.7948319488304</v>
      </c>
      <c r="G562" s="8" t="n">
        <v>1</v>
      </c>
      <c r="H562" s="7" t="n">
        <v>286.7948319488304</v>
      </c>
      <c r="I562" s="7" t="n">
        <v>1.5</v>
      </c>
      <c r="J562" s="9" t="n">
        <v>0.021</v>
      </c>
      <c r="K562" s="49" t="inlineStr">
        <is>
          <t>Success</t>
        </is>
      </c>
      <c r="L562" s="7" t="n">
        <v>0.4301922479232457</v>
      </c>
      <c r="M562" s="7" t="n">
        <v>0</v>
      </c>
      <c r="N562" s="7" t="n">
        <v>3.441537983385965</v>
      </c>
    </row>
    <row r="563" ht="18" customHeight="1">
      <c r="A563" s="49" t="inlineStr">
        <is>
          <t>ACE-10562</t>
        </is>
      </c>
      <c r="B563" s="49" t="inlineStr">
        <is>
          <t>2026-05-22 19:15:30</t>
        </is>
      </c>
      <c r="C563" s="49" t="inlineStr">
        <is>
          <t>CUST-72659</t>
        </is>
      </c>
      <c r="D563" s="49" t="inlineStr">
        <is>
          <t>EUR-PKR</t>
        </is>
      </c>
      <c r="E563" s="49" t="inlineStr">
        <is>
          <t>EUR</t>
        </is>
      </c>
      <c r="F563" s="7" t="n">
        <v>232.656740836955</v>
      </c>
      <c r="G563" s="8" t="n">
        <v>0.85</v>
      </c>
      <c r="H563" s="7" t="n">
        <v>197.7582297114117</v>
      </c>
      <c r="I563" s="7" t="n">
        <v>1.275</v>
      </c>
      <c r="J563" s="9" t="n">
        <v>0.023</v>
      </c>
      <c r="K563" s="49" t="inlineStr">
        <is>
          <t>Success</t>
        </is>
      </c>
      <c r="L563" s="7" t="n">
        <v>0.2966373445671176</v>
      </c>
      <c r="M563" s="7" t="n">
        <v>0.5932746891342352</v>
      </c>
      <c r="N563" s="7" t="n">
        <v>2.966373445671176</v>
      </c>
    </row>
    <row r="564" ht="18" customHeight="1">
      <c r="A564" s="49" t="inlineStr">
        <is>
          <t>ACE-10563</t>
        </is>
      </c>
      <c r="B564" s="49" t="inlineStr">
        <is>
          <t>2026-05-05 16:57:39</t>
        </is>
      </c>
      <c r="C564" s="49" t="inlineStr">
        <is>
          <t>CUST-53576</t>
        </is>
      </c>
      <c r="D564" s="49" t="inlineStr">
        <is>
          <t>GBP-PKR</t>
        </is>
      </c>
      <c r="E564" s="49" t="inlineStr">
        <is>
          <t>GBP</t>
        </is>
      </c>
      <c r="F564" s="7" t="n">
        <v>303.9618115191033</v>
      </c>
      <c r="G564" s="8" t="n">
        <v>1</v>
      </c>
      <c r="H564" s="7" t="n">
        <v>303.9618115191033</v>
      </c>
      <c r="I564" s="7" t="n">
        <v>1.5</v>
      </c>
      <c r="J564" s="9" t="n">
        <v>0.021</v>
      </c>
      <c r="K564" s="49" t="inlineStr">
        <is>
          <t>Failed</t>
        </is>
      </c>
      <c r="L564" s="7" t="n">
        <v>0</v>
      </c>
      <c r="M564" s="7" t="n">
        <v>0</v>
      </c>
      <c r="N564" s="7" t="n">
        <v>0.5</v>
      </c>
    </row>
    <row r="565" ht="18" customHeight="1">
      <c r="A565" s="49" t="inlineStr">
        <is>
          <t>ACE-10564</t>
        </is>
      </c>
      <c r="B565" s="49" t="inlineStr">
        <is>
          <t>2026-05-06 16:54:30</t>
        </is>
      </c>
      <c r="C565" s="49" t="inlineStr">
        <is>
          <t>CUST-82495</t>
        </is>
      </c>
      <c r="D565" s="49" t="inlineStr">
        <is>
          <t>USD-PKR</t>
        </is>
      </c>
      <c r="E565" s="49" t="inlineStr">
        <is>
          <t>USD</t>
        </is>
      </c>
      <c r="F565" s="7" t="n">
        <v>211.8810840781595</v>
      </c>
      <c r="G565" s="8" t="n">
        <v>0.8</v>
      </c>
      <c r="H565" s="7" t="n">
        <v>169.5048672625277</v>
      </c>
      <c r="I565" s="7" t="n">
        <v>1.6</v>
      </c>
      <c r="J565" s="9" t="n">
        <v>0.019</v>
      </c>
      <c r="K565" s="49" t="inlineStr">
        <is>
          <t>Success</t>
        </is>
      </c>
      <c r="L565" s="7" t="n">
        <v>0.2542573008937915</v>
      </c>
      <c r="M565" s="7" t="n">
        <v>0</v>
      </c>
      <c r="N565" s="7" t="n">
        <v>2.034058407150332</v>
      </c>
    </row>
    <row r="566" ht="18" customHeight="1">
      <c r="A566" s="49" t="inlineStr">
        <is>
          <t>ACE-10565</t>
        </is>
      </c>
      <c r="B566" s="49" t="inlineStr">
        <is>
          <t>2026-05-16 13:15:21</t>
        </is>
      </c>
      <c r="C566" s="49" t="inlineStr">
        <is>
          <t>CUST-68229</t>
        </is>
      </c>
      <c r="D566" s="49" t="inlineStr">
        <is>
          <t>USD-PKR</t>
        </is>
      </c>
      <c r="E566" s="49" t="inlineStr">
        <is>
          <t>USD</t>
        </is>
      </c>
      <c r="F566" s="7" t="n">
        <v>246.842119159103</v>
      </c>
      <c r="G566" s="8" t="n">
        <v>0.8</v>
      </c>
      <c r="H566" s="7" t="n">
        <v>197.4736953272824</v>
      </c>
      <c r="I566" s="7" t="n">
        <v>1.6</v>
      </c>
      <c r="J566" s="9" t="n">
        <v>0.019</v>
      </c>
      <c r="K566" s="49" t="inlineStr">
        <is>
          <t>Success</t>
        </is>
      </c>
      <c r="L566" s="7" t="n">
        <v>0.2962105429909236</v>
      </c>
      <c r="M566" s="7" t="n">
        <v>0</v>
      </c>
      <c r="N566" s="7" t="n">
        <v>2.369684343927389</v>
      </c>
    </row>
    <row r="567" ht="18" customHeight="1">
      <c r="A567" s="49" t="inlineStr">
        <is>
          <t>ACE-10566</t>
        </is>
      </c>
      <c r="B567" s="49" t="inlineStr">
        <is>
          <t>2026-05-21 14:25:52</t>
        </is>
      </c>
      <c r="C567" s="49" t="inlineStr">
        <is>
          <t>CUST-65400</t>
        </is>
      </c>
      <c r="D567" s="49" t="inlineStr">
        <is>
          <t>EUR-PKR</t>
        </is>
      </c>
      <c r="E567" s="49" t="inlineStr">
        <is>
          <t>EUR</t>
        </is>
      </c>
      <c r="F567" s="7" t="n">
        <v>181.4929000682183</v>
      </c>
      <c r="G567" s="8" t="n">
        <v>0.85</v>
      </c>
      <c r="H567" s="7" t="n">
        <v>154.2689650579856</v>
      </c>
      <c r="I567" s="7" t="n">
        <v>1.275</v>
      </c>
      <c r="J567" s="9" t="n">
        <v>0.023</v>
      </c>
      <c r="K567" s="49" t="inlineStr">
        <is>
          <t>Success</t>
        </is>
      </c>
      <c r="L567" s="7" t="n">
        <v>0.2314034475869783</v>
      </c>
      <c r="M567" s="7" t="n">
        <v>0</v>
      </c>
      <c r="N567" s="7" t="n">
        <v>2.314034475869783</v>
      </c>
    </row>
    <row r="568" ht="18" customHeight="1">
      <c r="A568" s="49" t="inlineStr">
        <is>
          <t>ACE-10567</t>
        </is>
      </c>
      <c r="B568" s="49" t="inlineStr">
        <is>
          <t>2026-05-19 15:05:54</t>
        </is>
      </c>
      <c r="C568" s="49" t="inlineStr">
        <is>
          <t>CUST-82666</t>
        </is>
      </c>
      <c r="D568" s="49" t="inlineStr">
        <is>
          <t>GBP-PKR</t>
        </is>
      </c>
      <c r="E568" s="49" t="inlineStr">
        <is>
          <t>GBP</t>
        </is>
      </c>
      <c r="F568" s="7" t="n">
        <v>227.2332787861678</v>
      </c>
      <c r="G568" s="8" t="n">
        <v>1</v>
      </c>
      <c r="H568" s="7" t="n">
        <v>227.2332787861678</v>
      </c>
      <c r="I568" s="7" t="n">
        <v>1.5</v>
      </c>
      <c r="J568" s="9" t="n">
        <v>0.021</v>
      </c>
      <c r="K568" s="49" t="inlineStr">
        <is>
          <t>Success</t>
        </is>
      </c>
      <c r="L568" s="7" t="n">
        <v>0.3408499181792516</v>
      </c>
      <c r="M568" s="7" t="n">
        <v>0</v>
      </c>
      <c r="N568" s="7" t="n">
        <v>2.726799345434013</v>
      </c>
    </row>
    <row r="569" ht="18" customHeight="1">
      <c r="A569" s="49" t="inlineStr">
        <is>
          <t>ACE-10568</t>
        </is>
      </c>
      <c r="B569" s="49" t="inlineStr">
        <is>
          <t>2026-05-16 19:41:01</t>
        </is>
      </c>
      <c r="C569" s="49" t="inlineStr">
        <is>
          <t>CUST-56726</t>
        </is>
      </c>
      <c r="D569" s="49" t="inlineStr">
        <is>
          <t>GBP-PKR</t>
        </is>
      </c>
      <c r="E569" s="49" t="inlineStr">
        <is>
          <t>GBP</t>
        </is>
      </c>
      <c r="F569" s="7" t="n">
        <v>251.8871002086123</v>
      </c>
      <c r="G569" s="8" t="n">
        <v>1</v>
      </c>
      <c r="H569" s="7" t="n">
        <v>251.8871002086123</v>
      </c>
      <c r="I569" s="7" t="n">
        <v>1.5</v>
      </c>
      <c r="J569" s="9" t="n">
        <v>0.021</v>
      </c>
      <c r="K569" s="49" t="inlineStr">
        <is>
          <t>Success</t>
        </is>
      </c>
      <c r="L569" s="7" t="n">
        <v>0.3778306503129185</v>
      </c>
      <c r="M569" s="7" t="n">
        <v>0</v>
      </c>
      <c r="N569" s="7" t="n">
        <v>3.022645202503348</v>
      </c>
    </row>
    <row r="570" ht="18" customHeight="1">
      <c r="A570" s="49" t="inlineStr">
        <is>
          <t>ACE-10569</t>
        </is>
      </c>
      <c r="B570" s="49" t="inlineStr">
        <is>
          <t>2026-05-18 08:52:05</t>
        </is>
      </c>
      <c r="C570" s="49" t="inlineStr">
        <is>
          <t>CUST-89597</t>
        </is>
      </c>
      <c r="D570" s="49" t="inlineStr">
        <is>
          <t>GBP-PKR</t>
        </is>
      </c>
      <c r="E570" s="49" t="inlineStr">
        <is>
          <t>GBP</t>
        </is>
      </c>
      <c r="F570" s="7" t="n">
        <v>231.0676237221325</v>
      </c>
      <c r="G570" s="8" t="n">
        <v>1</v>
      </c>
      <c r="H570" s="7" t="n">
        <v>231.0676237221325</v>
      </c>
      <c r="I570" s="7" t="n">
        <v>1.5</v>
      </c>
      <c r="J570" s="9" t="n">
        <v>0.021</v>
      </c>
      <c r="K570" s="49" t="inlineStr">
        <is>
          <t>Success</t>
        </is>
      </c>
      <c r="L570" s="7" t="n">
        <v>0.3466014355831987</v>
      </c>
      <c r="M570" s="7" t="n">
        <v>0.6932028711663974</v>
      </c>
      <c r="N570" s="7" t="n">
        <v>2.77281148466559</v>
      </c>
    </row>
    <row r="571" ht="18" customHeight="1">
      <c r="A571" s="49" t="inlineStr">
        <is>
          <t>ACE-10570</t>
        </is>
      </c>
      <c r="B571" s="49" t="inlineStr">
        <is>
          <t>2026-05-17 16:13:41</t>
        </is>
      </c>
      <c r="C571" s="49" t="inlineStr">
        <is>
          <t>CUST-94005</t>
        </is>
      </c>
      <c r="D571" s="49" t="inlineStr">
        <is>
          <t>GBP-PKR</t>
        </is>
      </c>
      <c r="E571" s="49" t="inlineStr">
        <is>
          <t>GBP</t>
        </is>
      </c>
      <c r="F571" s="7" t="n">
        <v>268.9803301381085</v>
      </c>
      <c r="G571" s="8" t="n">
        <v>1</v>
      </c>
      <c r="H571" s="7" t="n">
        <v>268.9803301381085</v>
      </c>
      <c r="I571" s="7" t="n">
        <v>1.5</v>
      </c>
      <c r="J571" s="9" t="n">
        <v>0.021</v>
      </c>
      <c r="K571" s="49" t="inlineStr">
        <is>
          <t>Success</t>
        </is>
      </c>
      <c r="L571" s="7" t="n">
        <v>0.4034704952071628</v>
      </c>
      <c r="M571" s="7" t="n">
        <v>0</v>
      </c>
      <c r="N571" s="7" t="n">
        <v>3.227763961657302</v>
      </c>
    </row>
    <row r="572" ht="18" customHeight="1">
      <c r="A572" s="49" t="inlineStr">
        <is>
          <t>ACE-10571</t>
        </is>
      </c>
      <c r="B572" s="49" t="inlineStr">
        <is>
          <t>2026-05-02 11:54:29</t>
        </is>
      </c>
      <c r="C572" s="49" t="inlineStr">
        <is>
          <t>CUST-71756</t>
        </is>
      </c>
      <c r="D572" s="49" t="inlineStr">
        <is>
          <t>GBP-PKR</t>
        </is>
      </c>
      <c r="E572" s="49" t="inlineStr">
        <is>
          <t>GBP</t>
        </is>
      </c>
      <c r="F572" s="7" t="n">
        <v>279.1171095067742</v>
      </c>
      <c r="G572" s="8" t="n">
        <v>1</v>
      </c>
      <c r="H572" s="7" t="n">
        <v>279.1171095067742</v>
      </c>
      <c r="I572" s="7" t="n">
        <v>1.5</v>
      </c>
      <c r="J572" s="9" t="n">
        <v>0.021</v>
      </c>
      <c r="K572" s="49" t="inlineStr">
        <is>
          <t>Success</t>
        </is>
      </c>
      <c r="L572" s="7" t="n">
        <v>0.4186756642601613</v>
      </c>
      <c r="M572" s="7" t="n">
        <v>0.8373513285203227</v>
      </c>
      <c r="N572" s="7" t="n">
        <v>3.349405314081291</v>
      </c>
    </row>
    <row r="573" ht="18" customHeight="1">
      <c r="A573" s="49" t="inlineStr">
        <is>
          <t>ACE-10572</t>
        </is>
      </c>
      <c r="B573" s="49" t="inlineStr">
        <is>
          <t>2026-05-16 19:42:23</t>
        </is>
      </c>
      <c r="C573" s="49" t="inlineStr">
        <is>
          <t>CUST-96918</t>
        </is>
      </c>
      <c r="D573" s="49" t="inlineStr">
        <is>
          <t>GBP-PKR</t>
        </is>
      </c>
      <c r="E573" s="49" t="inlineStr">
        <is>
          <t>GBP</t>
        </is>
      </c>
      <c r="F573" s="7" t="n">
        <v>329.4528784293972</v>
      </c>
      <c r="G573" s="8" t="n">
        <v>1</v>
      </c>
      <c r="H573" s="7" t="n">
        <v>329.4528784293972</v>
      </c>
      <c r="I573" s="7" t="n">
        <v>1.5</v>
      </c>
      <c r="J573" s="9" t="n">
        <v>0.021</v>
      </c>
      <c r="K573" s="49" t="inlineStr">
        <is>
          <t>Success</t>
        </is>
      </c>
      <c r="L573" s="7" t="n">
        <v>0.4941793176440958</v>
      </c>
      <c r="M573" s="7" t="n">
        <v>0</v>
      </c>
      <c r="N573" s="7" t="n">
        <v>3.953434541152767</v>
      </c>
    </row>
    <row r="574" ht="18" customHeight="1">
      <c r="A574" s="49" t="inlineStr">
        <is>
          <t>ACE-10573</t>
        </is>
      </c>
      <c r="B574" s="49" t="inlineStr">
        <is>
          <t>2026-05-22 11:00:21</t>
        </is>
      </c>
      <c r="C574" s="49" t="inlineStr">
        <is>
          <t>CUST-73274</t>
        </is>
      </c>
      <c r="D574" s="49" t="inlineStr">
        <is>
          <t>EUR-PKR</t>
        </is>
      </c>
      <c r="E574" s="49" t="inlineStr">
        <is>
          <t>EUR</t>
        </is>
      </c>
      <c r="F574" s="7" t="n">
        <v>195.3351516271321</v>
      </c>
      <c r="G574" s="8" t="n">
        <v>0.85</v>
      </c>
      <c r="H574" s="7" t="n">
        <v>166.0348788830622</v>
      </c>
      <c r="I574" s="7" t="n">
        <v>1.275</v>
      </c>
      <c r="J574" s="9" t="n">
        <v>0.023</v>
      </c>
      <c r="K574" s="49" t="inlineStr">
        <is>
          <t>Success</t>
        </is>
      </c>
      <c r="L574" s="7" t="n">
        <v>0.2490523183245934</v>
      </c>
      <c r="M574" s="7" t="n">
        <v>0.4981046366491867</v>
      </c>
      <c r="N574" s="7" t="n">
        <v>2.490523183245934</v>
      </c>
    </row>
    <row r="575" ht="18" customHeight="1">
      <c r="A575" s="49" t="inlineStr">
        <is>
          <t>ACE-10574</t>
        </is>
      </c>
      <c r="B575" s="49" t="inlineStr">
        <is>
          <t>2026-05-10 16:33:23</t>
        </is>
      </c>
      <c r="C575" s="49" t="inlineStr">
        <is>
          <t>CUST-96012</t>
        </is>
      </c>
      <c r="D575" s="49" t="inlineStr">
        <is>
          <t>USD-PKR</t>
        </is>
      </c>
      <c r="E575" s="49" t="inlineStr">
        <is>
          <t>USD</t>
        </is>
      </c>
      <c r="F575" s="7" t="n">
        <v>214.1587352303232</v>
      </c>
      <c r="G575" s="8" t="n">
        <v>0.8</v>
      </c>
      <c r="H575" s="7" t="n">
        <v>171.3269881842586</v>
      </c>
      <c r="I575" s="7" t="n">
        <v>1.6</v>
      </c>
      <c r="J575" s="9" t="n">
        <v>0.019</v>
      </c>
      <c r="K575" s="49" t="inlineStr">
        <is>
          <t>Success</t>
        </is>
      </c>
      <c r="L575" s="7" t="n">
        <v>0.2569904822763879</v>
      </c>
      <c r="M575" s="7" t="n">
        <v>0.5139809645527758</v>
      </c>
      <c r="N575" s="7" t="n">
        <v>2.055923858211103</v>
      </c>
    </row>
    <row r="576" ht="18" customHeight="1">
      <c r="A576" s="49" t="inlineStr">
        <is>
          <t>ACE-10575</t>
        </is>
      </c>
      <c r="B576" s="49" t="inlineStr">
        <is>
          <t>2026-05-16 10:52:45</t>
        </is>
      </c>
      <c r="C576" s="49" t="inlineStr">
        <is>
          <t>CUST-98661</t>
        </is>
      </c>
      <c r="D576" s="49" t="inlineStr">
        <is>
          <t>GBP-PKR</t>
        </is>
      </c>
      <c r="E576" s="49" t="inlineStr">
        <is>
          <t>GBP</t>
        </is>
      </c>
      <c r="F576" s="7" t="n">
        <v>302.6963510521729</v>
      </c>
      <c r="G576" s="8" t="n">
        <v>1</v>
      </c>
      <c r="H576" s="7" t="n">
        <v>302.6963510521729</v>
      </c>
      <c r="I576" s="7" t="n">
        <v>1.5</v>
      </c>
      <c r="J576" s="9" t="n">
        <v>0.021</v>
      </c>
      <c r="K576" s="49" t="inlineStr">
        <is>
          <t>Success</t>
        </is>
      </c>
      <c r="L576" s="7" t="n">
        <v>0.4540445265782594</v>
      </c>
      <c r="M576" s="7" t="n">
        <v>0</v>
      </c>
      <c r="N576" s="7" t="n">
        <v>3.632356212626075</v>
      </c>
    </row>
    <row r="577" ht="18" customHeight="1">
      <c r="A577" s="49" t="inlineStr">
        <is>
          <t>ACE-10576</t>
        </is>
      </c>
      <c r="B577" s="49" t="inlineStr">
        <is>
          <t>2026-05-20 11:12:07</t>
        </is>
      </c>
      <c r="C577" s="49" t="inlineStr">
        <is>
          <t>CUST-75748</t>
        </is>
      </c>
      <c r="D577" s="49" t="inlineStr">
        <is>
          <t>GBP-PKR</t>
        </is>
      </c>
      <c r="E577" s="49" t="inlineStr">
        <is>
          <t>GBP</t>
        </is>
      </c>
      <c r="F577" s="7" t="n">
        <v>223.3357115225103</v>
      </c>
      <c r="G577" s="8" t="n">
        <v>1</v>
      </c>
      <c r="H577" s="7" t="n">
        <v>223.3357115225103</v>
      </c>
      <c r="I577" s="7" t="n">
        <v>1.5</v>
      </c>
      <c r="J577" s="9" t="n">
        <v>0.021</v>
      </c>
      <c r="K577" s="49" t="inlineStr">
        <is>
          <t>Success</t>
        </is>
      </c>
      <c r="L577" s="7" t="n">
        <v>0.3350035672837655</v>
      </c>
      <c r="M577" s="7" t="n">
        <v>0.670007134567531</v>
      </c>
      <c r="N577" s="7" t="n">
        <v>2.680028538270124</v>
      </c>
    </row>
    <row r="578" ht="18" customHeight="1">
      <c r="A578" s="49" t="inlineStr">
        <is>
          <t>ACE-10577</t>
        </is>
      </c>
      <c r="B578" s="49" t="inlineStr">
        <is>
          <t>2026-05-07 19:21:06</t>
        </is>
      </c>
      <c r="C578" s="49" t="inlineStr">
        <is>
          <t>CUST-99620</t>
        </is>
      </c>
      <c r="D578" s="49" t="inlineStr">
        <is>
          <t>EUR-PKR</t>
        </is>
      </c>
      <c r="E578" s="49" t="inlineStr">
        <is>
          <t>EUR</t>
        </is>
      </c>
      <c r="F578" s="7" t="n">
        <v>193.5596101794999</v>
      </c>
      <c r="G578" s="8" t="n">
        <v>0.85</v>
      </c>
      <c r="H578" s="7" t="n">
        <v>164.5256686525749</v>
      </c>
      <c r="I578" s="7" t="n">
        <v>1.275</v>
      </c>
      <c r="J578" s="9" t="n">
        <v>0.023</v>
      </c>
      <c r="K578" s="49" t="inlineStr">
        <is>
          <t>Success</t>
        </is>
      </c>
      <c r="L578" s="7" t="n">
        <v>0.2467885029788623</v>
      </c>
      <c r="M578" s="7" t="n">
        <v>0.4935770059577246</v>
      </c>
      <c r="N578" s="7" t="n">
        <v>2.467885029788623</v>
      </c>
    </row>
    <row r="579" ht="18" customHeight="1">
      <c r="A579" s="49" t="inlineStr">
        <is>
          <t>ACE-10578</t>
        </is>
      </c>
      <c r="B579" s="49" t="inlineStr">
        <is>
          <t>2026-05-22 17:07:49</t>
        </is>
      </c>
      <c r="C579" s="49" t="inlineStr">
        <is>
          <t>CUST-79524</t>
        </is>
      </c>
      <c r="D579" s="49" t="inlineStr">
        <is>
          <t>GBP-PKR</t>
        </is>
      </c>
      <c r="E579" s="49" t="inlineStr">
        <is>
          <t>GBP</t>
        </is>
      </c>
      <c r="F579" s="7" t="n">
        <v>300.9295314506824</v>
      </c>
      <c r="G579" s="8" t="n">
        <v>1</v>
      </c>
      <c r="H579" s="7" t="n">
        <v>300.9295314506824</v>
      </c>
      <c r="I579" s="7" t="n">
        <v>1.5</v>
      </c>
      <c r="J579" s="9" t="n">
        <v>0.021</v>
      </c>
      <c r="K579" s="49" t="inlineStr">
        <is>
          <t>Success</t>
        </is>
      </c>
      <c r="L579" s="7" t="n">
        <v>0.4513942971760236</v>
      </c>
      <c r="M579" s="7" t="n">
        <v>0</v>
      </c>
      <c r="N579" s="7" t="n">
        <v>3.611154377408189</v>
      </c>
    </row>
    <row r="580" ht="18" customHeight="1">
      <c r="A580" s="49" t="inlineStr">
        <is>
          <t>ACE-10579</t>
        </is>
      </c>
      <c r="B580" s="49" t="inlineStr">
        <is>
          <t>2026-05-17 10:31:00</t>
        </is>
      </c>
      <c r="C580" s="49" t="inlineStr">
        <is>
          <t>CUST-84757</t>
        </is>
      </c>
      <c r="D580" s="49" t="inlineStr">
        <is>
          <t>GBP-PKR</t>
        </is>
      </c>
      <c r="E580" s="49" t="inlineStr">
        <is>
          <t>GBP</t>
        </is>
      </c>
      <c r="F580" s="7" t="n">
        <v>240.3102936749443</v>
      </c>
      <c r="G580" s="8" t="n">
        <v>1</v>
      </c>
      <c r="H580" s="7" t="n">
        <v>240.3102936749443</v>
      </c>
      <c r="I580" s="7" t="n">
        <v>1.5</v>
      </c>
      <c r="J580" s="9" t="n">
        <v>0.021</v>
      </c>
      <c r="K580" s="49" t="inlineStr">
        <is>
          <t>Success</t>
        </is>
      </c>
      <c r="L580" s="7" t="n">
        <v>0.3604654405124165</v>
      </c>
      <c r="M580" s="7" t="n">
        <v>0</v>
      </c>
      <c r="N580" s="7" t="n">
        <v>2.883723524099332</v>
      </c>
    </row>
    <row r="581" ht="18" customHeight="1">
      <c r="A581" s="49" t="inlineStr">
        <is>
          <t>ACE-10580</t>
        </is>
      </c>
      <c r="B581" s="49" t="inlineStr">
        <is>
          <t>2026-05-14 17:30:59</t>
        </is>
      </c>
      <c r="C581" s="49" t="inlineStr">
        <is>
          <t>CUST-83314</t>
        </is>
      </c>
      <c r="D581" s="49" t="inlineStr">
        <is>
          <t>GBP-PKR</t>
        </is>
      </c>
      <c r="E581" s="49" t="inlineStr">
        <is>
          <t>GBP</t>
        </is>
      </c>
      <c r="F581" s="7" t="n">
        <v>312.3626983945718</v>
      </c>
      <c r="G581" s="8" t="n">
        <v>1</v>
      </c>
      <c r="H581" s="7" t="n">
        <v>312.3626983945718</v>
      </c>
      <c r="I581" s="7" t="n">
        <v>1.5</v>
      </c>
      <c r="J581" s="9" t="n">
        <v>0.021</v>
      </c>
      <c r="K581" s="49" t="inlineStr">
        <is>
          <t>Success</t>
        </is>
      </c>
      <c r="L581" s="7" t="n">
        <v>0.4685440475918577</v>
      </c>
      <c r="M581" s="7" t="n">
        <v>0.9370880951837154</v>
      </c>
      <c r="N581" s="7" t="n">
        <v>3.748352380734862</v>
      </c>
    </row>
    <row r="582" ht="18" customHeight="1">
      <c r="A582" s="49" t="inlineStr">
        <is>
          <t>ACE-10581</t>
        </is>
      </c>
      <c r="B582" s="49" t="inlineStr">
        <is>
          <t>2026-05-23 17:11:46</t>
        </is>
      </c>
      <c r="C582" s="49" t="inlineStr">
        <is>
          <t>CUST-58413</t>
        </is>
      </c>
      <c r="D582" s="49" t="inlineStr">
        <is>
          <t>EUR-PKR</t>
        </is>
      </c>
      <c r="E582" s="49" t="inlineStr">
        <is>
          <t>EUR</t>
        </is>
      </c>
      <c r="F582" s="7" t="n">
        <v>195.5612662941106</v>
      </c>
      <c r="G582" s="8" t="n">
        <v>0.85</v>
      </c>
      <c r="H582" s="7" t="n">
        <v>166.227076349994</v>
      </c>
      <c r="I582" s="7" t="n">
        <v>1.275</v>
      </c>
      <c r="J582" s="9" t="n">
        <v>0.023</v>
      </c>
      <c r="K582" s="49" t="inlineStr">
        <is>
          <t>Success</t>
        </is>
      </c>
      <c r="L582" s="7" t="n">
        <v>0.249340614524991</v>
      </c>
      <c r="M582" s="7" t="n">
        <v>0.498681229049982</v>
      </c>
      <c r="N582" s="7" t="n">
        <v>2.49340614524991</v>
      </c>
    </row>
    <row r="583" ht="18" customHeight="1">
      <c r="A583" s="49" t="inlineStr">
        <is>
          <t>ACE-10582</t>
        </is>
      </c>
      <c r="B583" s="49" t="inlineStr">
        <is>
          <t>2026-05-20 13:32:56</t>
        </is>
      </c>
      <c r="C583" s="49" t="inlineStr">
        <is>
          <t>CUST-75209</t>
        </is>
      </c>
      <c r="D583" s="49" t="inlineStr">
        <is>
          <t>GBP-PKR</t>
        </is>
      </c>
      <c r="E583" s="49" t="inlineStr">
        <is>
          <t>GBP</t>
        </is>
      </c>
      <c r="F583" s="7" t="n">
        <v>267.2703817629962</v>
      </c>
      <c r="G583" s="8" t="n">
        <v>1</v>
      </c>
      <c r="H583" s="7" t="n">
        <v>267.2703817629962</v>
      </c>
      <c r="I583" s="7" t="n">
        <v>1.5</v>
      </c>
      <c r="J583" s="9" t="n">
        <v>0.021</v>
      </c>
      <c r="K583" s="49" t="inlineStr">
        <is>
          <t>Success</t>
        </is>
      </c>
      <c r="L583" s="7" t="n">
        <v>0.4009055726444944</v>
      </c>
      <c r="M583" s="7" t="n">
        <v>0.8018111452889888</v>
      </c>
      <c r="N583" s="7" t="n">
        <v>3.207244581155955</v>
      </c>
    </row>
    <row r="584" ht="18" customHeight="1">
      <c r="A584" s="49" t="inlineStr">
        <is>
          <t>ACE-10583</t>
        </is>
      </c>
      <c r="B584" s="49" t="inlineStr">
        <is>
          <t>2026-05-23 20:15:17</t>
        </is>
      </c>
      <c r="C584" s="49" t="inlineStr">
        <is>
          <t>CUST-76074</t>
        </is>
      </c>
      <c r="D584" s="49" t="inlineStr">
        <is>
          <t>USD-PKR</t>
        </is>
      </c>
      <c r="E584" s="49" t="inlineStr">
        <is>
          <t>USD</t>
        </is>
      </c>
      <c r="F584" s="7" t="n">
        <v>233.2021637531257</v>
      </c>
      <c r="G584" s="8" t="n">
        <v>0.8</v>
      </c>
      <c r="H584" s="7" t="n">
        <v>186.5617310025006</v>
      </c>
      <c r="I584" s="7" t="n">
        <v>1.6</v>
      </c>
      <c r="J584" s="9" t="n">
        <v>0.019</v>
      </c>
      <c r="K584" s="49" t="inlineStr">
        <is>
          <t>Success</t>
        </is>
      </c>
      <c r="L584" s="7" t="n">
        <v>0.2798425965037509</v>
      </c>
      <c r="M584" s="7" t="n">
        <v>0.5596851930075019</v>
      </c>
      <c r="N584" s="7" t="n">
        <v>2.238740772030007</v>
      </c>
    </row>
    <row r="585" ht="18" customHeight="1">
      <c r="A585" s="49" t="inlineStr">
        <is>
          <t>ACE-10584</t>
        </is>
      </c>
      <c r="B585" s="49" t="inlineStr">
        <is>
          <t>2026-05-15 20:08:08</t>
        </is>
      </c>
      <c r="C585" s="49" t="inlineStr">
        <is>
          <t>CUST-77049</t>
        </is>
      </c>
      <c r="D585" s="49" t="inlineStr">
        <is>
          <t>GBP-PKR</t>
        </is>
      </c>
      <c r="E585" s="49" t="inlineStr">
        <is>
          <t>GBP</t>
        </is>
      </c>
      <c r="F585" s="7" t="n">
        <v>349.6242089490074</v>
      </c>
      <c r="G585" s="8" t="n">
        <v>1</v>
      </c>
      <c r="H585" s="7" t="n">
        <v>349.6242089490074</v>
      </c>
      <c r="I585" s="7" t="n">
        <v>1.5</v>
      </c>
      <c r="J585" s="9" t="n">
        <v>0.021</v>
      </c>
      <c r="K585" s="49" t="inlineStr">
        <is>
          <t>Success</t>
        </is>
      </c>
      <c r="L585" s="7" t="n">
        <v>0.524436313423511</v>
      </c>
      <c r="M585" s="7" t="n">
        <v>1.048872626847022</v>
      </c>
      <c r="N585" s="7" t="n">
        <v>4.195490507388088</v>
      </c>
    </row>
    <row r="586" ht="18" customHeight="1">
      <c r="A586" s="49" t="inlineStr">
        <is>
          <t>ACE-10585</t>
        </is>
      </c>
      <c r="B586" s="49" t="inlineStr">
        <is>
          <t>2026-05-17 12:53:44</t>
        </is>
      </c>
      <c r="C586" s="49" t="inlineStr">
        <is>
          <t>CUST-85901</t>
        </is>
      </c>
      <c r="D586" s="49" t="inlineStr">
        <is>
          <t>GBP-PKR</t>
        </is>
      </c>
      <c r="E586" s="49" t="inlineStr">
        <is>
          <t>GBP</t>
        </is>
      </c>
      <c r="F586" s="7" t="n">
        <v>283.7167066941628</v>
      </c>
      <c r="G586" s="8" t="n">
        <v>1</v>
      </c>
      <c r="H586" s="7" t="n">
        <v>283.7167066941628</v>
      </c>
      <c r="I586" s="7" t="n">
        <v>1.5</v>
      </c>
      <c r="J586" s="9" t="n">
        <v>0.021</v>
      </c>
      <c r="K586" s="49" t="inlineStr">
        <is>
          <t>Success</t>
        </is>
      </c>
      <c r="L586" s="7" t="n">
        <v>0.4255750600412443</v>
      </c>
      <c r="M586" s="7" t="n">
        <v>0.8511501200824886</v>
      </c>
      <c r="N586" s="7" t="n">
        <v>3.404600480329954</v>
      </c>
    </row>
    <row r="587" ht="18" customHeight="1">
      <c r="A587" s="49" t="inlineStr">
        <is>
          <t>ACE-10586</t>
        </is>
      </c>
      <c r="B587" s="49" t="inlineStr">
        <is>
          <t>2026-05-18 18:13:12</t>
        </is>
      </c>
      <c r="C587" s="49" t="inlineStr">
        <is>
          <t>CUST-63743</t>
        </is>
      </c>
      <c r="D587" s="49" t="inlineStr">
        <is>
          <t>USD-PKR</t>
        </is>
      </c>
      <c r="E587" s="49" t="inlineStr">
        <is>
          <t>USD</t>
        </is>
      </c>
      <c r="F587" s="7" t="n">
        <v>224.4043604336813</v>
      </c>
      <c r="G587" s="8" t="n">
        <v>0.8</v>
      </c>
      <c r="H587" s="7" t="n">
        <v>179.5234883469451</v>
      </c>
      <c r="I587" s="7" t="n">
        <v>1.6</v>
      </c>
      <c r="J587" s="9" t="n">
        <v>0.019</v>
      </c>
      <c r="K587" s="49" t="inlineStr">
        <is>
          <t>Success</t>
        </is>
      </c>
      <c r="L587" s="7" t="n">
        <v>0.2692852325204176</v>
      </c>
      <c r="M587" s="7" t="n">
        <v>0</v>
      </c>
      <c r="N587" s="7" t="n">
        <v>2.154281860163341</v>
      </c>
    </row>
    <row r="588" ht="18" customHeight="1">
      <c r="A588" s="49" t="inlineStr">
        <is>
          <t>ACE-10587</t>
        </is>
      </c>
      <c r="B588" s="49" t="inlineStr">
        <is>
          <t>2026-05-12 18:08:45</t>
        </is>
      </c>
      <c r="C588" s="49" t="inlineStr">
        <is>
          <t>CUST-92604</t>
        </is>
      </c>
      <c r="D588" s="49" t="inlineStr">
        <is>
          <t>GBP-PKR</t>
        </is>
      </c>
      <c r="E588" s="49" t="inlineStr">
        <is>
          <t>GBP</t>
        </is>
      </c>
      <c r="F588" s="7" t="n">
        <v>266.0950333514747</v>
      </c>
      <c r="G588" s="8" t="n">
        <v>1</v>
      </c>
      <c r="H588" s="7" t="n">
        <v>266.0950333514747</v>
      </c>
      <c r="I588" s="7" t="n">
        <v>1.5</v>
      </c>
      <c r="J588" s="9" t="n">
        <v>0.021</v>
      </c>
      <c r="K588" s="49" t="inlineStr">
        <is>
          <t>Success</t>
        </is>
      </c>
      <c r="L588" s="7" t="n">
        <v>0.3991425500272121</v>
      </c>
      <c r="M588" s="7" t="n">
        <v>0</v>
      </c>
      <c r="N588" s="7" t="n">
        <v>3.193140400217697</v>
      </c>
    </row>
    <row r="589" ht="18" customHeight="1">
      <c r="A589" s="49" t="inlineStr">
        <is>
          <t>ACE-10588</t>
        </is>
      </c>
      <c r="B589" s="49" t="inlineStr">
        <is>
          <t>2026-05-18 19:40:20</t>
        </is>
      </c>
      <c r="C589" s="49" t="inlineStr">
        <is>
          <t>CUST-96553</t>
        </is>
      </c>
      <c r="D589" s="49" t="inlineStr">
        <is>
          <t>GBP-PKR</t>
        </is>
      </c>
      <c r="E589" s="49" t="inlineStr">
        <is>
          <t>GBP</t>
        </is>
      </c>
      <c r="F589" s="7" t="n">
        <v>255.9047145037208</v>
      </c>
      <c r="G589" s="8" t="n">
        <v>1</v>
      </c>
      <c r="H589" s="7" t="n">
        <v>255.9047145037208</v>
      </c>
      <c r="I589" s="7" t="n">
        <v>1.5</v>
      </c>
      <c r="J589" s="9" t="n">
        <v>0.021</v>
      </c>
      <c r="K589" s="49" t="inlineStr">
        <is>
          <t>Success</t>
        </is>
      </c>
      <c r="L589" s="7" t="n">
        <v>0.3838570717555812</v>
      </c>
      <c r="M589" s="7" t="n">
        <v>0</v>
      </c>
      <c r="N589" s="7" t="n">
        <v>3.07085657404465</v>
      </c>
    </row>
    <row r="590" ht="18" customHeight="1">
      <c r="A590" s="49" t="inlineStr">
        <is>
          <t>ACE-10589</t>
        </is>
      </c>
      <c r="B590" s="49" t="inlineStr">
        <is>
          <t>2026-05-16 17:36:42</t>
        </is>
      </c>
      <c r="C590" s="49" t="inlineStr">
        <is>
          <t>CUST-96538</t>
        </is>
      </c>
      <c r="D590" s="49" t="inlineStr">
        <is>
          <t>GBP-PKR</t>
        </is>
      </c>
      <c r="E590" s="49" t="inlineStr">
        <is>
          <t>GBP</t>
        </is>
      </c>
      <c r="F590" s="7" t="n">
        <v>302.7245102468187</v>
      </c>
      <c r="G590" s="8" t="n">
        <v>1</v>
      </c>
      <c r="H590" s="7" t="n">
        <v>302.7245102468187</v>
      </c>
      <c r="I590" s="7" t="n">
        <v>1.5</v>
      </c>
      <c r="J590" s="9" t="n">
        <v>0.021</v>
      </c>
      <c r="K590" s="49" t="inlineStr">
        <is>
          <t>Success</t>
        </is>
      </c>
      <c r="L590" s="7" t="n">
        <v>0.454086765370228</v>
      </c>
      <c r="M590" s="7" t="n">
        <v>0.908173530740456</v>
      </c>
      <c r="N590" s="7" t="n">
        <v>3.632694122961824</v>
      </c>
    </row>
    <row r="591" ht="18" customHeight="1">
      <c r="A591" s="49" t="inlineStr">
        <is>
          <t>ACE-10590</t>
        </is>
      </c>
      <c r="B591" s="49" t="inlineStr">
        <is>
          <t>2026-05-18 12:56:54</t>
        </is>
      </c>
      <c r="C591" s="49" t="inlineStr">
        <is>
          <t>CUST-77681</t>
        </is>
      </c>
      <c r="D591" s="49" t="inlineStr">
        <is>
          <t>USD-PKR</t>
        </is>
      </c>
      <c r="E591" s="49" t="inlineStr">
        <is>
          <t>USD</t>
        </is>
      </c>
      <c r="F591" s="7" t="n">
        <v>200.9425736012061</v>
      </c>
      <c r="G591" s="8" t="n">
        <v>0.8</v>
      </c>
      <c r="H591" s="7" t="n">
        <v>160.7540588809649</v>
      </c>
      <c r="I591" s="7" t="n">
        <v>1.6</v>
      </c>
      <c r="J591" s="9" t="n">
        <v>0.019</v>
      </c>
      <c r="K591" s="49" t="inlineStr">
        <is>
          <t>Success</t>
        </is>
      </c>
      <c r="L591" s="7" t="n">
        <v>0.2411310883214473</v>
      </c>
      <c r="M591" s="7" t="n">
        <v>0</v>
      </c>
      <c r="N591" s="7" t="n">
        <v>1.929048706571578</v>
      </c>
    </row>
    <row r="592" ht="18" customHeight="1">
      <c r="A592" s="49" t="inlineStr">
        <is>
          <t>ACE-10591</t>
        </is>
      </c>
      <c r="B592" s="49" t="inlineStr">
        <is>
          <t>2026-05-01 14:09:03</t>
        </is>
      </c>
      <c r="C592" s="49" t="inlineStr">
        <is>
          <t>CUST-93925</t>
        </is>
      </c>
      <c r="D592" s="49" t="inlineStr">
        <is>
          <t>GBP-PKR</t>
        </is>
      </c>
      <c r="E592" s="49" t="inlineStr">
        <is>
          <t>GBP</t>
        </is>
      </c>
      <c r="F592" s="7" t="n">
        <v>280.6045062541089</v>
      </c>
      <c r="G592" s="8" t="n">
        <v>1</v>
      </c>
      <c r="H592" s="7" t="n">
        <v>280.6045062541089</v>
      </c>
      <c r="I592" s="7" t="n">
        <v>1.5</v>
      </c>
      <c r="J592" s="9" t="n">
        <v>0.021</v>
      </c>
      <c r="K592" s="49" t="inlineStr">
        <is>
          <t>Success</t>
        </is>
      </c>
      <c r="L592" s="7" t="n">
        <v>0.4209067593811634</v>
      </c>
      <c r="M592" s="7" t="n">
        <v>0</v>
      </c>
      <c r="N592" s="7" t="n">
        <v>3.367254075049307</v>
      </c>
    </row>
    <row r="593" ht="18" customHeight="1">
      <c r="A593" s="49" t="inlineStr">
        <is>
          <t>ACE-10592</t>
        </is>
      </c>
      <c r="B593" s="49" t="inlineStr">
        <is>
          <t>2026-05-06 12:43:16</t>
        </is>
      </c>
      <c r="C593" s="49" t="inlineStr">
        <is>
          <t>CUST-59596</t>
        </is>
      </c>
      <c r="D593" s="49" t="inlineStr">
        <is>
          <t>GBP-PKR</t>
        </is>
      </c>
      <c r="E593" s="49" t="inlineStr">
        <is>
          <t>GBP</t>
        </is>
      </c>
      <c r="F593" s="7" t="n">
        <v>265.6086164402677</v>
      </c>
      <c r="G593" s="8" t="n">
        <v>1</v>
      </c>
      <c r="H593" s="7" t="n">
        <v>265.6086164402677</v>
      </c>
      <c r="I593" s="7" t="n">
        <v>1.5</v>
      </c>
      <c r="J593" s="9" t="n">
        <v>0.021</v>
      </c>
      <c r="K593" s="49" t="inlineStr">
        <is>
          <t>Success</t>
        </is>
      </c>
      <c r="L593" s="7" t="n">
        <v>0.3984129246604015</v>
      </c>
      <c r="M593" s="7" t="n">
        <v>0.796825849320803</v>
      </c>
      <c r="N593" s="7" t="n">
        <v>3.187303397283212</v>
      </c>
    </row>
    <row r="594" ht="18" customHeight="1">
      <c r="A594" s="49" t="inlineStr">
        <is>
          <t>ACE-10593</t>
        </is>
      </c>
      <c r="B594" s="49" t="inlineStr">
        <is>
          <t>2026-05-10 11:48:34</t>
        </is>
      </c>
      <c r="C594" s="49" t="inlineStr">
        <is>
          <t>CUST-52117</t>
        </is>
      </c>
      <c r="D594" s="49" t="inlineStr">
        <is>
          <t>USD-PKR</t>
        </is>
      </c>
      <c r="E594" s="49" t="inlineStr">
        <is>
          <t>USD</t>
        </is>
      </c>
      <c r="F594" s="7" t="n">
        <v>229.6429080938476</v>
      </c>
      <c r="G594" s="8" t="n">
        <v>0.8</v>
      </c>
      <c r="H594" s="7" t="n">
        <v>183.7143264750781</v>
      </c>
      <c r="I594" s="7" t="n">
        <v>1.6</v>
      </c>
      <c r="J594" s="9" t="n">
        <v>0.019</v>
      </c>
      <c r="K594" s="49" t="inlineStr">
        <is>
          <t>Success</t>
        </is>
      </c>
      <c r="L594" s="7" t="n">
        <v>0.2755714897126171</v>
      </c>
      <c r="M594" s="7" t="n">
        <v>0</v>
      </c>
      <c r="N594" s="7" t="n">
        <v>2.204571917700937</v>
      </c>
    </row>
    <row r="595" ht="18" customHeight="1">
      <c r="A595" s="49" t="inlineStr">
        <is>
          <t>ACE-10594</t>
        </is>
      </c>
      <c r="B595" s="49" t="inlineStr">
        <is>
          <t>2026-05-20 18:47:35</t>
        </is>
      </c>
      <c r="C595" s="49" t="inlineStr">
        <is>
          <t>CUST-64700</t>
        </is>
      </c>
      <c r="D595" s="49" t="inlineStr">
        <is>
          <t>GBP-PKR</t>
        </is>
      </c>
      <c r="E595" s="49" t="inlineStr">
        <is>
          <t>GBP</t>
        </is>
      </c>
      <c r="F595" s="7" t="n">
        <v>288.0562615605622</v>
      </c>
      <c r="G595" s="8" t="n">
        <v>1</v>
      </c>
      <c r="H595" s="7" t="n">
        <v>288.0562615605622</v>
      </c>
      <c r="I595" s="7" t="n">
        <v>1.5</v>
      </c>
      <c r="J595" s="9" t="n">
        <v>0.021</v>
      </c>
      <c r="K595" s="49" t="inlineStr">
        <is>
          <t>Success</t>
        </is>
      </c>
      <c r="L595" s="7" t="n">
        <v>0.4320843923408433</v>
      </c>
      <c r="M595" s="7" t="n">
        <v>0</v>
      </c>
      <c r="N595" s="7" t="n">
        <v>3.456675138726746</v>
      </c>
    </row>
    <row r="596" ht="18" customHeight="1">
      <c r="A596" s="49" t="inlineStr">
        <is>
          <t>ACE-10595</t>
        </is>
      </c>
      <c r="B596" s="49" t="inlineStr">
        <is>
          <t>2026-05-08 16:50:50</t>
        </is>
      </c>
      <c r="C596" s="49" t="inlineStr">
        <is>
          <t>CUST-95621</t>
        </is>
      </c>
      <c r="D596" s="49" t="inlineStr">
        <is>
          <t>GBP-PKR</t>
        </is>
      </c>
      <c r="E596" s="49" t="inlineStr">
        <is>
          <t>GBP</t>
        </is>
      </c>
      <c r="F596" s="7" t="n">
        <v>309.0625234201415</v>
      </c>
      <c r="G596" s="8" t="n">
        <v>1</v>
      </c>
      <c r="H596" s="7" t="n">
        <v>309.0625234201415</v>
      </c>
      <c r="I596" s="7" t="n">
        <v>1.5</v>
      </c>
      <c r="J596" s="9" t="n">
        <v>0.021</v>
      </c>
      <c r="K596" s="49" t="inlineStr">
        <is>
          <t>Success</t>
        </is>
      </c>
      <c r="L596" s="7" t="n">
        <v>0.4635937851302122</v>
      </c>
      <c r="M596" s="7" t="n">
        <v>0.9271875702604244</v>
      </c>
      <c r="N596" s="7" t="n">
        <v>3.708750281041698</v>
      </c>
    </row>
    <row r="597" ht="18" customHeight="1">
      <c r="A597" s="49" t="inlineStr">
        <is>
          <t>ACE-10596</t>
        </is>
      </c>
      <c r="B597" s="49" t="inlineStr">
        <is>
          <t>2026-05-13 14:26:50</t>
        </is>
      </c>
      <c r="C597" s="49" t="inlineStr">
        <is>
          <t>CUST-94901</t>
        </is>
      </c>
      <c r="D597" s="49" t="inlineStr">
        <is>
          <t>GBP-PKR</t>
        </is>
      </c>
      <c r="E597" s="49" t="inlineStr">
        <is>
          <t>GBP</t>
        </is>
      </c>
      <c r="F597" s="7" t="n">
        <v>264.7505238884164</v>
      </c>
      <c r="G597" s="8" t="n">
        <v>1</v>
      </c>
      <c r="H597" s="7" t="n">
        <v>264.7505238884164</v>
      </c>
      <c r="I597" s="7" t="n">
        <v>1.5</v>
      </c>
      <c r="J597" s="9" t="n">
        <v>0.021</v>
      </c>
      <c r="K597" s="49" t="inlineStr">
        <is>
          <t>Success</t>
        </is>
      </c>
      <c r="L597" s="7" t="n">
        <v>0.3971257858326245</v>
      </c>
      <c r="M597" s="7" t="n">
        <v>0</v>
      </c>
      <c r="N597" s="7" t="n">
        <v>3.177006286660996</v>
      </c>
    </row>
    <row r="598" ht="18" customHeight="1">
      <c r="A598" s="49" t="inlineStr">
        <is>
          <t>ACE-10597</t>
        </is>
      </c>
      <c r="B598" s="49" t="inlineStr">
        <is>
          <t>2026-05-01 19:16:12</t>
        </is>
      </c>
      <c r="C598" s="49" t="inlineStr">
        <is>
          <t>CUST-90669</t>
        </is>
      </c>
      <c r="D598" s="49" t="inlineStr">
        <is>
          <t>GBP-PKR</t>
        </is>
      </c>
      <c r="E598" s="49" t="inlineStr">
        <is>
          <t>GBP</t>
        </is>
      </c>
      <c r="F598" s="7" t="n">
        <v>271.1852345311468</v>
      </c>
      <c r="G598" s="8" t="n">
        <v>1</v>
      </c>
      <c r="H598" s="7" t="n">
        <v>271.1852345311468</v>
      </c>
      <c r="I598" s="7" t="n">
        <v>1.5</v>
      </c>
      <c r="J598" s="9" t="n">
        <v>0.021</v>
      </c>
      <c r="K598" s="49" t="inlineStr">
        <is>
          <t>Success</t>
        </is>
      </c>
      <c r="L598" s="7" t="n">
        <v>0.4067778517967202</v>
      </c>
      <c r="M598" s="7" t="n">
        <v>0.8135557035934404</v>
      </c>
      <c r="N598" s="7" t="n">
        <v>3.254222814373762</v>
      </c>
    </row>
    <row r="599" ht="18" customHeight="1">
      <c r="A599" s="49" t="inlineStr">
        <is>
          <t>ACE-10598</t>
        </is>
      </c>
      <c r="B599" s="49" t="inlineStr">
        <is>
          <t>2026-05-15 11:58:40</t>
        </is>
      </c>
      <c r="C599" s="49" t="inlineStr">
        <is>
          <t>CUST-96178</t>
        </is>
      </c>
      <c r="D599" s="49" t="inlineStr">
        <is>
          <t>GBP-PKR</t>
        </is>
      </c>
      <c r="E599" s="49" t="inlineStr">
        <is>
          <t>GBP</t>
        </is>
      </c>
      <c r="F599" s="7" t="n">
        <v>252.6267824947484</v>
      </c>
      <c r="G599" s="8" t="n">
        <v>1</v>
      </c>
      <c r="H599" s="7" t="n">
        <v>252.6267824947484</v>
      </c>
      <c r="I599" s="7" t="n">
        <v>1.5</v>
      </c>
      <c r="J599" s="9" t="n">
        <v>0.021</v>
      </c>
      <c r="K599" s="49" t="inlineStr">
        <is>
          <t>Success</t>
        </is>
      </c>
      <c r="L599" s="7" t="n">
        <v>0.3789401737421226</v>
      </c>
      <c r="M599" s="7" t="n">
        <v>0</v>
      </c>
      <c r="N599" s="7" t="n">
        <v>3.031521389936981</v>
      </c>
    </row>
    <row r="600" ht="18" customHeight="1">
      <c r="A600" s="49" t="inlineStr">
        <is>
          <t>ACE-10599</t>
        </is>
      </c>
      <c r="B600" s="49" t="inlineStr">
        <is>
          <t>2026-05-19 16:47:38</t>
        </is>
      </c>
      <c r="C600" s="49" t="inlineStr">
        <is>
          <t>CUST-62875</t>
        </is>
      </c>
      <c r="D600" s="49" t="inlineStr">
        <is>
          <t>GBP-PKR</t>
        </is>
      </c>
      <c r="E600" s="49" t="inlineStr">
        <is>
          <t>GBP</t>
        </is>
      </c>
      <c r="F600" s="7" t="n">
        <v>266.4962779685962</v>
      </c>
      <c r="G600" s="8" t="n">
        <v>1</v>
      </c>
      <c r="H600" s="7" t="n">
        <v>266.4962779685962</v>
      </c>
      <c r="I600" s="7" t="n">
        <v>1.5</v>
      </c>
      <c r="J600" s="9" t="n">
        <v>0.021</v>
      </c>
      <c r="K600" s="49" t="inlineStr">
        <is>
          <t>Success</t>
        </is>
      </c>
      <c r="L600" s="7" t="n">
        <v>0.3997444169528944</v>
      </c>
      <c r="M600" s="7" t="n">
        <v>0.7994888339057887</v>
      </c>
      <c r="N600" s="7" t="n">
        <v>3.197955335623155</v>
      </c>
    </row>
    <row r="601" ht="18" customHeight="1">
      <c r="A601" s="49" t="inlineStr">
        <is>
          <t>ACE-10600</t>
        </is>
      </c>
      <c r="B601" s="49" t="inlineStr">
        <is>
          <t>2026-05-10 15:11:43</t>
        </is>
      </c>
      <c r="C601" s="49" t="inlineStr">
        <is>
          <t>CUST-54880</t>
        </is>
      </c>
      <c r="D601" s="49" t="inlineStr">
        <is>
          <t>GBP-PKR</t>
        </is>
      </c>
      <c r="E601" s="49" t="inlineStr">
        <is>
          <t>GBP</t>
        </is>
      </c>
      <c r="F601" s="7" t="n">
        <v>289.3160393788445</v>
      </c>
      <c r="G601" s="8" t="n">
        <v>1</v>
      </c>
      <c r="H601" s="7" t="n">
        <v>289.3160393788445</v>
      </c>
      <c r="I601" s="7" t="n">
        <v>1.5</v>
      </c>
      <c r="J601" s="9" t="n">
        <v>0.021</v>
      </c>
      <c r="K601" s="49" t="inlineStr">
        <is>
          <t>Success</t>
        </is>
      </c>
      <c r="L601" s="7" t="n">
        <v>0.4339740590682667</v>
      </c>
      <c r="M601" s="7" t="n">
        <v>0</v>
      </c>
      <c r="N601" s="7" t="n">
        <v>3.471792472546134</v>
      </c>
    </row>
    <row r="602" ht="18" customHeight="1">
      <c r="A602" s="49" t="inlineStr">
        <is>
          <t>ACE-10601</t>
        </is>
      </c>
      <c r="B602" s="49" t="inlineStr">
        <is>
          <t>2026-05-17 09:24:02</t>
        </is>
      </c>
      <c r="C602" s="49" t="inlineStr">
        <is>
          <t>CUST-78082</t>
        </is>
      </c>
      <c r="D602" s="49" t="inlineStr">
        <is>
          <t>USD-PKR</t>
        </is>
      </c>
      <c r="E602" s="49" t="inlineStr">
        <is>
          <t>USD</t>
        </is>
      </c>
      <c r="F602" s="7" t="n">
        <v>236.1167551772936</v>
      </c>
      <c r="G602" s="8" t="n">
        <v>0.8</v>
      </c>
      <c r="H602" s="7" t="n">
        <v>188.8934041418349</v>
      </c>
      <c r="I602" s="7" t="n">
        <v>1.6</v>
      </c>
      <c r="J602" s="9" t="n">
        <v>0.019</v>
      </c>
      <c r="K602" s="49" t="inlineStr">
        <is>
          <t>Success</t>
        </is>
      </c>
      <c r="L602" s="7" t="n">
        <v>0.2833401062127524</v>
      </c>
      <c r="M602" s="7" t="n">
        <v>0</v>
      </c>
      <c r="N602" s="7" t="n">
        <v>2.266720849702019</v>
      </c>
    </row>
    <row r="603" ht="18" customHeight="1">
      <c r="A603" s="49" t="inlineStr">
        <is>
          <t>ACE-10602</t>
        </is>
      </c>
      <c r="B603" s="49" t="inlineStr">
        <is>
          <t>2026-05-06 17:54:16</t>
        </is>
      </c>
      <c r="C603" s="49" t="inlineStr">
        <is>
          <t>CUST-50369</t>
        </is>
      </c>
      <c r="D603" s="49" t="inlineStr">
        <is>
          <t>GBP-PKR</t>
        </is>
      </c>
      <c r="E603" s="49" t="inlineStr">
        <is>
          <t>GBP</t>
        </is>
      </c>
      <c r="F603" s="7" t="n">
        <v>254.0606633912031</v>
      </c>
      <c r="G603" s="8" t="n">
        <v>1</v>
      </c>
      <c r="H603" s="7" t="n">
        <v>254.0606633912031</v>
      </c>
      <c r="I603" s="7" t="n">
        <v>1.5</v>
      </c>
      <c r="J603" s="9" t="n">
        <v>0.021</v>
      </c>
      <c r="K603" s="49" t="inlineStr">
        <is>
          <t>Success</t>
        </is>
      </c>
      <c r="L603" s="7" t="n">
        <v>0.3810909950868047</v>
      </c>
      <c r="M603" s="7" t="n">
        <v>0.7621819901736093</v>
      </c>
      <c r="N603" s="7" t="n">
        <v>3.048727960694437</v>
      </c>
    </row>
    <row r="604" ht="18" customHeight="1">
      <c r="A604" s="49" t="inlineStr">
        <is>
          <t>ACE-10603</t>
        </is>
      </c>
      <c r="B604" s="49" t="inlineStr">
        <is>
          <t>2026-05-05 08:09:59</t>
        </is>
      </c>
      <c r="C604" s="49" t="inlineStr">
        <is>
          <t>CUST-71143</t>
        </is>
      </c>
      <c r="D604" s="49" t="inlineStr">
        <is>
          <t>GBP-PKR</t>
        </is>
      </c>
      <c r="E604" s="49" t="inlineStr">
        <is>
          <t>GBP</t>
        </is>
      </c>
      <c r="F604" s="7" t="n">
        <v>303.9156498115651</v>
      </c>
      <c r="G604" s="8" t="n">
        <v>1</v>
      </c>
      <c r="H604" s="7" t="n">
        <v>303.9156498115651</v>
      </c>
      <c r="I604" s="7" t="n">
        <v>1.5</v>
      </c>
      <c r="J604" s="9" t="n">
        <v>0.021</v>
      </c>
      <c r="K604" s="49" t="inlineStr">
        <is>
          <t>Success</t>
        </is>
      </c>
      <c r="L604" s="7" t="n">
        <v>0.4558734747173477</v>
      </c>
      <c r="M604" s="7" t="n">
        <v>0.9117469494346954</v>
      </c>
      <c r="N604" s="7" t="n">
        <v>3.646987797738781</v>
      </c>
    </row>
    <row r="605" ht="18" customHeight="1">
      <c r="A605" s="49" t="inlineStr">
        <is>
          <t>ACE-10604</t>
        </is>
      </c>
      <c r="B605" s="49" t="inlineStr">
        <is>
          <t>2026-05-21 17:53:42</t>
        </is>
      </c>
      <c r="C605" s="49" t="inlineStr">
        <is>
          <t>CUST-69736</t>
        </is>
      </c>
      <c r="D605" s="49" t="inlineStr">
        <is>
          <t>EUR-PKR</t>
        </is>
      </c>
      <c r="E605" s="49" t="inlineStr">
        <is>
          <t>EUR</t>
        </is>
      </c>
      <c r="F605" s="7" t="n">
        <v>216.4994177453446</v>
      </c>
      <c r="G605" s="8" t="n">
        <v>0.85</v>
      </c>
      <c r="H605" s="7" t="n">
        <v>184.0245050835429</v>
      </c>
      <c r="I605" s="7" t="n">
        <v>1.275</v>
      </c>
      <c r="J605" s="9" t="n">
        <v>0.023</v>
      </c>
      <c r="K605" s="49" t="inlineStr">
        <is>
          <t>Success</t>
        </is>
      </c>
      <c r="L605" s="7" t="n">
        <v>0.2760367576253143</v>
      </c>
      <c r="M605" s="7" t="n">
        <v>0</v>
      </c>
      <c r="N605" s="7" t="n">
        <v>2.760367576253143</v>
      </c>
    </row>
    <row r="606" ht="18" customHeight="1">
      <c r="A606" s="49" t="inlineStr">
        <is>
          <t>ACE-10605</t>
        </is>
      </c>
      <c r="B606" s="49" t="inlineStr">
        <is>
          <t>2026-05-12 09:50:45</t>
        </is>
      </c>
      <c r="C606" s="49" t="inlineStr">
        <is>
          <t>CUST-70831</t>
        </is>
      </c>
      <c r="D606" s="49" t="inlineStr">
        <is>
          <t>GBP-PKR</t>
        </is>
      </c>
      <c r="E606" s="49" t="inlineStr">
        <is>
          <t>GBP</t>
        </is>
      </c>
      <c r="F606" s="7" t="n">
        <v>290.3633568931356</v>
      </c>
      <c r="G606" s="8" t="n">
        <v>1</v>
      </c>
      <c r="H606" s="7" t="n">
        <v>290.3633568931356</v>
      </c>
      <c r="I606" s="7" t="n">
        <v>1.5</v>
      </c>
      <c r="J606" s="9" t="n">
        <v>0.021</v>
      </c>
      <c r="K606" s="49" t="inlineStr">
        <is>
          <t>Success</t>
        </is>
      </c>
      <c r="L606" s="7" t="n">
        <v>0.4355450353397033</v>
      </c>
      <c r="M606" s="7" t="n">
        <v>0.8710900706794067</v>
      </c>
      <c r="N606" s="7" t="n">
        <v>3.484360282717627</v>
      </c>
    </row>
    <row r="607" ht="18" customHeight="1">
      <c r="A607" s="49" t="inlineStr">
        <is>
          <t>ACE-10606</t>
        </is>
      </c>
      <c r="B607" s="49" t="inlineStr">
        <is>
          <t>2026-05-17 09:50:32</t>
        </is>
      </c>
      <c r="C607" s="49" t="inlineStr">
        <is>
          <t>CUST-60444</t>
        </is>
      </c>
      <c r="D607" s="49" t="inlineStr">
        <is>
          <t>GBP-PKR</t>
        </is>
      </c>
      <c r="E607" s="49" t="inlineStr">
        <is>
          <t>GBP</t>
        </is>
      </c>
      <c r="F607" s="7" t="n">
        <v>336.1203177562468</v>
      </c>
      <c r="G607" s="8" t="n">
        <v>1</v>
      </c>
      <c r="H607" s="7" t="n">
        <v>336.1203177562468</v>
      </c>
      <c r="I607" s="7" t="n">
        <v>1.5</v>
      </c>
      <c r="J607" s="9" t="n">
        <v>0.021</v>
      </c>
      <c r="K607" s="49" t="inlineStr">
        <is>
          <t>Success</t>
        </is>
      </c>
      <c r="L607" s="7" t="n">
        <v>0.5041804766343703</v>
      </c>
      <c r="M607" s="7" t="n">
        <v>0</v>
      </c>
      <c r="N607" s="7" t="n">
        <v>4.033443813074962</v>
      </c>
    </row>
    <row r="608" ht="18" customHeight="1">
      <c r="A608" s="49" t="inlineStr">
        <is>
          <t>ACE-10607</t>
        </is>
      </c>
      <c r="B608" s="49" t="inlineStr">
        <is>
          <t>2026-05-03 13:14:56</t>
        </is>
      </c>
      <c r="C608" s="49" t="inlineStr">
        <is>
          <t>CUST-63982</t>
        </is>
      </c>
      <c r="D608" s="49" t="inlineStr">
        <is>
          <t>GBP-PKR</t>
        </is>
      </c>
      <c r="E608" s="49" t="inlineStr">
        <is>
          <t>GBP</t>
        </is>
      </c>
      <c r="F608" s="7" t="n">
        <v>257.8584222307081</v>
      </c>
      <c r="G608" s="8" t="n">
        <v>1</v>
      </c>
      <c r="H608" s="7" t="n">
        <v>257.8584222307081</v>
      </c>
      <c r="I608" s="7" t="n">
        <v>1.5</v>
      </c>
      <c r="J608" s="9" t="n">
        <v>0.021</v>
      </c>
      <c r="K608" s="49" t="inlineStr">
        <is>
          <t>Success</t>
        </is>
      </c>
      <c r="L608" s="7" t="n">
        <v>0.3867876333460621</v>
      </c>
      <c r="M608" s="7" t="n">
        <v>0</v>
      </c>
      <c r="N608" s="7" t="n">
        <v>3.094301066768497</v>
      </c>
    </row>
    <row r="609" ht="18" customHeight="1">
      <c r="A609" s="49" t="inlineStr">
        <is>
          <t>ACE-10608</t>
        </is>
      </c>
      <c r="B609" s="49" t="inlineStr">
        <is>
          <t>2026-05-10 11:48:39</t>
        </is>
      </c>
      <c r="C609" s="49" t="inlineStr">
        <is>
          <t>CUST-84766</t>
        </is>
      </c>
      <c r="D609" s="49" t="inlineStr">
        <is>
          <t>USD-PKR</t>
        </is>
      </c>
      <c r="E609" s="49" t="inlineStr">
        <is>
          <t>USD</t>
        </is>
      </c>
      <c r="F609" s="7" t="n">
        <v>193.2842833786499</v>
      </c>
      <c r="G609" s="8" t="n">
        <v>0.8</v>
      </c>
      <c r="H609" s="7" t="n">
        <v>154.62742670292</v>
      </c>
      <c r="I609" s="7" t="n">
        <v>1.6</v>
      </c>
      <c r="J609" s="9" t="n">
        <v>0.019</v>
      </c>
      <c r="K609" s="49" t="inlineStr">
        <is>
          <t>Success</t>
        </is>
      </c>
      <c r="L609" s="7" t="n">
        <v>0.2319411400543799</v>
      </c>
      <c r="M609" s="7" t="n">
        <v>0</v>
      </c>
      <c r="N609" s="7" t="n">
        <v>1.855529120435039</v>
      </c>
    </row>
    <row r="610" ht="18" customHeight="1">
      <c r="A610" s="49" t="inlineStr">
        <is>
          <t>ACE-10609</t>
        </is>
      </c>
      <c r="B610" s="49" t="inlineStr">
        <is>
          <t>2026-05-21 08:07:42</t>
        </is>
      </c>
      <c r="C610" s="49" t="inlineStr">
        <is>
          <t>CUST-72675</t>
        </is>
      </c>
      <c r="D610" s="49" t="inlineStr">
        <is>
          <t>USD-PKR</t>
        </is>
      </c>
      <c r="E610" s="49" t="inlineStr">
        <is>
          <t>USD</t>
        </is>
      </c>
      <c r="F610" s="7" t="n">
        <v>183.2324419536038</v>
      </c>
      <c r="G610" s="8" t="n">
        <v>0.8</v>
      </c>
      <c r="H610" s="7" t="n">
        <v>146.585953562883</v>
      </c>
      <c r="I610" s="7" t="n">
        <v>1.6</v>
      </c>
      <c r="J610" s="9" t="n">
        <v>0.019</v>
      </c>
      <c r="K610" s="49" t="inlineStr">
        <is>
          <t>Success</t>
        </is>
      </c>
      <c r="L610" s="7" t="n">
        <v>0.2198789303443246</v>
      </c>
      <c r="M610" s="7" t="n">
        <v>0.4397578606886491</v>
      </c>
      <c r="N610" s="7" t="n">
        <v>1.759031442754597</v>
      </c>
    </row>
    <row r="611" ht="18" customHeight="1">
      <c r="A611" s="49" t="inlineStr">
        <is>
          <t>ACE-10610</t>
        </is>
      </c>
      <c r="B611" s="49" t="inlineStr">
        <is>
          <t>2026-05-20 17:15:02</t>
        </is>
      </c>
      <c r="C611" s="49" t="inlineStr">
        <is>
          <t>CUST-94731</t>
        </is>
      </c>
      <c r="D611" s="49" t="inlineStr">
        <is>
          <t>GBP-PKR</t>
        </is>
      </c>
      <c r="E611" s="49" t="inlineStr">
        <is>
          <t>GBP</t>
        </is>
      </c>
      <c r="F611" s="7" t="n">
        <v>323.5630628879495</v>
      </c>
      <c r="G611" s="8" t="n">
        <v>1</v>
      </c>
      <c r="H611" s="7" t="n">
        <v>323.5630628879495</v>
      </c>
      <c r="I611" s="7" t="n">
        <v>1.5</v>
      </c>
      <c r="J611" s="9" t="n">
        <v>0.021</v>
      </c>
      <c r="K611" s="49" t="inlineStr">
        <is>
          <t>Success</t>
        </is>
      </c>
      <c r="L611" s="7" t="n">
        <v>0.4853445943319243</v>
      </c>
      <c r="M611" s="7" t="n">
        <v>0</v>
      </c>
      <c r="N611" s="7" t="n">
        <v>3.882756754655394</v>
      </c>
    </row>
    <row r="612" ht="18" customHeight="1">
      <c r="A612" s="49" t="inlineStr">
        <is>
          <t>ACE-10611</t>
        </is>
      </c>
      <c r="B612" s="49" t="inlineStr">
        <is>
          <t>2026-05-04 14:16:34</t>
        </is>
      </c>
      <c r="C612" s="49" t="inlineStr">
        <is>
          <t>CUST-97446</t>
        </is>
      </c>
      <c r="D612" s="49" t="inlineStr">
        <is>
          <t>GBP-PKR</t>
        </is>
      </c>
      <c r="E612" s="49" t="inlineStr">
        <is>
          <t>GBP</t>
        </is>
      </c>
      <c r="F612" s="7" t="n">
        <v>297.4440585463768</v>
      </c>
      <c r="G612" s="8" t="n">
        <v>1</v>
      </c>
      <c r="H612" s="7" t="n">
        <v>297.4440585463768</v>
      </c>
      <c r="I612" s="7" t="n">
        <v>1.5</v>
      </c>
      <c r="J612" s="9" t="n">
        <v>0.021</v>
      </c>
      <c r="K612" s="49" t="inlineStr">
        <is>
          <t>Success</t>
        </is>
      </c>
      <c r="L612" s="7" t="n">
        <v>0.4461660878195652</v>
      </c>
      <c r="M612" s="7" t="n">
        <v>0.8923321756391305</v>
      </c>
      <c r="N612" s="7" t="n">
        <v>3.569328702556522</v>
      </c>
    </row>
    <row r="613" ht="18" customHeight="1">
      <c r="A613" s="49" t="inlineStr">
        <is>
          <t>ACE-10612</t>
        </is>
      </c>
      <c r="B613" s="49" t="inlineStr">
        <is>
          <t>2026-05-12 16:51:32</t>
        </is>
      </c>
      <c r="C613" s="49" t="inlineStr">
        <is>
          <t>CUST-79200</t>
        </is>
      </c>
      <c r="D613" s="49" t="inlineStr">
        <is>
          <t>GBP-PKR</t>
        </is>
      </c>
      <c r="E613" s="49" t="inlineStr">
        <is>
          <t>GBP</t>
        </is>
      </c>
      <c r="F613" s="7" t="n">
        <v>277.0591818010454</v>
      </c>
      <c r="G613" s="8" t="n">
        <v>1</v>
      </c>
      <c r="H613" s="7" t="n">
        <v>277.0591818010454</v>
      </c>
      <c r="I613" s="7" t="n">
        <v>1.5</v>
      </c>
      <c r="J613" s="9" t="n">
        <v>0.021</v>
      </c>
      <c r="K613" s="49" t="inlineStr">
        <is>
          <t>Success</t>
        </is>
      </c>
      <c r="L613" s="7" t="n">
        <v>0.4155887727015682</v>
      </c>
      <c r="M613" s="7" t="n">
        <v>0</v>
      </c>
      <c r="N613" s="7" t="n">
        <v>3.324710181612546</v>
      </c>
    </row>
    <row r="614" ht="18" customHeight="1">
      <c r="A614" s="49" t="inlineStr">
        <is>
          <t>ACE-10613</t>
        </is>
      </c>
      <c r="B614" s="49" t="inlineStr">
        <is>
          <t>2026-05-21 11:20:32</t>
        </is>
      </c>
      <c r="C614" s="49" t="inlineStr">
        <is>
          <t>CUST-55396</t>
        </is>
      </c>
      <c r="D614" s="49" t="inlineStr">
        <is>
          <t>GBP-PKR</t>
        </is>
      </c>
      <c r="E614" s="49" t="inlineStr">
        <is>
          <t>GBP</t>
        </is>
      </c>
      <c r="F614" s="7" t="n">
        <v>286.5137321727906</v>
      </c>
      <c r="G614" s="8" t="n">
        <v>1</v>
      </c>
      <c r="H614" s="7" t="n">
        <v>286.5137321727906</v>
      </c>
      <c r="I614" s="7" t="n">
        <v>1.5</v>
      </c>
      <c r="J614" s="9" t="n">
        <v>0.021</v>
      </c>
      <c r="K614" s="49" t="inlineStr">
        <is>
          <t>Success</t>
        </is>
      </c>
      <c r="L614" s="7" t="n">
        <v>0.429770598259186</v>
      </c>
      <c r="M614" s="7" t="n">
        <v>0</v>
      </c>
      <c r="N614" s="7" t="n">
        <v>3.438164786073488</v>
      </c>
    </row>
    <row r="615" ht="18" customHeight="1">
      <c r="A615" s="49" t="inlineStr">
        <is>
          <t>ACE-10614</t>
        </is>
      </c>
      <c r="B615" s="49" t="inlineStr">
        <is>
          <t>2026-05-18 16:00:40</t>
        </is>
      </c>
      <c r="C615" s="49" t="inlineStr">
        <is>
          <t>CUST-54290</t>
        </is>
      </c>
      <c r="D615" s="49" t="inlineStr">
        <is>
          <t>USD-PKR</t>
        </is>
      </c>
      <c r="E615" s="49" t="inlineStr">
        <is>
          <t>USD</t>
        </is>
      </c>
      <c r="F615" s="7" t="n">
        <v>195.6013465193002</v>
      </c>
      <c r="G615" s="8" t="n">
        <v>0.8</v>
      </c>
      <c r="H615" s="7" t="n">
        <v>156.4810772154402</v>
      </c>
      <c r="I615" s="7" t="n">
        <v>1.6</v>
      </c>
      <c r="J615" s="9" t="n">
        <v>0.019</v>
      </c>
      <c r="K615" s="49" t="inlineStr">
        <is>
          <t>Success</t>
        </is>
      </c>
      <c r="L615" s="7" t="n">
        <v>0.2347216158231603</v>
      </c>
      <c r="M615" s="7" t="n">
        <v>0.4694432316463205</v>
      </c>
      <c r="N615" s="7" t="n">
        <v>1.877772926585282</v>
      </c>
    </row>
    <row r="616" ht="18" customHeight="1">
      <c r="A616" s="49" t="inlineStr">
        <is>
          <t>ACE-10615</t>
        </is>
      </c>
      <c r="B616" s="49" t="inlineStr">
        <is>
          <t>2026-05-07 18:27:53</t>
        </is>
      </c>
      <c r="C616" s="49" t="inlineStr">
        <is>
          <t>CUST-56810</t>
        </is>
      </c>
      <c r="D616" s="49" t="inlineStr">
        <is>
          <t>GBP-PKR</t>
        </is>
      </c>
      <c r="E616" s="49" t="inlineStr">
        <is>
          <t>GBP</t>
        </is>
      </c>
      <c r="F616" s="7" t="n">
        <v>355.7985860177441</v>
      </c>
      <c r="G616" s="8" t="n">
        <v>1</v>
      </c>
      <c r="H616" s="7" t="n">
        <v>355.7985860177441</v>
      </c>
      <c r="I616" s="7" t="n">
        <v>1.5</v>
      </c>
      <c r="J616" s="9" t="n">
        <v>0.021</v>
      </c>
      <c r="K616" s="49" t="inlineStr">
        <is>
          <t>Success</t>
        </is>
      </c>
      <c r="L616" s="7" t="n">
        <v>0.5336978790266161</v>
      </c>
      <c r="M616" s="7" t="n">
        <v>1.067395758053232</v>
      </c>
      <c r="N616" s="7" t="n">
        <v>4.269583032212929</v>
      </c>
    </row>
    <row r="617" ht="18" customHeight="1">
      <c r="A617" s="49" t="inlineStr">
        <is>
          <t>ACE-10616</t>
        </is>
      </c>
      <c r="B617" s="49" t="inlineStr">
        <is>
          <t>2026-05-24 20:27:41</t>
        </is>
      </c>
      <c r="C617" s="49" t="inlineStr">
        <is>
          <t>CUST-54726</t>
        </is>
      </c>
      <c r="D617" s="49" t="inlineStr">
        <is>
          <t>GBP-PKR</t>
        </is>
      </c>
      <c r="E617" s="49" t="inlineStr">
        <is>
          <t>GBP</t>
        </is>
      </c>
      <c r="F617" s="7" t="n">
        <v>282.2270027375587</v>
      </c>
      <c r="G617" s="8" t="n">
        <v>1</v>
      </c>
      <c r="H617" s="7" t="n">
        <v>282.2270027375587</v>
      </c>
      <c r="I617" s="7" t="n">
        <v>1.5</v>
      </c>
      <c r="J617" s="9" t="n">
        <v>0.021</v>
      </c>
      <c r="K617" s="49" t="inlineStr">
        <is>
          <t>Success</t>
        </is>
      </c>
      <c r="L617" s="7" t="n">
        <v>0.4233405041063381</v>
      </c>
      <c r="M617" s="7" t="n">
        <v>0</v>
      </c>
      <c r="N617" s="7" t="n">
        <v>3.386724032850705</v>
      </c>
    </row>
    <row r="618" ht="18" customHeight="1">
      <c r="A618" s="49" t="inlineStr">
        <is>
          <t>ACE-10617</t>
        </is>
      </c>
      <c r="B618" s="49" t="inlineStr">
        <is>
          <t>2026-05-15 19:21:02</t>
        </is>
      </c>
      <c r="C618" s="49" t="inlineStr">
        <is>
          <t>CUST-55735</t>
        </is>
      </c>
      <c r="D618" s="49" t="inlineStr">
        <is>
          <t>USD-PKR</t>
        </is>
      </c>
      <c r="E618" s="49" t="inlineStr">
        <is>
          <t>USD</t>
        </is>
      </c>
      <c r="F618" s="7" t="n">
        <v>221.310573691266</v>
      </c>
      <c r="G618" s="8" t="n">
        <v>0.8</v>
      </c>
      <c r="H618" s="7" t="n">
        <v>177.0484589530128</v>
      </c>
      <c r="I618" s="7" t="n">
        <v>1.6</v>
      </c>
      <c r="J618" s="9" t="n">
        <v>0.019</v>
      </c>
      <c r="K618" s="49" t="inlineStr">
        <is>
          <t>Success</t>
        </is>
      </c>
      <c r="L618" s="7" t="n">
        <v>0.2655726884295192</v>
      </c>
      <c r="M618" s="7" t="n">
        <v>0</v>
      </c>
      <c r="N618" s="7" t="n">
        <v>2.124581507436154</v>
      </c>
    </row>
    <row r="619" ht="18" customHeight="1">
      <c r="A619" s="49" t="inlineStr">
        <is>
          <t>ACE-10618</t>
        </is>
      </c>
      <c r="B619" s="49" t="inlineStr">
        <is>
          <t>2026-05-09 16:04:36</t>
        </is>
      </c>
      <c r="C619" s="49" t="inlineStr">
        <is>
          <t>CUST-64918</t>
        </is>
      </c>
      <c r="D619" s="49" t="inlineStr">
        <is>
          <t>EUR-PKR</t>
        </is>
      </c>
      <c r="E619" s="49" t="inlineStr">
        <is>
          <t>EUR</t>
        </is>
      </c>
      <c r="F619" s="7" t="n">
        <v>203.2833329123778</v>
      </c>
      <c r="G619" s="8" t="n">
        <v>0.85</v>
      </c>
      <c r="H619" s="7" t="n">
        <v>172.7908329755211</v>
      </c>
      <c r="I619" s="7" t="n">
        <v>1.275</v>
      </c>
      <c r="J619" s="9" t="n">
        <v>0.023</v>
      </c>
      <c r="K619" s="49" t="inlineStr">
        <is>
          <t>Success</t>
        </is>
      </c>
      <c r="L619" s="7" t="n">
        <v>0.2591862494632817</v>
      </c>
      <c r="M619" s="7" t="n">
        <v>0</v>
      </c>
      <c r="N619" s="7" t="n">
        <v>2.591862494632817</v>
      </c>
    </row>
    <row r="620" ht="18" customHeight="1">
      <c r="A620" s="49" t="inlineStr">
        <is>
          <t>ACE-10619</t>
        </is>
      </c>
      <c r="B620" s="49" t="inlineStr">
        <is>
          <t>2026-05-15 18:25:27</t>
        </is>
      </c>
      <c r="C620" s="49" t="inlineStr">
        <is>
          <t>CUST-70735</t>
        </is>
      </c>
      <c r="D620" s="49" t="inlineStr">
        <is>
          <t>GBP-PKR</t>
        </is>
      </c>
      <c r="E620" s="49" t="inlineStr">
        <is>
          <t>GBP</t>
        </is>
      </c>
      <c r="F620" s="7" t="n">
        <v>292.3321121539738</v>
      </c>
      <c r="G620" s="8" t="n">
        <v>1</v>
      </c>
      <c r="H620" s="7" t="n">
        <v>292.3321121539738</v>
      </c>
      <c r="I620" s="7" t="n">
        <v>1.5</v>
      </c>
      <c r="J620" s="9" t="n">
        <v>0.021</v>
      </c>
      <c r="K620" s="49" t="inlineStr">
        <is>
          <t>Failed</t>
        </is>
      </c>
      <c r="L620" s="7" t="n">
        <v>0</v>
      </c>
      <c r="M620" s="7" t="n">
        <v>0</v>
      </c>
      <c r="N620" s="7" t="n">
        <v>0.5</v>
      </c>
    </row>
    <row r="621" ht="18" customHeight="1">
      <c r="A621" s="49" t="inlineStr">
        <is>
          <t>ACE-10620</t>
        </is>
      </c>
      <c r="B621" s="49" t="inlineStr">
        <is>
          <t>2026-05-22 09:34:00</t>
        </is>
      </c>
      <c r="C621" s="49" t="inlineStr">
        <is>
          <t>CUST-92036</t>
        </is>
      </c>
      <c r="D621" s="49" t="inlineStr">
        <is>
          <t>GBP-PKR</t>
        </is>
      </c>
      <c r="E621" s="49" t="inlineStr">
        <is>
          <t>GBP</t>
        </is>
      </c>
      <c r="F621" s="7" t="n">
        <v>284.9113290154237</v>
      </c>
      <c r="G621" s="8" t="n">
        <v>1</v>
      </c>
      <c r="H621" s="7" t="n">
        <v>284.9113290154237</v>
      </c>
      <c r="I621" s="7" t="n">
        <v>1.5</v>
      </c>
      <c r="J621" s="9" t="n">
        <v>0.021</v>
      </c>
      <c r="K621" s="49" t="inlineStr">
        <is>
          <t>Success</t>
        </is>
      </c>
      <c r="L621" s="7" t="n">
        <v>0.4273669935231356</v>
      </c>
      <c r="M621" s="7" t="n">
        <v>0</v>
      </c>
      <c r="N621" s="7" t="n">
        <v>3.418935948185085</v>
      </c>
    </row>
    <row r="622" ht="18" customHeight="1">
      <c r="A622" s="49" t="inlineStr">
        <is>
          <t>ACE-10621</t>
        </is>
      </c>
      <c r="B622" s="49" t="inlineStr">
        <is>
          <t>2026-05-24 17:02:44</t>
        </is>
      </c>
      <c r="C622" s="49" t="inlineStr">
        <is>
          <t>CUST-54757</t>
        </is>
      </c>
      <c r="D622" s="49" t="inlineStr">
        <is>
          <t>GBP-PKR</t>
        </is>
      </c>
      <c r="E622" s="49" t="inlineStr">
        <is>
          <t>GBP</t>
        </is>
      </c>
      <c r="F622" s="7" t="n">
        <v>257.4285375797409</v>
      </c>
      <c r="G622" s="8" t="n">
        <v>1</v>
      </c>
      <c r="H622" s="7" t="n">
        <v>257.4285375797409</v>
      </c>
      <c r="I622" s="7" t="n">
        <v>1.5</v>
      </c>
      <c r="J622" s="9" t="n">
        <v>0.021</v>
      </c>
      <c r="K622" s="49" t="inlineStr">
        <is>
          <t>Success</t>
        </is>
      </c>
      <c r="L622" s="7" t="n">
        <v>0.3861428063696113</v>
      </c>
      <c r="M622" s="7" t="n">
        <v>0</v>
      </c>
      <c r="N622" s="7" t="n">
        <v>3.08914245095689</v>
      </c>
    </row>
    <row r="623" ht="18" customHeight="1">
      <c r="A623" s="49" t="inlineStr">
        <is>
          <t>ACE-10622</t>
        </is>
      </c>
      <c r="B623" s="49" t="inlineStr">
        <is>
          <t>2026-05-10 20:43:19</t>
        </is>
      </c>
      <c r="C623" s="49" t="inlineStr">
        <is>
          <t>CUST-89751</t>
        </is>
      </c>
      <c r="D623" s="49" t="inlineStr">
        <is>
          <t>GBP-PKR</t>
        </is>
      </c>
      <c r="E623" s="49" t="inlineStr">
        <is>
          <t>GBP</t>
        </is>
      </c>
      <c r="F623" s="7" t="n">
        <v>292.0533347617455</v>
      </c>
      <c r="G623" s="8" t="n">
        <v>1</v>
      </c>
      <c r="H623" s="7" t="n">
        <v>292.0533347617455</v>
      </c>
      <c r="I623" s="7" t="n">
        <v>1.5</v>
      </c>
      <c r="J623" s="9" t="n">
        <v>0.021</v>
      </c>
      <c r="K623" s="49" t="inlineStr">
        <is>
          <t>Success</t>
        </is>
      </c>
      <c r="L623" s="7" t="n">
        <v>0.4380800021426182</v>
      </c>
      <c r="M623" s="7" t="n">
        <v>0.8761600042852364</v>
      </c>
      <c r="N623" s="7" t="n">
        <v>3.504640017140946</v>
      </c>
    </row>
    <row r="624" ht="18" customHeight="1">
      <c r="A624" s="49" t="inlineStr">
        <is>
          <t>ACE-10623</t>
        </is>
      </c>
      <c r="B624" s="49" t="inlineStr">
        <is>
          <t>2026-05-15 14:25:52</t>
        </is>
      </c>
      <c r="C624" s="49" t="inlineStr">
        <is>
          <t>CUST-93301</t>
        </is>
      </c>
      <c r="D624" s="49" t="inlineStr">
        <is>
          <t>USD-PKR</t>
        </is>
      </c>
      <c r="E624" s="49" t="inlineStr">
        <is>
          <t>USD</t>
        </is>
      </c>
      <c r="F624" s="7" t="n">
        <v>264.2326581717528</v>
      </c>
      <c r="G624" s="8" t="n">
        <v>0.8</v>
      </c>
      <c r="H624" s="7" t="n">
        <v>211.3861265374022</v>
      </c>
      <c r="I624" s="7" t="n">
        <v>1.6</v>
      </c>
      <c r="J624" s="9" t="n">
        <v>0.019</v>
      </c>
      <c r="K624" s="49" t="inlineStr">
        <is>
          <t>Success</t>
        </is>
      </c>
      <c r="L624" s="7" t="n">
        <v>0.3170791898061034</v>
      </c>
      <c r="M624" s="7" t="n">
        <v>0</v>
      </c>
      <c r="N624" s="7" t="n">
        <v>2.536633518448827</v>
      </c>
    </row>
    <row r="625" ht="18" customHeight="1">
      <c r="A625" s="49" t="inlineStr">
        <is>
          <t>ACE-10624</t>
        </is>
      </c>
      <c r="B625" s="49" t="inlineStr">
        <is>
          <t>2026-05-08 10:47:25</t>
        </is>
      </c>
      <c r="C625" s="49" t="inlineStr">
        <is>
          <t>CUST-85764</t>
        </is>
      </c>
      <c r="D625" s="49" t="inlineStr">
        <is>
          <t>GBP-PKR</t>
        </is>
      </c>
      <c r="E625" s="49" t="inlineStr">
        <is>
          <t>GBP</t>
        </is>
      </c>
      <c r="F625" s="7" t="n">
        <v>318.7259388889178</v>
      </c>
      <c r="G625" s="8" t="n">
        <v>1</v>
      </c>
      <c r="H625" s="7" t="n">
        <v>318.7259388889178</v>
      </c>
      <c r="I625" s="7" t="n">
        <v>1.5</v>
      </c>
      <c r="J625" s="9" t="n">
        <v>0.021</v>
      </c>
      <c r="K625" s="49" t="inlineStr">
        <is>
          <t>Success</t>
        </is>
      </c>
      <c r="L625" s="7" t="n">
        <v>0.4780889083333766</v>
      </c>
      <c r="M625" s="7" t="n">
        <v>0.9561778166667533</v>
      </c>
      <c r="N625" s="7" t="n">
        <v>3.824711266667013</v>
      </c>
    </row>
    <row r="626" ht="18" customHeight="1">
      <c r="A626" s="49" t="inlineStr">
        <is>
          <t>ACE-10625</t>
        </is>
      </c>
      <c r="B626" s="49" t="inlineStr">
        <is>
          <t>2026-05-10 18:56:58</t>
        </is>
      </c>
      <c r="C626" s="49" t="inlineStr">
        <is>
          <t>CUST-97797</t>
        </is>
      </c>
      <c r="D626" s="49" t="inlineStr">
        <is>
          <t>GBP-PKR</t>
        </is>
      </c>
      <c r="E626" s="49" t="inlineStr">
        <is>
          <t>GBP</t>
        </is>
      </c>
      <c r="F626" s="7" t="n">
        <v>326.7215456692187</v>
      </c>
      <c r="G626" s="8" t="n">
        <v>1</v>
      </c>
      <c r="H626" s="7" t="n">
        <v>326.7215456692187</v>
      </c>
      <c r="I626" s="7" t="n">
        <v>1.5</v>
      </c>
      <c r="J626" s="9" t="n">
        <v>0.021</v>
      </c>
      <c r="K626" s="49" t="inlineStr">
        <is>
          <t>Success</t>
        </is>
      </c>
      <c r="L626" s="7" t="n">
        <v>0.4900823185038281</v>
      </c>
      <c r="M626" s="7" t="n">
        <v>0.9801646370076561</v>
      </c>
      <c r="N626" s="7" t="n">
        <v>3.920658548030624</v>
      </c>
    </row>
    <row r="627" ht="18" customHeight="1">
      <c r="A627" s="49" t="inlineStr">
        <is>
          <t>ACE-10626</t>
        </is>
      </c>
      <c r="B627" s="49" t="inlineStr">
        <is>
          <t>2026-05-01 16:55:35</t>
        </is>
      </c>
      <c r="C627" s="49" t="inlineStr">
        <is>
          <t>CUST-59265</t>
        </is>
      </c>
      <c r="D627" s="49" t="inlineStr">
        <is>
          <t>GBP-PKR</t>
        </is>
      </c>
      <c r="E627" s="49" t="inlineStr">
        <is>
          <t>GBP</t>
        </is>
      </c>
      <c r="F627" s="7" t="n">
        <v>264.7187748555846</v>
      </c>
      <c r="G627" s="8" t="n">
        <v>1</v>
      </c>
      <c r="H627" s="7" t="n">
        <v>264.7187748555846</v>
      </c>
      <c r="I627" s="7" t="n">
        <v>1.5</v>
      </c>
      <c r="J627" s="9" t="n">
        <v>0.021</v>
      </c>
      <c r="K627" s="49" t="inlineStr">
        <is>
          <t>Success</t>
        </is>
      </c>
      <c r="L627" s="7" t="n">
        <v>0.3970781622833769</v>
      </c>
      <c r="M627" s="7" t="n">
        <v>0</v>
      </c>
      <c r="N627" s="7" t="n">
        <v>3.176625298267016</v>
      </c>
    </row>
    <row r="628" ht="18" customHeight="1">
      <c r="A628" s="49" t="inlineStr">
        <is>
          <t>ACE-10627</t>
        </is>
      </c>
      <c r="B628" s="49" t="inlineStr">
        <is>
          <t>2026-05-20 14:34:35</t>
        </is>
      </c>
      <c r="C628" s="49" t="inlineStr">
        <is>
          <t>CUST-55578</t>
        </is>
      </c>
      <c r="D628" s="49" t="inlineStr">
        <is>
          <t>GBP-PKR</t>
        </is>
      </c>
      <c r="E628" s="49" t="inlineStr">
        <is>
          <t>GBP</t>
        </is>
      </c>
      <c r="F628" s="7" t="n">
        <v>252.353055562418</v>
      </c>
      <c r="G628" s="8" t="n">
        <v>1</v>
      </c>
      <c r="H628" s="7" t="n">
        <v>252.353055562418</v>
      </c>
      <c r="I628" s="7" t="n">
        <v>1.5</v>
      </c>
      <c r="J628" s="9" t="n">
        <v>0.021</v>
      </c>
      <c r="K628" s="49" t="inlineStr">
        <is>
          <t>Success</t>
        </is>
      </c>
      <c r="L628" s="7" t="n">
        <v>0.3785295833436271</v>
      </c>
      <c r="M628" s="7" t="n">
        <v>0.7570591666872541</v>
      </c>
      <c r="N628" s="7" t="n">
        <v>3.028236666749017</v>
      </c>
    </row>
    <row r="629" ht="18" customHeight="1">
      <c r="A629" s="49" t="inlineStr">
        <is>
          <t>ACE-10628</t>
        </is>
      </c>
      <c r="B629" s="49" t="inlineStr">
        <is>
          <t>2026-05-24 13:13:26</t>
        </is>
      </c>
      <c r="C629" s="49" t="inlineStr">
        <is>
          <t>CUST-92331</t>
        </is>
      </c>
      <c r="D629" s="49" t="inlineStr">
        <is>
          <t>USD-PKR</t>
        </is>
      </c>
      <c r="E629" s="49" t="inlineStr">
        <is>
          <t>USD</t>
        </is>
      </c>
      <c r="F629" s="7" t="n">
        <v>216.166480602155</v>
      </c>
      <c r="G629" s="8" t="n">
        <v>0.8</v>
      </c>
      <c r="H629" s="7" t="n">
        <v>172.933184481724</v>
      </c>
      <c r="I629" s="7" t="n">
        <v>1.6</v>
      </c>
      <c r="J629" s="9" t="n">
        <v>0.019</v>
      </c>
      <c r="K629" s="49" t="inlineStr">
        <is>
          <t>Success</t>
        </is>
      </c>
      <c r="L629" s="7" t="n">
        <v>0.259399776722586</v>
      </c>
      <c r="M629" s="7" t="n">
        <v>0</v>
      </c>
      <c r="N629" s="7" t="n">
        <v>2.075198213780688</v>
      </c>
    </row>
    <row r="630" ht="18" customHeight="1">
      <c r="A630" s="49" t="inlineStr">
        <is>
          <t>ACE-10629</t>
        </is>
      </c>
      <c r="B630" s="49" t="inlineStr">
        <is>
          <t>2026-05-06 11:39:53</t>
        </is>
      </c>
      <c r="C630" s="49" t="inlineStr">
        <is>
          <t>CUST-66563</t>
        </is>
      </c>
      <c r="D630" s="49" t="inlineStr">
        <is>
          <t>GBP-PKR</t>
        </is>
      </c>
      <c r="E630" s="49" t="inlineStr">
        <is>
          <t>GBP</t>
        </is>
      </c>
      <c r="F630" s="7" t="n">
        <v>280.1603434373097</v>
      </c>
      <c r="G630" s="8" t="n">
        <v>1</v>
      </c>
      <c r="H630" s="7" t="n">
        <v>280.1603434373097</v>
      </c>
      <c r="I630" s="7" t="n">
        <v>1.5</v>
      </c>
      <c r="J630" s="9" t="n">
        <v>0.021</v>
      </c>
      <c r="K630" s="49" t="inlineStr">
        <is>
          <t>Success</t>
        </is>
      </c>
      <c r="L630" s="7" t="n">
        <v>0.4202405151559645</v>
      </c>
      <c r="M630" s="7" t="n">
        <v>0</v>
      </c>
      <c r="N630" s="7" t="n">
        <v>3.361924121247716</v>
      </c>
    </row>
    <row r="631" ht="18" customHeight="1">
      <c r="A631" s="49" t="inlineStr">
        <is>
          <t>ACE-10630</t>
        </is>
      </c>
      <c r="B631" s="49" t="inlineStr">
        <is>
          <t>2026-05-19 08:54:48</t>
        </is>
      </c>
      <c r="C631" s="49" t="inlineStr">
        <is>
          <t>CUST-85969</t>
        </is>
      </c>
      <c r="D631" s="49" t="inlineStr">
        <is>
          <t>USD-PKR</t>
        </is>
      </c>
      <c r="E631" s="49" t="inlineStr">
        <is>
          <t>USD</t>
        </is>
      </c>
      <c r="F631" s="7" t="n">
        <v>244.2144415658884</v>
      </c>
      <c r="G631" s="8" t="n">
        <v>0.8</v>
      </c>
      <c r="H631" s="7" t="n">
        <v>195.3715532527107</v>
      </c>
      <c r="I631" s="7" t="n">
        <v>1.6</v>
      </c>
      <c r="J631" s="9" t="n">
        <v>0.019</v>
      </c>
      <c r="K631" s="49" t="inlineStr">
        <is>
          <t>Success</t>
        </is>
      </c>
      <c r="L631" s="7" t="n">
        <v>0.2930573298790661</v>
      </c>
      <c r="M631" s="7" t="n">
        <v>0</v>
      </c>
      <c r="N631" s="7" t="n">
        <v>2.344458639032529</v>
      </c>
    </row>
    <row r="632" ht="18" customHeight="1">
      <c r="A632" s="49" t="inlineStr">
        <is>
          <t>ACE-10631</t>
        </is>
      </c>
      <c r="B632" s="49" t="inlineStr">
        <is>
          <t>2026-05-10 18:04:16</t>
        </is>
      </c>
      <c r="C632" s="49" t="inlineStr">
        <is>
          <t>CUST-56435</t>
        </is>
      </c>
      <c r="D632" s="49" t="inlineStr">
        <is>
          <t>GBP-PKR</t>
        </is>
      </c>
      <c r="E632" s="49" t="inlineStr">
        <is>
          <t>GBP</t>
        </is>
      </c>
      <c r="F632" s="7" t="n">
        <v>235.2251499101019</v>
      </c>
      <c r="G632" s="8" t="n">
        <v>1</v>
      </c>
      <c r="H632" s="7" t="n">
        <v>235.2251499101019</v>
      </c>
      <c r="I632" s="7" t="n">
        <v>1.5</v>
      </c>
      <c r="J632" s="9" t="n">
        <v>0.021</v>
      </c>
      <c r="K632" s="49" t="inlineStr">
        <is>
          <t>Success</t>
        </is>
      </c>
      <c r="L632" s="7" t="n">
        <v>0.3528377248651528</v>
      </c>
      <c r="M632" s="7" t="n">
        <v>0</v>
      </c>
      <c r="N632" s="7" t="n">
        <v>2.822701798921222</v>
      </c>
    </row>
    <row r="633" ht="18" customHeight="1">
      <c r="A633" s="49" t="inlineStr">
        <is>
          <t>ACE-10632</t>
        </is>
      </c>
      <c r="B633" s="49" t="inlineStr">
        <is>
          <t>2026-05-11 13:08:42</t>
        </is>
      </c>
      <c r="C633" s="49" t="inlineStr">
        <is>
          <t>CUST-92957</t>
        </is>
      </c>
      <c r="D633" s="49" t="inlineStr">
        <is>
          <t>GBP-PKR</t>
        </is>
      </c>
      <c r="E633" s="49" t="inlineStr">
        <is>
          <t>GBP</t>
        </is>
      </c>
      <c r="F633" s="7" t="n">
        <v>324.6490118191125</v>
      </c>
      <c r="G633" s="8" t="n">
        <v>1</v>
      </c>
      <c r="H633" s="7" t="n">
        <v>324.6490118191125</v>
      </c>
      <c r="I633" s="7" t="n">
        <v>1.5</v>
      </c>
      <c r="J633" s="9" t="n">
        <v>0.021</v>
      </c>
      <c r="K633" s="49" t="inlineStr">
        <is>
          <t>Success</t>
        </is>
      </c>
      <c r="L633" s="7" t="n">
        <v>0.4869735177286688</v>
      </c>
      <c r="M633" s="7" t="n">
        <v>0</v>
      </c>
      <c r="N633" s="7" t="n">
        <v>3.89578814182935</v>
      </c>
    </row>
    <row r="634" ht="18" customHeight="1">
      <c r="A634" s="49" t="inlineStr">
        <is>
          <t>ACE-10633</t>
        </is>
      </c>
      <c r="B634" s="49" t="inlineStr">
        <is>
          <t>2026-05-03 11:20:31</t>
        </is>
      </c>
      <c r="C634" s="49" t="inlineStr">
        <is>
          <t>CUST-79533</t>
        </is>
      </c>
      <c r="D634" s="49" t="inlineStr">
        <is>
          <t>GBP-PKR</t>
        </is>
      </c>
      <c r="E634" s="49" t="inlineStr">
        <is>
          <t>GBP</t>
        </is>
      </c>
      <c r="F634" s="7" t="n">
        <v>274.2359352179512</v>
      </c>
      <c r="G634" s="8" t="n">
        <v>1</v>
      </c>
      <c r="H634" s="7" t="n">
        <v>274.2359352179512</v>
      </c>
      <c r="I634" s="7" t="n">
        <v>1.5</v>
      </c>
      <c r="J634" s="9" t="n">
        <v>0.021</v>
      </c>
      <c r="K634" s="49" t="inlineStr">
        <is>
          <t>Success</t>
        </is>
      </c>
      <c r="L634" s="7" t="n">
        <v>0.4113539028269269</v>
      </c>
      <c r="M634" s="7" t="n">
        <v>0.8227078056538537</v>
      </c>
      <c r="N634" s="7" t="n">
        <v>3.290831222615415</v>
      </c>
    </row>
    <row r="635" ht="18" customHeight="1">
      <c r="A635" s="49" t="inlineStr">
        <is>
          <t>ACE-10634</t>
        </is>
      </c>
      <c r="B635" s="49" t="inlineStr">
        <is>
          <t>2026-05-23 17:09:36</t>
        </is>
      </c>
      <c r="C635" s="49" t="inlineStr">
        <is>
          <t>CUST-87149</t>
        </is>
      </c>
      <c r="D635" s="49" t="inlineStr">
        <is>
          <t>USD-PKR</t>
        </is>
      </c>
      <c r="E635" s="49" t="inlineStr">
        <is>
          <t>USD</t>
        </is>
      </c>
      <c r="F635" s="7" t="n">
        <v>209.7548440245951</v>
      </c>
      <c r="G635" s="8" t="n">
        <v>0.8</v>
      </c>
      <c r="H635" s="7" t="n">
        <v>167.8038752196761</v>
      </c>
      <c r="I635" s="7" t="n">
        <v>1.6</v>
      </c>
      <c r="J635" s="9" t="n">
        <v>0.019</v>
      </c>
      <c r="K635" s="49" t="inlineStr">
        <is>
          <t>Success</t>
        </is>
      </c>
      <c r="L635" s="7" t="n">
        <v>0.2517058128295142</v>
      </c>
      <c r="M635" s="7" t="n">
        <v>0</v>
      </c>
      <c r="N635" s="7" t="n">
        <v>2.013646502636113</v>
      </c>
    </row>
    <row r="636" ht="18" customHeight="1">
      <c r="A636" s="49" t="inlineStr">
        <is>
          <t>ACE-10635</t>
        </is>
      </c>
      <c r="B636" s="49" t="inlineStr">
        <is>
          <t>2026-05-14 10:00:20</t>
        </is>
      </c>
      <c r="C636" s="49" t="inlineStr">
        <is>
          <t>CUST-66133</t>
        </is>
      </c>
      <c r="D636" s="49" t="inlineStr">
        <is>
          <t>USD-PKR</t>
        </is>
      </c>
      <c r="E636" s="49" t="inlineStr">
        <is>
          <t>USD</t>
        </is>
      </c>
      <c r="F636" s="7" t="n">
        <v>197.8317869641933</v>
      </c>
      <c r="G636" s="8" t="n">
        <v>0.8</v>
      </c>
      <c r="H636" s="7" t="n">
        <v>158.2654295713546</v>
      </c>
      <c r="I636" s="7" t="n">
        <v>1.6</v>
      </c>
      <c r="J636" s="9" t="n">
        <v>0.019</v>
      </c>
      <c r="K636" s="49" t="inlineStr">
        <is>
          <t>Success</t>
        </is>
      </c>
      <c r="L636" s="7" t="n">
        <v>0.2373981443570319</v>
      </c>
      <c r="M636" s="7" t="n">
        <v>0.4747962887140639</v>
      </c>
      <c r="N636" s="7" t="n">
        <v>1.899185154856255</v>
      </c>
    </row>
    <row r="637" ht="18" customHeight="1">
      <c r="A637" s="49" t="inlineStr">
        <is>
          <t>ACE-10636</t>
        </is>
      </c>
      <c r="B637" s="49" t="inlineStr">
        <is>
          <t>2026-05-21 14:17:53</t>
        </is>
      </c>
      <c r="C637" s="49" t="inlineStr">
        <is>
          <t>CUST-73559</t>
        </is>
      </c>
      <c r="D637" s="49" t="inlineStr">
        <is>
          <t>USD-PKR</t>
        </is>
      </c>
      <c r="E637" s="49" t="inlineStr">
        <is>
          <t>USD</t>
        </is>
      </c>
      <c r="F637" s="7" t="n">
        <v>185.5161386674424</v>
      </c>
      <c r="G637" s="8" t="n">
        <v>0.8</v>
      </c>
      <c r="H637" s="7" t="n">
        <v>148.412910933954</v>
      </c>
      <c r="I637" s="7" t="n">
        <v>1.6</v>
      </c>
      <c r="J637" s="9" t="n">
        <v>0.019</v>
      </c>
      <c r="K637" s="49" t="inlineStr">
        <is>
          <t>Success</t>
        </is>
      </c>
      <c r="L637" s="7" t="n">
        <v>0.2226193664009309</v>
      </c>
      <c r="M637" s="7" t="n">
        <v>0.4452387328018619</v>
      </c>
      <c r="N637" s="7" t="n">
        <v>1.780954931207448</v>
      </c>
    </row>
    <row r="638" ht="18" customHeight="1">
      <c r="A638" s="49" t="inlineStr">
        <is>
          <t>ACE-10637</t>
        </is>
      </c>
      <c r="B638" s="49" t="inlineStr">
        <is>
          <t>2026-05-16 15:28:22</t>
        </is>
      </c>
      <c r="C638" s="49" t="inlineStr">
        <is>
          <t>CUST-70019</t>
        </is>
      </c>
      <c r="D638" s="49" t="inlineStr">
        <is>
          <t>GBP-PKR</t>
        </is>
      </c>
      <c r="E638" s="49" t="inlineStr">
        <is>
          <t>GBP</t>
        </is>
      </c>
      <c r="F638" s="7" t="n">
        <v>302.5076787860589</v>
      </c>
      <c r="G638" s="8" t="n">
        <v>1</v>
      </c>
      <c r="H638" s="7" t="n">
        <v>302.5076787860589</v>
      </c>
      <c r="I638" s="7" t="n">
        <v>1.5</v>
      </c>
      <c r="J638" s="9" t="n">
        <v>0.021</v>
      </c>
      <c r="K638" s="49" t="inlineStr">
        <is>
          <t>Success</t>
        </is>
      </c>
      <c r="L638" s="7" t="n">
        <v>0.4537615181790884</v>
      </c>
      <c r="M638" s="7" t="n">
        <v>0</v>
      </c>
      <c r="N638" s="7" t="n">
        <v>3.630092145432707</v>
      </c>
    </row>
    <row r="639" ht="18" customHeight="1">
      <c r="A639" s="49" t="inlineStr">
        <is>
          <t>ACE-10638</t>
        </is>
      </c>
      <c r="B639" s="49" t="inlineStr">
        <is>
          <t>2026-05-21 17:05:53</t>
        </is>
      </c>
      <c r="C639" s="49" t="inlineStr">
        <is>
          <t>CUST-68390</t>
        </is>
      </c>
      <c r="D639" s="49" t="inlineStr">
        <is>
          <t>GBP-PKR</t>
        </is>
      </c>
      <c r="E639" s="49" t="inlineStr">
        <is>
          <t>GBP</t>
        </is>
      </c>
      <c r="F639" s="7" t="n">
        <v>280.6536648919206</v>
      </c>
      <c r="G639" s="8" t="n">
        <v>1</v>
      </c>
      <c r="H639" s="7" t="n">
        <v>280.6536648919206</v>
      </c>
      <c r="I639" s="7" t="n">
        <v>1.5</v>
      </c>
      <c r="J639" s="9" t="n">
        <v>0.021</v>
      </c>
      <c r="K639" s="49" t="inlineStr">
        <is>
          <t>Success</t>
        </is>
      </c>
      <c r="L639" s="7" t="n">
        <v>0.4209804973378809</v>
      </c>
      <c r="M639" s="7" t="n">
        <v>0</v>
      </c>
      <c r="N639" s="7" t="n">
        <v>3.367843978703047</v>
      </c>
    </row>
    <row r="640" ht="18" customHeight="1">
      <c r="A640" s="49" t="inlineStr">
        <is>
          <t>ACE-10639</t>
        </is>
      </c>
      <c r="B640" s="49" t="inlineStr">
        <is>
          <t>2026-05-18 11:16:46</t>
        </is>
      </c>
      <c r="C640" s="49" t="inlineStr">
        <is>
          <t>CUST-91066</t>
        </is>
      </c>
      <c r="D640" s="49" t="inlineStr">
        <is>
          <t>USD-PKR</t>
        </is>
      </c>
      <c r="E640" s="49" t="inlineStr">
        <is>
          <t>USD</t>
        </is>
      </c>
      <c r="F640" s="7" t="n">
        <v>192.4105665415603</v>
      </c>
      <c r="G640" s="8" t="n">
        <v>0.8</v>
      </c>
      <c r="H640" s="7" t="n">
        <v>153.9284532332483</v>
      </c>
      <c r="I640" s="7" t="n">
        <v>1.6</v>
      </c>
      <c r="J640" s="9" t="n">
        <v>0.019</v>
      </c>
      <c r="K640" s="49" t="inlineStr">
        <is>
          <t>Success</t>
        </is>
      </c>
      <c r="L640" s="7" t="n">
        <v>0.2308926798498724</v>
      </c>
      <c r="M640" s="7" t="n">
        <v>0</v>
      </c>
      <c r="N640" s="7" t="n">
        <v>1.84714143879898</v>
      </c>
    </row>
    <row r="641" ht="18" customHeight="1">
      <c r="A641" s="49" t="inlineStr">
        <is>
          <t>ACE-10640</t>
        </is>
      </c>
      <c r="B641" s="49" t="inlineStr">
        <is>
          <t>2026-05-01 16:40:01</t>
        </is>
      </c>
      <c r="C641" s="49" t="inlineStr">
        <is>
          <t>CUST-88134</t>
        </is>
      </c>
      <c r="D641" s="49" t="inlineStr">
        <is>
          <t>GBP-PKR</t>
        </is>
      </c>
      <c r="E641" s="49" t="inlineStr">
        <is>
          <t>GBP</t>
        </is>
      </c>
      <c r="F641" s="7" t="n">
        <v>244.7608780459006</v>
      </c>
      <c r="G641" s="8" t="n">
        <v>1</v>
      </c>
      <c r="H641" s="7" t="n">
        <v>244.7608780459006</v>
      </c>
      <c r="I641" s="7" t="n">
        <v>1.5</v>
      </c>
      <c r="J641" s="9" t="n">
        <v>0.021</v>
      </c>
      <c r="K641" s="49" t="inlineStr">
        <is>
          <t>Success</t>
        </is>
      </c>
      <c r="L641" s="7" t="n">
        <v>0.3671413170688509</v>
      </c>
      <c r="M641" s="7" t="n">
        <v>0.7342826341377019</v>
      </c>
      <c r="N641" s="7" t="n">
        <v>2.937130536550808</v>
      </c>
    </row>
    <row r="642" ht="18" customHeight="1">
      <c r="A642" s="49" t="inlineStr">
        <is>
          <t>ACE-10641</t>
        </is>
      </c>
      <c r="B642" s="49" t="inlineStr">
        <is>
          <t>2026-05-07 08:35:16</t>
        </is>
      </c>
      <c r="C642" s="49" t="inlineStr">
        <is>
          <t>CUST-85616</t>
        </is>
      </c>
      <c r="D642" s="49" t="inlineStr">
        <is>
          <t>GBP-PKR</t>
        </is>
      </c>
      <c r="E642" s="49" t="inlineStr">
        <is>
          <t>GBP</t>
        </is>
      </c>
      <c r="F642" s="7" t="n">
        <v>269.403736405625</v>
      </c>
      <c r="G642" s="8" t="n">
        <v>1</v>
      </c>
      <c r="H642" s="7" t="n">
        <v>269.403736405625</v>
      </c>
      <c r="I642" s="7" t="n">
        <v>1.5</v>
      </c>
      <c r="J642" s="9" t="n">
        <v>0.021</v>
      </c>
      <c r="K642" s="49" t="inlineStr">
        <is>
          <t>Success</t>
        </is>
      </c>
      <c r="L642" s="7" t="n">
        <v>0.4041056046084374</v>
      </c>
      <c r="M642" s="7" t="n">
        <v>0</v>
      </c>
      <c r="N642" s="7" t="n">
        <v>3.232844836867499</v>
      </c>
    </row>
    <row r="643" ht="18" customHeight="1">
      <c r="A643" s="49" t="inlineStr">
        <is>
          <t>ACE-10642</t>
        </is>
      </c>
      <c r="B643" s="49" t="inlineStr">
        <is>
          <t>2026-05-21 20:09:23</t>
        </is>
      </c>
      <c r="C643" s="49" t="inlineStr">
        <is>
          <t>CUST-75722</t>
        </is>
      </c>
      <c r="D643" s="49" t="inlineStr">
        <is>
          <t>GBP-PKR</t>
        </is>
      </c>
      <c r="E643" s="49" t="inlineStr">
        <is>
          <t>GBP</t>
        </is>
      </c>
      <c r="F643" s="7" t="n">
        <v>329.2086537596639</v>
      </c>
      <c r="G643" s="8" t="n">
        <v>1</v>
      </c>
      <c r="H643" s="7" t="n">
        <v>329.2086537596639</v>
      </c>
      <c r="I643" s="7" t="n">
        <v>1.5</v>
      </c>
      <c r="J643" s="9" t="n">
        <v>0.021</v>
      </c>
      <c r="K643" s="49" t="inlineStr">
        <is>
          <t>Success</t>
        </is>
      </c>
      <c r="L643" s="7" t="n">
        <v>0.4938129806394959</v>
      </c>
      <c r="M643" s="7" t="n">
        <v>0.9876259612789917</v>
      </c>
      <c r="N643" s="7" t="n">
        <v>3.950503845115967</v>
      </c>
    </row>
    <row r="644" ht="18" customHeight="1">
      <c r="A644" s="49" t="inlineStr">
        <is>
          <t>ACE-10643</t>
        </is>
      </c>
      <c r="B644" s="49" t="inlineStr">
        <is>
          <t>2026-05-24 12:08:29</t>
        </is>
      </c>
      <c r="C644" s="49" t="inlineStr">
        <is>
          <t>CUST-82841</t>
        </is>
      </c>
      <c r="D644" s="49" t="inlineStr">
        <is>
          <t>GBP-PKR</t>
        </is>
      </c>
      <c r="E644" s="49" t="inlineStr">
        <is>
          <t>GBP</t>
        </is>
      </c>
      <c r="F644" s="7" t="n">
        <v>271.464253584332</v>
      </c>
      <c r="G644" s="8" t="n">
        <v>1</v>
      </c>
      <c r="H644" s="7" t="n">
        <v>271.464253584332</v>
      </c>
      <c r="I644" s="7" t="n">
        <v>1.5</v>
      </c>
      <c r="J644" s="9" t="n">
        <v>0.021</v>
      </c>
      <c r="K644" s="49" t="inlineStr">
        <is>
          <t>Success</t>
        </is>
      </c>
      <c r="L644" s="7" t="n">
        <v>0.407196380376498</v>
      </c>
      <c r="M644" s="7" t="n">
        <v>0</v>
      </c>
      <c r="N644" s="7" t="n">
        <v>3.257571043011984</v>
      </c>
    </row>
    <row r="645" ht="18" customHeight="1">
      <c r="A645" s="49" t="inlineStr">
        <is>
          <t>ACE-10644</t>
        </is>
      </c>
      <c r="B645" s="49" t="inlineStr">
        <is>
          <t>2026-05-17 08:42:15</t>
        </is>
      </c>
      <c r="C645" s="49" t="inlineStr">
        <is>
          <t>CUST-90241</t>
        </is>
      </c>
      <c r="D645" s="49" t="inlineStr">
        <is>
          <t>GBP-PKR</t>
        </is>
      </c>
      <c r="E645" s="49" t="inlineStr">
        <is>
          <t>GBP</t>
        </is>
      </c>
      <c r="F645" s="7" t="n">
        <v>239.7208947008238</v>
      </c>
      <c r="G645" s="8" t="n">
        <v>1</v>
      </c>
      <c r="H645" s="7" t="n">
        <v>239.7208947008238</v>
      </c>
      <c r="I645" s="7" t="n">
        <v>1.5</v>
      </c>
      <c r="J645" s="9" t="n">
        <v>0.021</v>
      </c>
      <c r="K645" s="49" t="inlineStr">
        <is>
          <t>Success</t>
        </is>
      </c>
      <c r="L645" s="7" t="n">
        <v>0.3595813420512357</v>
      </c>
      <c r="M645" s="7" t="n">
        <v>0.7191626841024714</v>
      </c>
      <c r="N645" s="7" t="n">
        <v>2.876650736409886</v>
      </c>
    </row>
    <row r="646" ht="18" customHeight="1">
      <c r="A646" s="49" t="inlineStr">
        <is>
          <t>ACE-10645</t>
        </is>
      </c>
      <c r="B646" s="49" t="inlineStr">
        <is>
          <t>2026-05-05 15:10:11</t>
        </is>
      </c>
      <c r="C646" s="49" t="inlineStr">
        <is>
          <t>CUST-87116</t>
        </is>
      </c>
      <c r="D646" s="49" t="inlineStr">
        <is>
          <t>GBP-PKR</t>
        </is>
      </c>
      <c r="E646" s="49" t="inlineStr">
        <is>
          <t>GBP</t>
        </is>
      </c>
      <c r="F646" s="7" t="n">
        <v>271.840445501824</v>
      </c>
      <c r="G646" s="8" t="n">
        <v>1</v>
      </c>
      <c r="H646" s="7" t="n">
        <v>271.840445501824</v>
      </c>
      <c r="I646" s="7" t="n">
        <v>1.5</v>
      </c>
      <c r="J646" s="9" t="n">
        <v>0.021</v>
      </c>
      <c r="K646" s="49" t="inlineStr">
        <is>
          <t>Success</t>
        </is>
      </c>
      <c r="L646" s="7" t="n">
        <v>0.407760668252736</v>
      </c>
      <c r="M646" s="7" t="n">
        <v>0.8155213365054721</v>
      </c>
      <c r="N646" s="7" t="n">
        <v>3.262085346021888</v>
      </c>
    </row>
    <row r="647" ht="18" customHeight="1">
      <c r="A647" s="49" t="inlineStr">
        <is>
          <t>ACE-10646</t>
        </is>
      </c>
      <c r="B647" s="49" t="inlineStr">
        <is>
          <t>2026-05-05 19:46:30</t>
        </is>
      </c>
      <c r="C647" s="49" t="inlineStr">
        <is>
          <t>CUST-73514</t>
        </is>
      </c>
      <c r="D647" s="49" t="inlineStr">
        <is>
          <t>USD-PKR</t>
        </is>
      </c>
      <c r="E647" s="49" t="inlineStr">
        <is>
          <t>USD</t>
        </is>
      </c>
      <c r="F647" s="7" t="n">
        <v>213.0134244643452</v>
      </c>
      <c r="G647" s="8" t="n">
        <v>0.8</v>
      </c>
      <c r="H647" s="7" t="n">
        <v>170.4107395714762</v>
      </c>
      <c r="I647" s="7" t="n">
        <v>1.6</v>
      </c>
      <c r="J647" s="9" t="n">
        <v>0.019</v>
      </c>
      <c r="K647" s="49" t="inlineStr">
        <is>
          <t>Success</t>
        </is>
      </c>
      <c r="L647" s="7" t="n">
        <v>0.2556161093572143</v>
      </c>
      <c r="M647" s="7" t="n">
        <v>0.5112322187144286</v>
      </c>
      <c r="N647" s="7" t="n">
        <v>2.044928874857714</v>
      </c>
    </row>
    <row r="648" ht="18" customHeight="1">
      <c r="A648" s="49" t="inlineStr">
        <is>
          <t>ACE-10647</t>
        </is>
      </c>
      <c r="B648" s="49" t="inlineStr">
        <is>
          <t>2026-05-08 09:16:23</t>
        </is>
      </c>
      <c r="C648" s="49" t="inlineStr">
        <is>
          <t>CUST-65336</t>
        </is>
      </c>
      <c r="D648" s="49" t="inlineStr">
        <is>
          <t>GBP-PKR</t>
        </is>
      </c>
      <c r="E648" s="49" t="inlineStr">
        <is>
          <t>GBP</t>
        </is>
      </c>
      <c r="F648" s="7" t="n">
        <v>212.7464197500726</v>
      </c>
      <c r="G648" s="8" t="n">
        <v>1</v>
      </c>
      <c r="H648" s="7" t="n">
        <v>212.7464197500726</v>
      </c>
      <c r="I648" s="7" t="n">
        <v>1.5</v>
      </c>
      <c r="J648" s="9" t="n">
        <v>0.021</v>
      </c>
      <c r="K648" s="49" t="inlineStr">
        <is>
          <t>Success</t>
        </is>
      </c>
      <c r="L648" s="7" t="n">
        <v>0.319119629625109</v>
      </c>
      <c r="M648" s="7" t="n">
        <v>0</v>
      </c>
      <c r="N648" s="7" t="n">
        <v>2.552957037000872</v>
      </c>
    </row>
    <row r="649" ht="18" customHeight="1">
      <c r="A649" s="49" t="inlineStr">
        <is>
          <t>ACE-10648</t>
        </is>
      </c>
      <c r="B649" s="49" t="inlineStr">
        <is>
          <t>2026-05-12 14:30:58</t>
        </is>
      </c>
      <c r="C649" s="49" t="inlineStr">
        <is>
          <t>CUST-79795</t>
        </is>
      </c>
      <c r="D649" s="49" t="inlineStr">
        <is>
          <t>GBP-PKR</t>
        </is>
      </c>
      <c r="E649" s="49" t="inlineStr">
        <is>
          <t>GBP</t>
        </is>
      </c>
      <c r="F649" s="7" t="n">
        <v>277.0949193206873</v>
      </c>
      <c r="G649" s="8" t="n">
        <v>1</v>
      </c>
      <c r="H649" s="7" t="n">
        <v>277.0949193206873</v>
      </c>
      <c r="I649" s="7" t="n">
        <v>1.5</v>
      </c>
      <c r="J649" s="9" t="n">
        <v>0.021</v>
      </c>
      <c r="K649" s="49" t="inlineStr">
        <is>
          <t>Success</t>
        </is>
      </c>
      <c r="L649" s="7" t="n">
        <v>0.4156423789810309</v>
      </c>
      <c r="M649" s="7" t="n">
        <v>0</v>
      </c>
      <c r="N649" s="7" t="n">
        <v>3.325139031848247</v>
      </c>
    </row>
    <row r="650" ht="18" customHeight="1">
      <c r="A650" s="49" t="inlineStr">
        <is>
          <t>ACE-10649</t>
        </is>
      </c>
      <c r="B650" s="49" t="inlineStr">
        <is>
          <t>2026-05-21 13:06:45</t>
        </is>
      </c>
      <c r="C650" s="49" t="inlineStr">
        <is>
          <t>CUST-84168</t>
        </is>
      </c>
      <c r="D650" s="49" t="inlineStr">
        <is>
          <t>USD-PKR</t>
        </is>
      </c>
      <c r="E650" s="49" t="inlineStr">
        <is>
          <t>USD</t>
        </is>
      </c>
      <c r="F650" s="7" t="n">
        <v>213.9054496517271</v>
      </c>
      <c r="G650" s="8" t="n">
        <v>0.8</v>
      </c>
      <c r="H650" s="7" t="n">
        <v>171.1243597213817</v>
      </c>
      <c r="I650" s="7" t="n">
        <v>1.6</v>
      </c>
      <c r="J650" s="9" t="n">
        <v>0.019</v>
      </c>
      <c r="K650" s="49" t="inlineStr">
        <is>
          <t>Success</t>
        </is>
      </c>
      <c r="L650" s="7" t="n">
        <v>0.2566865395820725</v>
      </c>
      <c r="M650" s="7" t="n">
        <v>0</v>
      </c>
      <c r="N650" s="7" t="n">
        <v>2.05349231665658</v>
      </c>
    </row>
    <row r="651" ht="18" customHeight="1">
      <c r="A651" s="49" t="inlineStr">
        <is>
          <t>ACE-10650</t>
        </is>
      </c>
      <c r="B651" s="49" t="inlineStr">
        <is>
          <t>2026-05-24 12:37:34</t>
        </is>
      </c>
      <c r="C651" s="49" t="inlineStr">
        <is>
          <t>CUST-87366</t>
        </is>
      </c>
      <c r="D651" s="49" t="inlineStr">
        <is>
          <t>GBP-PKR</t>
        </is>
      </c>
      <c r="E651" s="49" t="inlineStr">
        <is>
          <t>GBP</t>
        </is>
      </c>
      <c r="F651" s="7" t="n">
        <v>298.6911927896445</v>
      </c>
      <c r="G651" s="8" t="n">
        <v>1</v>
      </c>
      <c r="H651" s="7" t="n">
        <v>298.6911927896445</v>
      </c>
      <c r="I651" s="7" t="n">
        <v>1.5</v>
      </c>
      <c r="J651" s="9" t="n">
        <v>0.021</v>
      </c>
      <c r="K651" s="49" t="inlineStr">
        <is>
          <t>Success</t>
        </is>
      </c>
      <c r="L651" s="7" t="n">
        <v>0.4480367891844668</v>
      </c>
      <c r="M651" s="7" t="n">
        <v>0.8960735783689335</v>
      </c>
      <c r="N651" s="7" t="n">
        <v>3.584294313475734</v>
      </c>
    </row>
    <row r="652" ht="18" customHeight="1">
      <c r="A652" s="49" t="inlineStr">
        <is>
          <t>ACE-10651</t>
        </is>
      </c>
      <c r="B652" s="49" t="inlineStr">
        <is>
          <t>2026-05-12 17:41:57</t>
        </is>
      </c>
      <c r="C652" s="49" t="inlineStr">
        <is>
          <t>CUST-55101</t>
        </is>
      </c>
      <c r="D652" s="49" t="inlineStr">
        <is>
          <t>GBP-PKR</t>
        </is>
      </c>
      <c r="E652" s="49" t="inlineStr">
        <is>
          <t>GBP</t>
        </is>
      </c>
      <c r="F652" s="7" t="n">
        <v>335.1858696253648</v>
      </c>
      <c r="G652" s="8" t="n">
        <v>1</v>
      </c>
      <c r="H652" s="7" t="n">
        <v>335.1858696253648</v>
      </c>
      <c r="I652" s="7" t="n">
        <v>1.5</v>
      </c>
      <c r="J652" s="9" t="n">
        <v>0.021</v>
      </c>
      <c r="K652" s="49" t="inlineStr">
        <is>
          <t>Success</t>
        </is>
      </c>
      <c r="L652" s="7" t="n">
        <v>0.5027788044380471</v>
      </c>
      <c r="M652" s="7" t="n">
        <v>0</v>
      </c>
      <c r="N652" s="7" t="n">
        <v>4.022230435504377</v>
      </c>
    </row>
    <row r="653" ht="18" customHeight="1">
      <c r="A653" s="49" t="inlineStr">
        <is>
          <t>ACE-10652</t>
        </is>
      </c>
      <c r="B653" s="49" t="inlineStr">
        <is>
          <t>2026-05-08 16:25:22</t>
        </is>
      </c>
      <c r="C653" s="49" t="inlineStr">
        <is>
          <t>CUST-72612</t>
        </is>
      </c>
      <c r="D653" s="49" t="inlineStr">
        <is>
          <t>GBP-PKR</t>
        </is>
      </c>
      <c r="E653" s="49" t="inlineStr">
        <is>
          <t>GBP</t>
        </is>
      </c>
      <c r="F653" s="7" t="n">
        <v>311.8262389181893</v>
      </c>
      <c r="G653" s="8" t="n">
        <v>1</v>
      </c>
      <c r="H653" s="7" t="n">
        <v>311.8262389181893</v>
      </c>
      <c r="I653" s="7" t="n">
        <v>1.5</v>
      </c>
      <c r="J653" s="9" t="n">
        <v>0.021</v>
      </c>
      <c r="K653" s="49" t="inlineStr">
        <is>
          <t>Success</t>
        </is>
      </c>
      <c r="L653" s="7" t="n">
        <v>0.4677393583772839</v>
      </c>
      <c r="M653" s="7" t="n">
        <v>0</v>
      </c>
      <c r="N653" s="7" t="n">
        <v>3.741914867018271</v>
      </c>
    </row>
    <row r="654" ht="18" customHeight="1">
      <c r="A654" s="49" t="inlineStr">
        <is>
          <t>ACE-10653</t>
        </is>
      </c>
      <c r="B654" s="49" t="inlineStr">
        <is>
          <t>2026-05-20 08:32:56</t>
        </is>
      </c>
      <c r="C654" s="49" t="inlineStr">
        <is>
          <t>CUST-59107</t>
        </is>
      </c>
      <c r="D654" s="49" t="inlineStr">
        <is>
          <t>USD-PKR</t>
        </is>
      </c>
      <c r="E654" s="49" t="inlineStr">
        <is>
          <t>USD</t>
        </is>
      </c>
      <c r="F654" s="7" t="n">
        <v>213.09512820447</v>
      </c>
      <c r="G654" s="8" t="n">
        <v>0.8</v>
      </c>
      <c r="H654" s="7" t="n">
        <v>170.476102563576</v>
      </c>
      <c r="I654" s="7" t="n">
        <v>1.6</v>
      </c>
      <c r="J654" s="9" t="n">
        <v>0.019</v>
      </c>
      <c r="K654" s="49" t="inlineStr">
        <is>
          <t>Success</t>
        </is>
      </c>
      <c r="L654" s="7" t="n">
        <v>0.2557141538453639</v>
      </c>
      <c r="M654" s="7" t="n">
        <v>0</v>
      </c>
      <c r="N654" s="7" t="n">
        <v>2.045713230762912</v>
      </c>
    </row>
    <row r="655" ht="18" customHeight="1">
      <c r="A655" s="49" t="inlineStr">
        <is>
          <t>ACE-10654</t>
        </is>
      </c>
      <c r="B655" s="49" t="inlineStr">
        <is>
          <t>2026-05-17 18:17:13</t>
        </is>
      </c>
      <c r="C655" s="49" t="inlineStr">
        <is>
          <t>CUST-59846</t>
        </is>
      </c>
      <c r="D655" s="49" t="inlineStr">
        <is>
          <t>GBP-PKR</t>
        </is>
      </c>
      <c r="E655" s="49" t="inlineStr">
        <is>
          <t>GBP</t>
        </is>
      </c>
      <c r="F655" s="7" t="n">
        <v>249.4196981527174</v>
      </c>
      <c r="G655" s="8" t="n">
        <v>1</v>
      </c>
      <c r="H655" s="7" t="n">
        <v>249.4196981527174</v>
      </c>
      <c r="I655" s="7" t="n">
        <v>1.5</v>
      </c>
      <c r="J655" s="9" t="n">
        <v>0.021</v>
      </c>
      <c r="K655" s="49" t="inlineStr">
        <is>
          <t>Success</t>
        </is>
      </c>
      <c r="L655" s="7" t="n">
        <v>0.3741295472290762</v>
      </c>
      <c r="M655" s="7" t="n">
        <v>0</v>
      </c>
      <c r="N655" s="7" t="n">
        <v>2.993036377832609</v>
      </c>
    </row>
    <row r="656" ht="18" customHeight="1">
      <c r="A656" s="49" t="inlineStr">
        <is>
          <t>ACE-10655</t>
        </is>
      </c>
      <c r="B656" s="49" t="inlineStr">
        <is>
          <t>2026-05-23 09:42:14</t>
        </is>
      </c>
      <c r="C656" s="49" t="inlineStr">
        <is>
          <t>CUST-77172</t>
        </is>
      </c>
      <c r="D656" s="49" t="inlineStr">
        <is>
          <t>GBP-PKR</t>
        </is>
      </c>
      <c r="E656" s="49" t="inlineStr">
        <is>
          <t>GBP</t>
        </is>
      </c>
      <c r="F656" s="7" t="n">
        <v>360.3679466421927</v>
      </c>
      <c r="G656" s="8" t="n">
        <v>1</v>
      </c>
      <c r="H656" s="7" t="n">
        <v>360.3679466421927</v>
      </c>
      <c r="I656" s="7" t="n">
        <v>1.5</v>
      </c>
      <c r="J656" s="9" t="n">
        <v>0.021</v>
      </c>
      <c r="K656" s="49" t="inlineStr">
        <is>
          <t>Success</t>
        </is>
      </c>
      <c r="L656" s="7" t="n">
        <v>0.5405519199632891</v>
      </c>
      <c r="M656" s="7" t="n">
        <v>1.081103839926578</v>
      </c>
      <c r="N656" s="7" t="n">
        <v>4.324415359706313</v>
      </c>
    </row>
    <row r="657" ht="18" customHeight="1">
      <c r="A657" s="49" t="inlineStr">
        <is>
          <t>ACE-10656</t>
        </is>
      </c>
      <c r="B657" s="49" t="inlineStr">
        <is>
          <t>2026-05-16 18:30:30</t>
        </is>
      </c>
      <c r="C657" s="49" t="inlineStr">
        <is>
          <t>CUST-63808</t>
        </is>
      </c>
      <c r="D657" s="49" t="inlineStr">
        <is>
          <t>EUR-PKR</t>
        </is>
      </c>
      <c r="E657" s="49" t="inlineStr">
        <is>
          <t>EUR</t>
        </is>
      </c>
      <c r="F657" s="7" t="n">
        <v>190.1752310016374</v>
      </c>
      <c r="G657" s="8" t="n">
        <v>0.85</v>
      </c>
      <c r="H657" s="7" t="n">
        <v>161.6489463513918</v>
      </c>
      <c r="I657" s="7" t="n">
        <v>1.275</v>
      </c>
      <c r="J657" s="9" t="n">
        <v>0.023</v>
      </c>
      <c r="K657" s="49" t="inlineStr">
        <is>
          <t>Success</t>
        </is>
      </c>
      <c r="L657" s="7" t="n">
        <v>0.2424734195270877</v>
      </c>
      <c r="M657" s="7" t="n">
        <v>0.4849468390541754</v>
      </c>
      <c r="N657" s="7" t="n">
        <v>2.424734195270877</v>
      </c>
    </row>
    <row r="658" ht="18" customHeight="1">
      <c r="A658" s="49" t="inlineStr">
        <is>
          <t>ACE-10657</t>
        </is>
      </c>
      <c r="B658" s="49" t="inlineStr">
        <is>
          <t>2026-05-14 08:15:02</t>
        </is>
      </c>
      <c r="C658" s="49" t="inlineStr">
        <is>
          <t>CUST-58381</t>
        </is>
      </c>
      <c r="D658" s="49" t="inlineStr">
        <is>
          <t>GBP-PKR</t>
        </is>
      </c>
      <c r="E658" s="49" t="inlineStr">
        <is>
          <t>GBP</t>
        </is>
      </c>
      <c r="F658" s="7" t="n">
        <v>278.9918395197762</v>
      </c>
      <c r="G658" s="8" t="n">
        <v>1</v>
      </c>
      <c r="H658" s="7" t="n">
        <v>278.9918395197762</v>
      </c>
      <c r="I658" s="7" t="n">
        <v>1.5</v>
      </c>
      <c r="J658" s="9" t="n">
        <v>0.021</v>
      </c>
      <c r="K658" s="49" t="inlineStr">
        <is>
          <t>Success</t>
        </is>
      </c>
      <c r="L658" s="7" t="n">
        <v>0.4184877592796643</v>
      </c>
      <c r="M658" s="7" t="n">
        <v>0</v>
      </c>
      <c r="N658" s="7" t="n">
        <v>3.347902074237314</v>
      </c>
    </row>
    <row r="659" ht="18" customHeight="1">
      <c r="A659" s="49" t="inlineStr">
        <is>
          <t>ACE-10658</t>
        </is>
      </c>
      <c r="B659" s="49" t="inlineStr">
        <is>
          <t>2026-05-21 16:02:57</t>
        </is>
      </c>
      <c r="C659" s="49" t="inlineStr">
        <is>
          <t>CUST-87504</t>
        </is>
      </c>
      <c r="D659" s="49" t="inlineStr">
        <is>
          <t>GBP-PKR</t>
        </is>
      </c>
      <c r="E659" s="49" t="inlineStr">
        <is>
          <t>GBP</t>
        </is>
      </c>
      <c r="F659" s="7" t="n">
        <v>277.9321709295317</v>
      </c>
      <c r="G659" s="8" t="n">
        <v>1</v>
      </c>
      <c r="H659" s="7" t="n">
        <v>277.9321709295317</v>
      </c>
      <c r="I659" s="7" t="n">
        <v>1.5</v>
      </c>
      <c r="J659" s="9" t="n">
        <v>0.021</v>
      </c>
      <c r="K659" s="49" t="inlineStr">
        <is>
          <t>Success</t>
        </is>
      </c>
      <c r="L659" s="7" t="n">
        <v>0.4168982563942975</v>
      </c>
      <c r="M659" s="7" t="n">
        <v>0</v>
      </c>
      <c r="N659" s="7" t="n">
        <v>3.33518605115438</v>
      </c>
    </row>
    <row r="660" ht="18" customHeight="1">
      <c r="A660" s="49" t="inlineStr">
        <is>
          <t>ACE-10659</t>
        </is>
      </c>
      <c r="B660" s="49" t="inlineStr">
        <is>
          <t>2026-05-06 16:25:38</t>
        </is>
      </c>
      <c r="C660" s="49" t="inlineStr">
        <is>
          <t>CUST-86936</t>
        </is>
      </c>
      <c r="D660" s="49" t="inlineStr">
        <is>
          <t>USD-PKR</t>
        </is>
      </c>
      <c r="E660" s="49" t="inlineStr">
        <is>
          <t>USD</t>
        </is>
      </c>
      <c r="F660" s="7" t="n">
        <v>223.2821062550717</v>
      </c>
      <c r="G660" s="8" t="n">
        <v>0.8</v>
      </c>
      <c r="H660" s="7" t="n">
        <v>178.6256850040573</v>
      </c>
      <c r="I660" s="7" t="n">
        <v>1.6</v>
      </c>
      <c r="J660" s="9" t="n">
        <v>0.019</v>
      </c>
      <c r="K660" s="49" t="inlineStr">
        <is>
          <t>Success</t>
        </is>
      </c>
      <c r="L660" s="7" t="n">
        <v>0.267938527506086</v>
      </c>
      <c r="M660" s="7" t="n">
        <v>0.5358770550121721</v>
      </c>
      <c r="N660" s="7" t="n">
        <v>2.143508220048688</v>
      </c>
    </row>
    <row r="661" ht="18" customHeight="1">
      <c r="A661" s="49" t="inlineStr">
        <is>
          <t>ACE-10660</t>
        </is>
      </c>
      <c r="B661" s="49" t="inlineStr">
        <is>
          <t>2026-05-24 18:52:18</t>
        </is>
      </c>
      <c r="C661" s="49" t="inlineStr">
        <is>
          <t>CUST-55619</t>
        </is>
      </c>
      <c r="D661" s="49" t="inlineStr">
        <is>
          <t>GBP-PKR</t>
        </is>
      </c>
      <c r="E661" s="49" t="inlineStr">
        <is>
          <t>GBP</t>
        </is>
      </c>
      <c r="F661" s="7" t="n">
        <v>274.6104538483442</v>
      </c>
      <c r="G661" s="8" t="n">
        <v>1</v>
      </c>
      <c r="H661" s="7" t="n">
        <v>274.6104538483442</v>
      </c>
      <c r="I661" s="7" t="n">
        <v>1.5</v>
      </c>
      <c r="J661" s="9" t="n">
        <v>0.021</v>
      </c>
      <c r="K661" s="49" t="inlineStr">
        <is>
          <t>Success</t>
        </is>
      </c>
      <c r="L661" s="7" t="n">
        <v>0.4119156807725162</v>
      </c>
      <c r="M661" s="7" t="n">
        <v>0.8238313615450324</v>
      </c>
      <c r="N661" s="7" t="n">
        <v>3.29532544618013</v>
      </c>
    </row>
    <row r="662" ht="18" customHeight="1">
      <c r="A662" s="49" t="inlineStr">
        <is>
          <t>ACE-10661</t>
        </is>
      </c>
      <c r="B662" s="49" t="inlineStr">
        <is>
          <t>2026-05-16 15:10:14</t>
        </is>
      </c>
      <c r="C662" s="49" t="inlineStr">
        <is>
          <t>CUST-76920</t>
        </is>
      </c>
      <c r="D662" s="49" t="inlineStr">
        <is>
          <t>USD-PKR</t>
        </is>
      </c>
      <c r="E662" s="49" t="inlineStr">
        <is>
          <t>USD</t>
        </is>
      </c>
      <c r="F662" s="7" t="n">
        <v>206.6985280897073</v>
      </c>
      <c r="G662" s="8" t="n">
        <v>0.8</v>
      </c>
      <c r="H662" s="7" t="n">
        <v>165.3588224717658</v>
      </c>
      <c r="I662" s="7" t="n">
        <v>1.6</v>
      </c>
      <c r="J662" s="9" t="n">
        <v>0.019</v>
      </c>
      <c r="K662" s="49" t="inlineStr">
        <is>
          <t>Success</t>
        </is>
      </c>
      <c r="L662" s="7" t="n">
        <v>0.2480382337076488</v>
      </c>
      <c r="M662" s="7" t="n">
        <v>0.4960764674152975</v>
      </c>
      <c r="N662" s="7" t="n">
        <v>1.98430586966119</v>
      </c>
    </row>
    <row r="663" ht="18" customHeight="1">
      <c r="A663" s="49" t="inlineStr">
        <is>
          <t>ACE-10662</t>
        </is>
      </c>
      <c r="B663" s="49" t="inlineStr">
        <is>
          <t>2026-05-06 17:42:32</t>
        </is>
      </c>
      <c r="C663" s="49" t="inlineStr">
        <is>
          <t>CUST-67335</t>
        </is>
      </c>
      <c r="D663" s="49" t="inlineStr">
        <is>
          <t>USD-PKR</t>
        </is>
      </c>
      <c r="E663" s="49" t="inlineStr">
        <is>
          <t>USD</t>
        </is>
      </c>
      <c r="F663" s="7" t="n">
        <v>207.2532866406875</v>
      </c>
      <c r="G663" s="8" t="n">
        <v>0.8</v>
      </c>
      <c r="H663" s="7" t="n">
        <v>165.80262931255</v>
      </c>
      <c r="I663" s="7" t="n">
        <v>1.6</v>
      </c>
      <c r="J663" s="9" t="n">
        <v>0.019</v>
      </c>
      <c r="K663" s="49" t="inlineStr">
        <is>
          <t>Success</t>
        </is>
      </c>
      <c r="L663" s="7" t="n">
        <v>0.248703943968825</v>
      </c>
      <c r="M663" s="7" t="n">
        <v>0.4974078879376501</v>
      </c>
      <c r="N663" s="7" t="n">
        <v>1.9896315517506</v>
      </c>
    </row>
    <row r="664" ht="18" customHeight="1">
      <c r="A664" s="49" t="inlineStr">
        <is>
          <t>ACE-10663</t>
        </is>
      </c>
      <c r="B664" s="49" t="inlineStr">
        <is>
          <t>2026-05-15 17:37:04</t>
        </is>
      </c>
      <c r="C664" s="49" t="inlineStr">
        <is>
          <t>CUST-65061</t>
        </is>
      </c>
      <c r="D664" s="49" t="inlineStr">
        <is>
          <t>GBP-PKR</t>
        </is>
      </c>
      <c r="E664" s="49" t="inlineStr">
        <is>
          <t>GBP</t>
        </is>
      </c>
      <c r="F664" s="7" t="n">
        <v>277.6924693876593</v>
      </c>
      <c r="G664" s="8" t="n">
        <v>1</v>
      </c>
      <c r="H664" s="7" t="n">
        <v>277.6924693876593</v>
      </c>
      <c r="I664" s="7" t="n">
        <v>1.5</v>
      </c>
      <c r="J664" s="9" t="n">
        <v>0.021</v>
      </c>
      <c r="K664" s="49" t="inlineStr">
        <is>
          <t>Success</t>
        </is>
      </c>
      <c r="L664" s="7" t="n">
        <v>0.416538704081489</v>
      </c>
      <c r="M664" s="7" t="n">
        <v>0</v>
      </c>
      <c r="N664" s="7" t="n">
        <v>3.332309632651912</v>
      </c>
    </row>
    <row r="665" ht="18" customHeight="1">
      <c r="A665" s="49" t="inlineStr">
        <is>
          <t>ACE-10664</t>
        </is>
      </c>
      <c r="B665" s="49" t="inlineStr">
        <is>
          <t>2026-05-01 11:33:55</t>
        </is>
      </c>
      <c r="C665" s="49" t="inlineStr">
        <is>
          <t>CUST-83053</t>
        </is>
      </c>
      <c r="D665" s="49" t="inlineStr">
        <is>
          <t>GBP-PKR</t>
        </is>
      </c>
      <c r="E665" s="49" t="inlineStr">
        <is>
          <t>GBP</t>
        </is>
      </c>
      <c r="F665" s="7" t="n">
        <v>263.8675113040501</v>
      </c>
      <c r="G665" s="8" t="n">
        <v>1</v>
      </c>
      <c r="H665" s="7" t="n">
        <v>263.8675113040501</v>
      </c>
      <c r="I665" s="7" t="n">
        <v>1.5</v>
      </c>
      <c r="J665" s="9" t="n">
        <v>0.021</v>
      </c>
      <c r="K665" s="49" t="inlineStr">
        <is>
          <t>Success</t>
        </is>
      </c>
      <c r="L665" s="7" t="n">
        <v>0.3958012669560751</v>
      </c>
      <c r="M665" s="7" t="n">
        <v>0.7916025339121503</v>
      </c>
      <c r="N665" s="7" t="n">
        <v>3.166410135648601</v>
      </c>
    </row>
    <row r="666" ht="18" customHeight="1">
      <c r="A666" s="49" t="inlineStr">
        <is>
          <t>ACE-10665</t>
        </is>
      </c>
      <c r="B666" s="49" t="inlineStr">
        <is>
          <t>2026-05-20 09:11:30</t>
        </is>
      </c>
      <c r="C666" s="49" t="inlineStr">
        <is>
          <t>CUST-90288</t>
        </is>
      </c>
      <c r="D666" s="49" t="inlineStr">
        <is>
          <t>USD-PKR</t>
        </is>
      </c>
      <c r="E666" s="49" t="inlineStr">
        <is>
          <t>USD</t>
        </is>
      </c>
      <c r="F666" s="7" t="n">
        <v>203.8415483135409</v>
      </c>
      <c r="G666" s="8" t="n">
        <v>0.8</v>
      </c>
      <c r="H666" s="7" t="n">
        <v>163.0732386508327</v>
      </c>
      <c r="I666" s="7" t="n">
        <v>1.6</v>
      </c>
      <c r="J666" s="9" t="n">
        <v>0.019</v>
      </c>
      <c r="K666" s="49" t="inlineStr">
        <is>
          <t>Success</t>
        </is>
      </c>
      <c r="L666" s="7" t="n">
        <v>0.2446098579762491</v>
      </c>
      <c r="M666" s="7" t="n">
        <v>0.4892197159524981</v>
      </c>
      <c r="N666" s="7" t="n">
        <v>1.956878863809993</v>
      </c>
    </row>
    <row r="667" ht="18" customHeight="1">
      <c r="A667" s="49" t="inlineStr">
        <is>
          <t>ACE-10666</t>
        </is>
      </c>
      <c r="B667" s="49" t="inlineStr">
        <is>
          <t>2026-05-18 16:48:07</t>
        </is>
      </c>
      <c r="C667" s="49" t="inlineStr">
        <is>
          <t>CUST-56107</t>
        </is>
      </c>
      <c r="D667" s="49" t="inlineStr">
        <is>
          <t>USD-PKR</t>
        </is>
      </c>
      <c r="E667" s="49" t="inlineStr">
        <is>
          <t>USD</t>
        </is>
      </c>
      <c r="F667" s="7" t="n">
        <v>221.2449744149925</v>
      </c>
      <c r="G667" s="8" t="n">
        <v>0.8</v>
      </c>
      <c r="H667" s="7" t="n">
        <v>176.995979531994</v>
      </c>
      <c r="I667" s="7" t="n">
        <v>1.6</v>
      </c>
      <c r="J667" s="9" t="n">
        <v>0.019</v>
      </c>
      <c r="K667" s="49" t="inlineStr">
        <is>
          <t>Success</t>
        </is>
      </c>
      <c r="L667" s="7" t="n">
        <v>0.265493969297991</v>
      </c>
      <c r="M667" s="7" t="n">
        <v>0</v>
      </c>
      <c r="N667" s="7" t="n">
        <v>2.123951754383928</v>
      </c>
    </row>
    <row r="668" ht="18" customHeight="1">
      <c r="A668" s="49" t="inlineStr">
        <is>
          <t>ACE-10667</t>
        </is>
      </c>
      <c r="B668" s="49" t="inlineStr">
        <is>
          <t>2026-05-20 16:52:00</t>
        </is>
      </c>
      <c r="C668" s="49" t="inlineStr">
        <is>
          <t>CUST-94470</t>
        </is>
      </c>
      <c r="D668" s="49" t="inlineStr">
        <is>
          <t>GBP-PKR</t>
        </is>
      </c>
      <c r="E668" s="49" t="inlineStr">
        <is>
          <t>GBP</t>
        </is>
      </c>
      <c r="F668" s="7" t="n">
        <v>271.5895397291325</v>
      </c>
      <c r="G668" s="8" t="n">
        <v>1</v>
      </c>
      <c r="H668" s="7" t="n">
        <v>271.5895397291325</v>
      </c>
      <c r="I668" s="7" t="n">
        <v>1.5</v>
      </c>
      <c r="J668" s="9" t="n">
        <v>0.021</v>
      </c>
      <c r="K668" s="49" t="inlineStr">
        <is>
          <t>Success</t>
        </is>
      </c>
      <c r="L668" s="7" t="n">
        <v>0.4073843095936987</v>
      </c>
      <c r="M668" s="7" t="n">
        <v>0</v>
      </c>
      <c r="N668" s="7" t="n">
        <v>3.25907447674959</v>
      </c>
    </row>
    <row r="669" ht="18" customHeight="1">
      <c r="A669" s="49" t="inlineStr">
        <is>
          <t>ACE-10668</t>
        </is>
      </c>
      <c r="B669" s="49" t="inlineStr">
        <is>
          <t>2026-05-12 08:44:33</t>
        </is>
      </c>
      <c r="C669" s="49" t="inlineStr">
        <is>
          <t>CUST-78112</t>
        </is>
      </c>
      <c r="D669" s="49" t="inlineStr">
        <is>
          <t>GBP-PKR</t>
        </is>
      </c>
      <c r="E669" s="49" t="inlineStr">
        <is>
          <t>GBP</t>
        </is>
      </c>
      <c r="F669" s="7" t="n">
        <v>323.8203549616116</v>
      </c>
      <c r="G669" s="8" t="n">
        <v>1</v>
      </c>
      <c r="H669" s="7" t="n">
        <v>323.8203549616116</v>
      </c>
      <c r="I669" s="7" t="n">
        <v>1.5</v>
      </c>
      <c r="J669" s="9" t="n">
        <v>0.021</v>
      </c>
      <c r="K669" s="49" t="inlineStr">
        <is>
          <t>Success</t>
        </is>
      </c>
      <c r="L669" s="7" t="n">
        <v>0.4857305324424174</v>
      </c>
      <c r="M669" s="7" t="n">
        <v>0.9714610648848349</v>
      </c>
      <c r="N669" s="7" t="n">
        <v>3.885844259539339</v>
      </c>
    </row>
    <row r="670" ht="18" customHeight="1">
      <c r="A670" s="49" t="inlineStr">
        <is>
          <t>ACE-10669</t>
        </is>
      </c>
      <c r="B670" s="49" t="inlineStr">
        <is>
          <t>2026-05-13 13:37:51</t>
        </is>
      </c>
      <c r="C670" s="49" t="inlineStr">
        <is>
          <t>CUST-98587</t>
        </is>
      </c>
      <c r="D670" s="49" t="inlineStr">
        <is>
          <t>EUR-PKR</t>
        </is>
      </c>
      <c r="E670" s="49" t="inlineStr">
        <is>
          <t>EUR</t>
        </is>
      </c>
      <c r="F670" s="7" t="n">
        <v>145.0280383010885</v>
      </c>
      <c r="G670" s="8" t="n">
        <v>0.85</v>
      </c>
      <c r="H670" s="7" t="n">
        <v>123.2738325559253</v>
      </c>
      <c r="I670" s="7" t="n">
        <v>1.275</v>
      </c>
      <c r="J670" s="9" t="n">
        <v>0.023</v>
      </c>
      <c r="K670" s="49" t="inlineStr">
        <is>
          <t>Success</t>
        </is>
      </c>
      <c r="L670" s="7" t="n">
        <v>0.1849107488338879</v>
      </c>
      <c r="M670" s="7" t="n">
        <v>0.3698214976677758</v>
      </c>
      <c r="N670" s="7" t="n">
        <v>1.849107488338879</v>
      </c>
    </row>
    <row r="671" ht="18" customHeight="1">
      <c r="A671" s="49" t="inlineStr">
        <is>
          <t>ACE-10670</t>
        </is>
      </c>
      <c r="B671" s="49" t="inlineStr">
        <is>
          <t>2026-05-19 09:27:08</t>
        </is>
      </c>
      <c r="C671" s="49" t="inlineStr">
        <is>
          <t>CUST-66680</t>
        </is>
      </c>
      <c r="D671" s="49" t="inlineStr">
        <is>
          <t>GBP-PKR</t>
        </is>
      </c>
      <c r="E671" s="49" t="inlineStr">
        <is>
          <t>GBP</t>
        </is>
      </c>
      <c r="F671" s="7" t="n">
        <v>310.7349470039892</v>
      </c>
      <c r="G671" s="8" t="n">
        <v>1</v>
      </c>
      <c r="H671" s="7" t="n">
        <v>310.7349470039892</v>
      </c>
      <c r="I671" s="7" t="n">
        <v>1.5</v>
      </c>
      <c r="J671" s="9" t="n">
        <v>0.021</v>
      </c>
      <c r="K671" s="49" t="inlineStr">
        <is>
          <t>Success</t>
        </is>
      </c>
      <c r="L671" s="7" t="n">
        <v>0.4661024205059838</v>
      </c>
      <c r="M671" s="7" t="n">
        <v>0</v>
      </c>
      <c r="N671" s="7" t="n">
        <v>3.72881936404787</v>
      </c>
    </row>
    <row r="672" ht="18" customHeight="1">
      <c r="A672" s="49" t="inlineStr">
        <is>
          <t>ACE-10671</t>
        </is>
      </c>
      <c r="B672" s="49" t="inlineStr">
        <is>
          <t>2026-05-03 12:38:56</t>
        </is>
      </c>
      <c r="C672" s="49" t="inlineStr">
        <is>
          <t>CUST-85633</t>
        </is>
      </c>
      <c r="D672" s="49" t="inlineStr">
        <is>
          <t>GBP-PKR</t>
        </is>
      </c>
      <c r="E672" s="49" t="inlineStr">
        <is>
          <t>GBP</t>
        </is>
      </c>
      <c r="F672" s="7" t="n">
        <v>315.5755525029095</v>
      </c>
      <c r="G672" s="8" t="n">
        <v>1</v>
      </c>
      <c r="H672" s="7" t="n">
        <v>315.5755525029095</v>
      </c>
      <c r="I672" s="7" t="n">
        <v>1.5</v>
      </c>
      <c r="J672" s="9" t="n">
        <v>0.021</v>
      </c>
      <c r="K672" s="49" t="inlineStr">
        <is>
          <t>Success</t>
        </is>
      </c>
      <c r="L672" s="7" t="n">
        <v>0.4733633287543643</v>
      </c>
      <c r="M672" s="7" t="n">
        <v>0</v>
      </c>
      <c r="N672" s="7" t="n">
        <v>3.786906630034914</v>
      </c>
    </row>
    <row r="673" ht="18" customHeight="1">
      <c r="A673" s="49" t="inlineStr">
        <is>
          <t>ACE-10672</t>
        </is>
      </c>
      <c r="B673" s="49" t="inlineStr">
        <is>
          <t>2026-05-23 19:50:00</t>
        </is>
      </c>
      <c r="C673" s="49" t="inlineStr">
        <is>
          <t>CUST-87878</t>
        </is>
      </c>
      <c r="D673" s="49" t="inlineStr">
        <is>
          <t>GBP-PKR</t>
        </is>
      </c>
      <c r="E673" s="49" t="inlineStr">
        <is>
          <t>GBP</t>
        </is>
      </c>
      <c r="F673" s="7" t="n">
        <v>226.4333361409455</v>
      </c>
      <c r="G673" s="8" t="n">
        <v>1</v>
      </c>
      <c r="H673" s="7" t="n">
        <v>226.4333361409455</v>
      </c>
      <c r="I673" s="7" t="n">
        <v>1.5</v>
      </c>
      <c r="J673" s="9" t="n">
        <v>0.021</v>
      </c>
      <c r="K673" s="49" t="inlineStr">
        <is>
          <t>Success</t>
        </is>
      </c>
      <c r="L673" s="7" t="n">
        <v>0.3396500042114182</v>
      </c>
      <c r="M673" s="7" t="n">
        <v>0</v>
      </c>
      <c r="N673" s="7" t="n">
        <v>2.717200033691346</v>
      </c>
    </row>
    <row r="674" ht="18" customHeight="1">
      <c r="A674" s="49" t="inlineStr">
        <is>
          <t>ACE-10673</t>
        </is>
      </c>
      <c r="B674" s="49" t="inlineStr">
        <is>
          <t>2026-05-13 18:13:44</t>
        </is>
      </c>
      <c r="C674" s="49" t="inlineStr">
        <is>
          <t>CUST-70702</t>
        </is>
      </c>
      <c r="D674" s="49" t="inlineStr">
        <is>
          <t>GBP-PKR</t>
        </is>
      </c>
      <c r="E674" s="49" t="inlineStr">
        <is>
          <t>GBP</t>
        </is>
      </c>
      <c r="F674" s="7" t="n">
        <v>269.21783401139</v>
      </c>
      <c r="G674" s="8" t="n">
        <v>1</v>
      </c>
      <c r="H674" s="7" t="n">
        <v>269.21783401139</v>
      </c>
      <c r="I674" s="7" t="n">
        <v>1.5</v>
      </c>
      <c r="J674" s="9" t="n">
        <v>0.021</v>
      </c>
      <c r="K674" s="49" t="inlineStr">
        <is>
          <t>Success</t>
        </is>
      </c>
      <c r="L674" s="7" t="n">
        <v>0.403826751017085</v>
      </c>
      <c r="M674" s="7" t="n">
        <v>0</v>
      </c>
      <c r="N674" s="7" t="n">
        <v>3.23061400813668</v>
      </c>
    </row>
    <row r="675" ht="18" customHeight="1">
      <c r="A675" s="49" t="inlineStr">
        <is>
          <t>ACE-10674</t>
        </is>
      </c>
      <c r="B675" s="49" t="inlineStr">
        <is>
          <t>2026-05-14 18:37:16</t>
        </is>
      </c>
      <c r="C675" s="49" t="inlineStr">
        <is>
          <t>CUST-67124</t>
        </is>
      </c>
      <c r="D675" s="49" t="inlineStr">
        <is>
          <t>EUR-PKR</t>
        </is>
      </c>
      <c r="E675" s="49" t="inlineStr">
        <is>
          <t>EUR</t>
        </is>
      </c>
      <c r="F675" s="7" t="n">
        <v>182.1590097454874</v>
      </c>
      <c r="G675" s="8" t="n">
        <v>0.85</v>
      </c>
      <c r="H675" s="7" t="n">
        <v>154.8351582836643</v>
      </c>
      <c r="I675" s="7" t="n">
        <v>1.275</v>
      </c>
      <c r="J675" s="9" t="n">
        <v>0.023</v>
      </c>
      <c r="K675" s="49" t="inlineStr">
        <is>
          <t>Success</t>
        </is>
      </c>
      <c r="L675" s="7" t="n">
        <v>0.2322527374254964</v>
      </c>
      <c r="M675" s="7" t="n">
        <v>0</v>
      </c>
      <c r="N675" s="7" t="n">
        <v>2.322527374254964</v>
      </c>
    </row>
    <row r="676" ht="18" customHeight="1">
      <c r="A676" s="49" t="inlineStr">
        <is>
          <t>ACE-10675</t>
        </is>
      </c>
      <c r="B676" s="49" t="inlineStr">
        <is>
          <t>2026-05-12 17:17:43</t>
        </is>
      </c>
      <c r="C676" s="49" t="inlineStr">
        <is>
          <t>CUST-76047</t>
        </is>
      </c>
      <c r="D676" s="49" t="inlineStr">
        <is>
          <t>GBP-PKR</t>
        </is>
      </c>
      <c r="E676" s="49" t="inlineStr">
        <is>
          <t>GBP</t>
        </is>
      </c>
      <c r="F676" s="7" t="n">
        <v>242.0243724520932</v>
      </c>
      <c r="G676" s="8" t="n">
        <v>1</v>
      </c>
      <c r="H676" s="7" t="n">
        <v>242.0243724520932</v>
      </c>
      <c r="I676" s="7" t="n">
        <v>1.5</v>
      </c>
      <c r="J676" s="9" t="n">
        <v>0.021</v>
      </c>
      <c r="K676" s="49" t="inlineStr">
        <is>
          <t>Success</t>
        </is>
      </c>
      <c r="L676" s="7" t="n">
        <v>0.3630365586781398</v>
      </c>
      <c r="M676" s="7" t="n">
        <v>0</v>
      </c>
      <c r="N676" s="7" t="n">
        <v>2.904292469425118</v>
      </c>
    </row>
    <row r="677" ht="18" customHeight="1">
      <c r="A677" s="49" t="inlineStr">
        <is>
          <t>ACE-10676</t>
        </is>
      </c>
      <c r="B677" s="49" t="inlineStr">
        <is>
          <t>2026-05-18 15:11:23</t>
        </is>
      </c>
      <c r="C677" s="49" t="inlineStr">
        <is>
          <t>CUST-86640</t>
        </is>
      </c>
      <c r="D677" s="49" t="inlineStr">
        <is>
          <t>GBP-PKR</t>
        </is>
      </c>
      <c r="E677" s="49" t="inlineStr">
        <is>
          <t>GBP</t>
        </is>
      </c>
      <c r="F677" s="7" t="n">
        <v>257.7545909583853</v>
      </c>
      <c r="G677" s="8" t="n">
        <v>1</v>
      </c>
      <c r="H677" s="7" t="n">
        <v>257.7545909583853</v>
      </c>
      <c r="I677" s="7" t="n">
        <v>1.5</v>
      </c>
      <c r="J677" s="9" t="n">
        <v>0.021</v>
      </c>
      <c r="K677" s="49" t="inlineStr">
        <is>
          <t>Success</t>
        </is>
      </c>
      <c r="L677" s="7" t="n">
        <v>0.386631886437578</v>
      </c>
      <c r="M677" s="7" t="n">
        <v>0</v>
      </c>
      <c r="N677" s="7" t="n">
        <v>3.093055091500624</v>
      </c>
    </row>
    <row r="678" ht="18" customHeight="1">
      <c r="A678" s="49" t="inlineStr">
        <is>
          <t>ACE-10677</t>
        </is>
      </c>
      <c r="B678" s="49" t="inlineStr">
        <is>
          <t>2026-05-10 17:22:49</t>
        </is>
      </c>
      <c r="C678" s="49" t="inlineStr">
        <is>
          <t>CUST-96235</t>
        </is>
      </c>
      <c r="D678" s="49" t="inlineStr">
        <is>
          <t>GBP-PKR</t>
        </is>
      </c>
      <c r="E678" s="49" t="inlineStr">
        <is>
          <t>GBP</t>
        </is>
      </c>
      <c r="F678" s="7" t="n">
        <v>249.3187052053224</v>
      </c>
      <c r="G678" s="8" t="n">
        <v>1</v>
      </c>
      <c r="H678" s="7" t="n">
        <v>249.3187052053224</v>
      </c>
      <c r="I678" s="7" t="n">
        <v>1.5</v>
      </c>
      <c r="J678" s="9" t="n">
        <v>0.021</v>
      </c>
      <c r="K678" s="49" t="inlineStr">
        <is>
          <t>Success</t>
        </is>
      </c>
      <c r="L678" s="7" t="n">
        <v>0.3739780578079837</v>
      </c>
      <c r="M678" s="7" t="n">
        <v>0</v>
      </c>
      <c r="N678" s="7" t="n">
        <v>2.991824462463869</v>
      </c>
    </row>
    <row r="679" ht="18" customHeight="1">
      <c r="A679" s="49" t="inlineStr">
        <is>
          <t>ACE-10678</t>
        </is>
      </c>
      <c r="B679" s="49" t="inlineStr">
        <is>
          <t>2026-05-22 09:47:14</t>
        </is>
      </c>
      <c r="C679" s="49" t="inlineStr">
        <is>
          <t>CUST-79268</t>
        </is>
      </c>
      <c r="D679" s="49" t="inlineStr">
        <is>
          <t>GBP-PKR</t>
        </is>
      </c>
      <c r="E679" s="49" t="inlineStr">
        <is>
          <t>GBP</t>
        </is>
      </c>
      <c r="F679" s="7" t="n">
        <v>331.9607196174817</v>
      </c>
      <c r="G679" s="8" t="n">
        <v>1</v>
      </c>
      <c r="H679" s="7" t="n">
        <v>331.9607196174817</v>
      </c>
      <c r="I679" s="7" t="n">
        <v>1.5</v>
      </c>
      <c r="J679" s="9" t="n">
        <v>0.021</v>
      </c>
      <c r="K679" s="49" t="inlineStr">
        <is>
          <t>Success</t>
        </is>
      </c>
      <c r="L679" s="7" t="n">
        <v>0.4979410794262226</v>
      </c>
      <c r="M679" s="7" t="n">
        <v>0.9958821588524451</v>
      </c>
      <c r="N679" s="7" t="n">
        <v>3.983528635409781</v>
      </c>
    </row>
    <row r="680" ht="18" customHeight="1">
      <c r="A680" s="49" t="inlineStr">
        <is>
          <t>ACE-10679</t>
        </is>
      </c>
      <c r="B680" s="49" t="inlineStr">
        <is>
          <t>2026-05-04 11:32:25</t>
        </is>
      </c>
      <c r="C680" s="49" t="inlineStr">
        <is>
          <t>CUST-72179</t>
        </is>
      </c>
      <c r="D680" s="49" t="inlineStr">
        <is>
          <t>EUR-PKR</t>
        </is>
      </c>
      <c r="E680" s="49" t="inlineStr">
        <is>
          <t>EUR</t>
        </is>
      </c>
      <c r="F680" s="7" t="n">
        <v>207.5955906609213</v>
      </c>
      <c r="G680" s="8" t="n">
        <v>0.85</v>
      </c>
      <c r="H680" s="7" t="n">
        <v>176.4562520617831</v>
      </c>
      <c r="I680" s="7" t="n">
        <v>1.275</v>
      </c>
      <c r="J680" s="9" t="n">
        <v>0.023</v>
      </c>
      <c r="K680" s="49" t="inlineStr">
        <is>
          <t>Success</t>
        </is>
      </c>
      <c r="L680" s="7" t="n">
        <v>0.2646843780926746</v>
      </c>
      <c r="M680" s="7" t="n">
        <v>0.5293687561853492</v>
      </c>
      <c r="N680" s="7" t="n">
        <v>2.646843780926746</v>
      </c>
    </row>
    <row r="681" ht="18" customHeight="1">
      <c r="A681" s="49" t="inlineStr">
        <is>
          <t>ACE-10680</t>
        </is>
      </c>
      <c r="B681" s="49" t="inlineStr">
        <is>
          <t>2026-05-22 19:03:10</t>
        </is>
      </c>
      <c r="C681" s="49" t="inlineStr">
        <is>
          <t>CUST-75500</t>
        </is>
      </c>
      <c r="D681" s="49" t="inlineStr">
        <is>
          <t>USD-PKR</t>
        </is>
      </c>
      <c r="E681" s="49" t="inlineStr">
        <is>
          <t>USD</t>
        </is>
      </c>
      <c r="F681" s="7" t="n">
        <v>248.5845566460071</v>
      </c>
      <c r="G681" s="8" t="n">
        <v>0.8</v>
      </c>
      <c r="H681" s="7" t="n">
        <v>198.8676453168057</v>
      </c>
      <c r="I681" s="7" t="n">
        <v>1.6</v>
      </c>
      <c r="J681" s="9" t="n">
        <v>0.019</v>
      </c>
      <c r="K681" s="49" t="inlineStr">
        <is>
          <t>Success</t>
        </is>
      </c>
      <c r="L681" s="7" t="n">
        <v>0.2983014679752085</v>
      </c>
      <c r="M681" s="7" t="n">
        <v>0</v>
      </c>
      <c r="N681" s="7" t="n">
        <v>2.386411743801668</v>
      </c>
    </row>
    <row r="682" ht="18" customHeight="1">
      <c r="A682" s="49" t="inlineStr">
        <is>
          <t>ACE-10681</t>
        </is>
      </c>
      <c r="B682" s="49" t="inlineStr">
        <is>
          <t>2026-05-03 10:30:59</t>
        </is>
      </c>
      <c r="C682" s="49" t="inlineStr">
        <is>
          <t>CUST-89337</t>
        </is>
      </c>
      <c r="D682" s="49" t="inlineStr">
        <is>
          <t>GBP-PKR</t>
        </is>
      </c>
      <c r="E682" s="49" t="inlineStr">
        <is>
          <t>GBP</t>
        </is>
      </c>
      <c r="F682" s="7" t="n">
        <v>299.4528001290474</v>
      </c>
      <c r="G682" s="8" t="n">
        <v>1</v>
      </c>
      <c r="H682" s="7" t="n">
        <v>299.4528001290474</v>
      </c>
      <c r="I682" s="7" t="n">
        <v>1.5</v>
      </c>
      <c r="J682" s="9" t="n">
        <v>0.021</v>
      </c>
      <c r="K682" s="49" t="inlineStr">
        <is>
          <t>Success</t>
        </is>
      </c>
      <c r="L682" s="7" t="n">
        <v>0.4491792001935712</v>
      </c>
      <c r="M682" s="7" t="n">
        <v>0</v>
      </c>
      <c r="N682" s="7" t="n">
        <v>3.593433601548569</v>
      </c>
    </row>
    <row r="683" ht="18" customHeight="1">
      <c r="A683" s="49" t="inlineStr">
        <is>
          <t>ACE-10682</t>
        </is>
      </c>
      <c r="B683" s="49" t="inlineStr">
        <is>
          <t>2026-05-08 13:05:38</t>
        </is>
      </c>
      <c r="C683" s="49" t="inlineStr">
        <is>
          <t>CUST-52474</t>
        </is>
      </c>
      <c r="D683" s="49" t="inlineStr">
        <is>
          <t>USD-PKR</t>
        </is>
      </c>
      <c r="E683" s="49" t="inlineStr">
        <is>
          <t>USD</t>
        </is>
      </c>
      <c r="F683" s="7" t="n">
        <v>195.5316715720869</v>
      </c>
      <c r="G683" s="8" t="n">
        <v>0.8</v>
      </c>
      <c r="H683" s="7" t="n">
        <v>156.4253372576695</v>
      </c>
      <c r="I683" s="7" t="n">
        <v>1.6</v>
      </c>
      <c r="J683" s="9" t="n">
        <v>0.019</v>
      </c>
      <c r="K683" s="49" t="inlineStr">
        <is>
          <t>Success</t>
        </is>
      </c>
      <c r="L683" s="7" t="n">
        <v>0.2346380058865042</v>
      </c>
      <c r="M683" s="7" t="n">
        <v>0.4692760117730085</v>
      </c>
      <c r="N683" s="7" t="n">
        <v>1.877104047092034</v>
      </c>
    </row>
    <row r="684" ht="18" customHeight="1">
      <c r="A684" s="49" t="inlineStr">
        <is>
          <t>ACE-10683</t>
        </is>
      </c>
      <c r="B684" s="49" t="inlineStr">
        <is>
          <t>2026-05-13 17:41:33</t>
        </is>
      </c>
      <c r="C684" s="49" t="inlineStr">
        <is>
          <t>CUST-68774</t>
        </is>
      </c>
      <c r="D684" s="49" t="inlineStr">
        <is>
          <t>GBP-PKR</t>
        </is>
      </c>
      <c r="E684" s="49" t="inlineStr">
        <is>
          <t>GBP</t>
        </is>
      </c>
      <c r="F684" s="7" t="n">
        <v>264.3668115713921</v>
      </c>
      <c r="G684" s="8" t="n">
        <v>1</v>
      </c>
      <c r="H684" s="7" t="n">
        <v>264.3668115713921</v>
      </c>
      <c r="I684" s="7" t="n">
        <v>1.5</v>
      </c>
      <c r="J684" s="9" t="n">
        <v>0.021</v>
      </c>
      <c r="K684" s="49" t="inlineStr">
        <is>
          <t>Success</t>
        </is>
      </c>
      <c r="L684" s="7" t="n">
        <v>0.3965502173570881</v>
      </c>
      <c r="M684" s="7" t="n">
        <v>0</v>
      </c>
      <c r="N684" s="7" t="n">
        <v>3.172401738856705</v>
      </c>
    </row>
    <row r="685" ht="18" customHeight="1">
      <c r="A685" s="49" t="inlineStr">
        <is>
          <t>ACE-10684</t>
        </is>
      </c>
      <c r="B685" s="49" t="inlineStr">
        <is>
          <t>2026-05-06 18:31:28</t>
        </is>
      </c>
      <c r="C685" s="49" t="inlineStr">
        <is>
          <t>CUST-50701</t>
        </is>
      </c>
      <c r="D685" s="49" t="inlineStr">
        <is>
          <t>EUR-PKR</t>
        </is>
      </c>
      <c r="E685" s="49" t="inlineStr">
        <is>
          <t>EUR</t>
        </is>
      </c>
      <c r="F685" s="7" t="n">
        <v>198.5342299399904</v>
      </c>
      <c r="G685" s="8" t="n">
        <v>0.85</v>
      </c>
      <c r="H685" s="7" t="n">
        <v>168.7540954489918</v>
      </c>
      <c r="I685" s="7" t="n">
        <v>1.275</v>
      </c>
      <c r="J685" s="9" t="n">
        <v>0.023</v>
      </c>
      <c r="K685" s="49" t="inlineStr">
        <is>
          <t>Success</t>
        </is>
      </c>
      <c r="L685" s="7" t="n">
        <v>0.2531311431734878</v>
      </c>
      <c r="M685" s="7" t="n">
        <v>0.5062622863469756</v>
      </c>
      <c r="N685" s="7" t="n">
        <v>2.531311431734878</v>
      </c>
    </row>
    <row r="686" ht="18" customHeight="1">
      <c r="A686" s="49" t="inlineStr">
        <is>
          <t>ACE-10685</t>
        </is>
      </c>
      <c r="B686" s="49" t="inlineStr">
        <is>
          <t>2026-05-17 12:12:02</t>
        </is>
      </c>
      <c r="C686" s="49" t="inlineStr">
        <is>
          <t>CUST-89289</t>
        </is>
      </c>
      <c r="D686" s="49" t="inlineStr">
        <is>
          <t>USD-PKR</t>
        </is>
      </c>
      <c r="E686" s="49" t="inlineStr">
        <is>
          <t>USD</t>
        </is>
      </c>
      <c r="F686" s="7" t="n">
        <v>193.7201836327262</v>
      </c>
      <c r="G686" s="8" t="n">
        <v>0.8</v>
      </c>
      <c r="H686" s="7" t="n">
        <v>154.976146906181</v>
      </c>
      <c r="I686" s="7" t="n">
        <v>1.6</v>
      </c>
      <c r="J686" s="9" t="n">
        <v>0.019</v>
      </c>
      <c r="K686" s="49" t="inlineStr">
        <is>
          <t>Success</t>
        </is>
      </c>
      <c r="L686" s="7" t="n">
        <v>0.2324642203592714</v>
      </c>
      <c r="M686" s="7" t="n">
        <v>0.4649284407185429</v>
      </c>
      <c r="N686" s="7" t="n">
        <v>1.859713762874172</v>
      </c>
    </row>
    <row r="687" ht="18" customHeight="1">
      <c r="A687" s="49" t="inlineStr">
        <is>
          <t>ACE-10686</t>
        </is>
      </c>
      <c r="B687" s="49" t="inlineStr">
        <is>
          <t>2026-05-20 10:43:02</t>
        </is>
      </c>
      <c r="C687" s="49" t="inlineStr">
        <is>
          <t>CUST-73575</t>
        </is>
      </c>
      <c r="D687" s="49" t="inlineStr">
        <is>
          <t>USD-PKR</t>
        </is>
      </c>
      <c r="E687" s="49" t="inlineStr">
        <is>
          <t>USD</t>
        </is>
      </c>
      <c r="F687" s="7" t="n">
        <v>235.0803544127877</v>
      </c>
      <c r="G687" s="8" t="n">
        <v>0.8</v>
      </c>
      <c r="H687" s="7" t="n">
        <v>188.0642835302302</v>
      </c>
      <c r="I687" s="7" t="n">
        <v>1.6</v>
      </c>
      <c r="J687" s="9" t="n">
        <v>0.019</v>
      </c>
      <c r="K687" s="49" t="inlineStr">
        <is>
          <t>Success</t>
        </is>
      </c>
      <c r="L687" s="7" t="n">
        <v>0.2820964252953453</v>
      </c>
      <c r="M687" s="7" t="n">
        <v>0</v>
      </c>
      <c r="N687" s="7" t="n">
        <v>2.256771402362762</v>
      </c>
    </row>
    <row r="688" ht="18" customHeight="1">
      <c r="A688" s="49" t="inlineStr">
        <is>
          <t>ACE-10687</t>
        </is>
      </c>
      <c r="B688" s="49" t="inlineStr">
        <is>
          <t>2026-05-06 09:17:49</t>
        </is>
      </c>
      <c r="C688" s="49" t="inlineStr">
        <is>
          <t>CUST-76177</t>
        </is>
      </c>
      <c r="D688" s="49" t="inlineStr">
        <is>
          <t>EUR-PKR</t>
        </is>
      </c>
      <c r="E688" s="49" t="inlineStr">
        <is>
          <t>EUR</t>
        </is>
      </c>
      <c r="F688" s="7" t="n">
        <v>184.5631225009304</v>
      </c>
      <c r="G688" s="8" t="n">
        <v>0.85</v>
      </c>
      <c r="H688" s="7" t="n">
        <v>156.8786541257908</v>
      </c>
      <c r="I688" s="7" t="n">
        <v>1.275</v>
      </c>
      <c r="J688" s="9" t="n">
        <v>0.023</v>
      </c>
      <c r="K688" s="49" t="inlineStr">
        <is>
          <t>Success</t>
        </is>
      </c>
      <c r="L688" s="7" t="n">
        <v>0.2353179811886862</v>
      </c>
      <c r="M688" s="7" t="n">
        <v>0</v>
      </c>
      <c r="N688" s="7" t="n">
        <v>2.353179811886862</v>
      </c>
    </row>
    <row r="689" ht="18" customHeight="1">
      <c r="A689" s="49" t="inlineStr">
        <is>
          <t>ACE-10688</t>
        </is>
      </c>
      <c r="B689" s="49" t="inlineStr">
        <is>
          <t>2026-05-19 11:33:00</t>
        </is>
      </c>
      <c r="C689" s="49" t="inlineStr">
        <is>
          <t>CUST-98295</t>
        </is>
      </c>
      <c r="D689" s="49" t="inlineStr">
        <is>
          <t>GBP-PKR</t>
        </is>
      </c>
      <c r="E689" s="49" t="inlineStr">
        <is>
          <t>GBP</t>
        </is>
      </c>
      <c r="F689" s="7" t="n">
        <v>268.3541390063556</v>
      </c>
      <c r="G689" s="8" t="n">
        <v>1</v>
      </c>
      <c r="H689" s="7" t="n">
        <v>268.3541390063556</v>
      </c>
      <c r="I689" s="7" t="n">
        <v>1.5</v>
      </c>
      <c r="J689" s="9" t="n">
        <v>0.021</v>
      </c>
      <c r="K689" s="49" t="inlineStr">
        <is>
          <t>Success</t>
        </is>
      </c>
      <c r="L689" s="7" t="n">
        <v>0.4025312085095334</v>
      </c>
      <c r="M689" s="7" t="n">
        <v>0.8050624170190668</v>
      </c>
      <c r="N689" s="7" t="n">
        <v>3.220249668076267</v>
      </c>
    </row>
    <row r="690" ht="18" customHeight="1">
      <c r="A690" s="49" t="inlineStr">
        <is>
          <t>ACE-10689</t>
        </is>
      </c>
      <c r="B690" s="49" t="inlineStr">
        <is>
          <t>2026-05-18 12:46:53</t>
        </is>
      </c>
      <c r="C690" s="49" t="inlineStr">
        <is>
          <t>CUST-86642</t>
        </is>
      </c>
      <c r="D690" s="49" t="inlineStr">
        <is>
          <t>GBP-PKR</t>
        </is>
      </c>
      <c r="E690" s="49" t="inlineStr">
        <is>
          <t>GBP</t>
        </is>
      </c>
      <c r="F690" s="7" t="n">
        <v>299.1321951678126</v>
      </c>
      <c r="G690" s="8" t="n">
        <v>1</v>
      </c>
      <c r="H690" s="7" t="n">
        <v>299.1321951678126</v>
      </c>
      <c r="I690" s="7" t="n">
        <v>1.5</v>
      </c>
      <c r="J690" s="9" t="n">
        <v>0.021</v>
      </c>
      <c r="K690" s="49" t="inlineStr">
        <is>
          <t>Success</t>
        </is>
      </c>
      <c r="L690" s="7" t="n">
        <v>0.4486982927517189</v>
      </c>
      <c r="M690" s="7" t="n">
        <v>0</v>
      </c>
      <c r="N690" s="7" t="n">
        <v>3.589586342013751</v>
      </c>
    </row>
    <row r="691" ht="18" customHeight="1">
      <c r="A691" s="49" t="inlineStr">
        <is>
          <t>ACE-10690</t>
        </is>
      </c>
      <c r="B691" s="49" t="inlineStr">
        <is>
          <t>2026-05-09 11:38:12</t>
        </is>
      </c>
      <c r="C691" s="49" t="inlineStr">
        <is>
          <t>CUST-79803</t>
        </is>
      </c>
      <c r="D691" s="49" t="inlineStr">
        <is>
          <t>GBP-PKR</t>
        </is>
      </c>
      <c r="E691" s="49" t="inlineStr">
        <is>
          <t>GBP</t>
        </is>
      </c>
      <c r="F691" s="7" t="n">
        <v>291.2598821164473</v>
      </c>
      <c r="G691" s="8" t="n">
        <v>1</v>
      </c>
      <c r="H691" s="7" t="n">
        <v>291.2598821164473</v>
      </c>
      <c r="I691" s="7" t="n">
        <v>1.5</v>
      </c>
      <c r="J691" s="9" t="n">
        <v>0.021</v>
      </c>
      <c r="K691" s="49" t="inlineStr">
        <is>
          <t>Success</t>
        </is>
      </c>
      <c r="L691" s="7" t="n">
        <v>0.436889823174671</v>
      </c>
      <c r="M691" s="7" t="n">
        <v>0</v>
      </c>
      <c r="N691" s="7" t="n">
        <v>3.495118585397368</v>
      </c>
    </row>
    <row r="692" ht="18" customHeight="1">
      <c r="A692" s="49" t="inlineStr">
        <is>
          <t>ACE-10691</t>
        </is>
      </c>
      <c r="B692" s="49" t="inlineStr">
        <is>
          <t>2026-05-09 10:26:32</t>
        </is>
      </c>
      <c r="C692" s="49" t="inlineStr">
        <is>
          <t>CUST-56977</t>
        </is>
      </c>
      <c r="D692" s="49" t="inlineStr">
        <is>
          <t>GBP-PKR</t>
        </is>
      </c>
      <c r="E692" s="49" t="inlineStr">
        <is>
          <t>GBP</t>
        </is>
      </c>
      <c r="F692" s="7" t="n">
        <v>268.7261917249818</v>
      </c>
      <c r="G692" s="8" t="n">
        <v>1</v>
      </c>
      <c r="H692" s="7" t="n">
        <v>268.7261917249818</v>
      </c>
      <c r="I692" s="7" t="n">
        <v>1.5</v>
      </c>
      <c r="J692" s="9" t="n">
        <v>0.021</v>
      </c>
      <c r="K692" s="49" t="inlineStr">
        <is>
          <t>Success</t>
        </is>
      </c>
      <c r="L692" s="7" t="n">
        <v>0.4030892875874728</v>
      </c>
      <c r="M692" s="7" t="n">
        <v>0</v>
      </c>
      <c r="N692" s="7" t="n">
        <v>3.224714300699782</v>
      </c>
    </row>
    <row r="693" ht="18" customHeight="1">
      <c r="A693" s="49" t="inlineStr">
        <is>
          <t>ACE-10692</t>
        </is>
      </c>
      <c r="B693" s="49" t="inlineStr">
        <is>
          <t>2026-05-11 09:51:32</t>
        </is>
      </c>
      <c r="C693" s="49" t="inlineStr">
        <is>
          <t>CUST-66888</t>
        </is>
      </c>
      <c r="D693" s="49" t="inlineStr">
        <is>
          <t>GBP-PKR</t>
        </is>
      </c>
      <c r="E693" s="49" t="inlineStr">
        <is>
          <t>GBP</t>
        </is>
      </c>
      <c r="F693" s="7" t="n">
        <v>312.849606141276</v>
      </c>
      <c r="G693" s="8" t="n">
        <v>1</v>
      </c>
      <c r="H693" s="7" t="n">
        <v>312.849606141276</v>
      </c>
      <c r="I693" s="7" t="n">
        <v>1.5</v>
      </c>
      <c r="J693" s="9" t="n">
        <v>0.021</v>
      </c>
      <c r="K693" s="49" t="inlineStr">
        <is>
          <t>Success</t>
        </is>
      </c>
      <c r="L693" s="7" t="n">
        <v>0.469274409211914</v>
      </c>
      <c r="M693" s="7" t="n">
        <v>0.9385488184238281</v>
      </c>
      <c r="N693" s="7" t="n">
        <v>3.754195273695312</v>
      </c>
    </row>
    <row r="694" ht="18" customHeight="1">
      <c r="A694" s="49" t="inlineStr">
        <is>
          <t>ACE-10693</t>
        </is>
      </c>
      <c r="B694" s="49" t="inlineStr">
        <is>
          <t>2026-05-19 12:44:28</t>
        </is>
      </c>
      <c r="C694" s="49" t="inlineStr">
        <is>
          <t>CUST-74712</t>
        </is>
      </c>
      <c r="D694" s="49" t="inlineStr">
        <is>
          <t>GBP-PKR</t>
        </is>
      </c>
      <c r="E694" s="49" t="inlineStr">
        <is>
          <t>GBP</t>
        </is>
      </c>
      <c r="F694" s="7" t="n">
        <v>250.0555943172933</v>
      </c>
      <c r="G694" s="8" t="n">
        <v>1</v>
      </c>
      <c r="H694" s="7" t="n">
        <v>250.0555943172933</v>
      </c>
      <c r="I694" s="7" t="n">
        <v>1.5</v>
      </c>
      <c r="J694" s="9" t="n">
        <v>0.021</v>
      </c>
      <c r="K694" s="49" t="inlineStr">
        <is>
          <t>Success</t>
        </is>
      </c>
      <c r="L694" s="7" t="n">
        <v>0.3750833914759399</v>
      </c>
      <c r="M694" s="7" t="n">
        <v>0.7501667829518799</v>
      </c>
      <c r="N694" s="7" t="n">
        <v>3.00066713180752</v>
      </c>
    </row>
    <row r="695" ht="18" customHeight="1">
      <c r="A695" s="49" t="inlineStr">
        <is>
          <t>ACE-10694</t>
        </is>
      </c>
      <c r="B695" s="49" t="inlineStr">
        <is>
          <t>2026-05-11 20:29:43</t>
        </is>
      </c>
      <c r="C695" s="49" t="inlineStr">
        <is>
          <t>CUST-80193</t>
        </is>
      </c>
      <c r="D695" s="49" t="inlineStr">
        <is>
          <t>GBP-PKR</t>
        </is>
      </c>
      <c r="E695" s="49" t="inlineStr">
        <is>
          <t>GBP</t>
        </is>
      </c>
      <c r="F695" s="7" t="n">
        <v>296.3031731778867</v>
      </c>
      <c r="G695" s="8" t="n">
        <v>1</v>
      </c>
      <c r="H695" s="7" t="n">
        <v>296.3031731778867</v>
      </c>
      <c r="I695" s="7" t="n">
        <v>1.5</v>
      </c>
      <c r="J695" s="9" t="n">
        <v>0.021</v>
      </c>
      <c r="K695" s="49" t="inlineStr">
        <is>
          <t>Success</t>
        </is>
      </c>
      <c r="L695" s="7" t="n">
        <v>0.44445475976683</v>
      </c>
      <c r="M695" s="7" t="n">
        <v>0.88890951953366</v>
      </c>
      <c r="N695" s="7" t="n">
        <v>3.55563807813464</v>
      </c>
    </row>
    <row r="696" ht="18" customHeight="1">
      <c r="A696" s="49" t="inlineStr">
        <is>
          <t>ACE-10695</t>
        </is>
      </c>
      <c r="B696" s="49" t="inlineStr">
        <is>
          <t>2026-05-16 09:16:04</t>
        </is>
      </c>
      <c r="C696" s="49" t="inlineStr">
        <is>
          <t>CUST-75078</t>
        </is>
      </c>
      <c r="D696" s="49" t="inlineStr">
        <is>
          <t>GBP-PKR</t>
        </is>
      </c>
      <c r="E696" s="49" t="inlineStr">
        <is>
          <t>GBP</t>
        </is>
      </c>
      <c r="F696" s="7" t="n">
        <v>295.6273560578312</v>
      </c>
      <c r="G696" s="8" t="n">
        <v>1</v>
      </c>
      <c r="H696" s="7" t="n">
        <v>295.6273560578312</v>
      </c>
      <c r="I696" s="7" t="n">
        <v>1.5</v>
      </c>
      <c r="J696" s="9" t="n">
        <v>0.021</v>
      </c>
      <c r="K696" s="49" t="inlineStr">
        <is>
          <t>Success</t>
        </is>
      </c>
      <c r="L696" s="7" t="n">
        <v>0.4434410340867468</v>
      </c>
      <c r="M696" s="7" t="n">
        <v>0.8868820681734937</v>
      </c>
      <c r="N696" s="7" t="n">
        <v>3.547528272693975</v>
      </c>
    </row>
    <row r="697" ht="18" customHeight="1">
      <c r="A697" s="49" t="inlineStr">
        <is>
          <t>ACE-10696</t>
        </is>
      </c>
      <c r="B697" s="49" t="inlineStr">
        <is>
          <t>2026-05-22 19:14:51</t>
        </is>
      </c>
      <c r="C697" s="49" t="inlineStr">
        <is>
          <t>CUST-70691</t>
        </is>
      </c>
      <c r="D697" s="49" t="inlineStr">
        <is>
          <t>GBP-PKR</t>
        </is>
      </c>
      <c r="E697" s="49" t="inlineStr">
        <is>
          <t>GBP</t>
        </is>
      </c>
      <c r="F697" s="7" t="n">
        <v>270.1115330946704</v>
      </c>
      <c r="G697" s="8" t="n">
        <v>1</v>
      </c>
      <c r="H697" s="7" t="n">
        <v>270.1115330946704</v>
      </c>
      <c r="I697" s="7" t="n">
        <v>1.5</v>
      </c>
      <c r="J697" s="9" t="n">
        <v>0.021</v>
      </c>
      <c r="K697" s="49" t="inlineStr">
        <is>
          <t>Success</t>
        </is>
      </c>
      <c r="L697" s="7" t="n">
        <v>0.4051672996420056</v>
      </c>
      <c r="M697" s="7" t="n">
        <v>0</v>
      </c>
      <c r="N697" s="7" t="n">
        <v>3.241338397136045</v>
      </c>
    </row>
    <row r="698" ht="18" customHeight="1">
      <c r="A698" s="49" t="inlineStr">
        <is>
          <t>ACE-10697</t>
        </is>
      </c>
      <c r="B698" s="49" t="inlineStr">
        <is>
          <t>2026-05-18 08:44:53</t>
        </is>
      </c>
      <c r="C698" s="49" t="inlineStr">
        <is>
          <t>CUST-67258</t>
        </is>
      </c>
      <c r="D698" s="49" t="inlineStr">
        <is>
          <t>GBP-PKR</t>
        </is>
      </c>
      <c r="E698" s="49" t="inlineStr">
        <is>
          <t>GBP</t>
        </is>
      </c>
      <c r="F698" s="7" t="n">
        <v>287.8394632339464</v>
      </c>
      <c r="G698" s="8" t="n">
        <v>1</v>
      </c>
      <c r="H698" s="7" t="n">
        <v>287.8394632339464</v>
      </c>
      <c r="I698" s="7" t="n">
        <v>1.5</v>
      </c>
      <c r="J698" s="9" t="n">
        <v>0.021</v>
      </c>
      <c r="K698" s="49" t="inlineStr">
        <is>
          <t>Success</t>
        </is>
      </c>
      <c r="L698" s="7" t="n">
        <v>0.4317591948509196</v>
      </c>
      <c r="M698" s="7" t="n">
        <v>0</v>
      </c>
      <c r="N698" s="7" t="n">
        <v>3.454073558807357</v>
      </c>
    </row>
    <row r="699" ht="18" customHeight="1">
      <c r="A699" s="49" t="inlineStr">
        <is>
          <t>ACE-10698</t>
        </is>
      </c>
      <c r="B699" s="49" t="inlineStr">
        <is>
          <t>2026-05-22 19:52:21</t>
        </is>
      </c>
      <c r="C699" s="49" t="inlineStr">
        <is>
          <t>CUST-54982</t>
        </is>
      </c>
      <c r="D699" s="49" t="inlineStr">
        <is>
          <t>GBP-PKR</t>
        </is>
      </c>
      <c r="E699" s="49" t="inlineStr">
        <is>
          <t>GBP</t>
        </is>
      </c>
      <c r="F699" s="7" t="n">
        <v>245.839343044733</v>
      </c>
      <c r="G699" s="8" t="n">
        <v>1</v>
      </c>
      <c r="H699" s="7" t="n">
        <v>245.839343044733</v>
      </c>
      <c r="I699" s="7" t="n">
        <v>1.5</v>
      </c>
      <c r="J699" s="9" t="n">
        <v>0.021</v>
      </c>
      <c r="K699" s="49" t="inlineStr">
        <is>
          <t>Success</t>
        </is>
      </c>
      <c r="L699" s="7" t="n">
        <v>0.3687590145670995</v>
      </c>
      <c r="M699" s="7" t="n">
        <v>0</v>
      </c>
      <c r="N699" s="7" t="n">
        <v>2.950072116536796</v>
      </c>
    </row>
    <row r="700" ht="18" customHeight="1">
      <c r="A700" s="49" t="inlineStr">
        <is>
          <t>ACE-10699</t>
        </is>
      </c>
      <c r="B700" s="49" t="inlineStr">
        <is>
          <t>2026-05-11 13:13:57</t>
        </is>
      </c>
      <c r="C700" s="49" t="inlineStr">
        <is>
          <t>CUST-87598</t>
        </is>
      </c>
      <c r="D700" s="49" t="inlineStr">
        <is>
          <t>GBP-PKR</t>
        </is>
      </c>
      <c r="E700" s="49" t="inlineStr">
        <is>
          <t>GBP</t>
        </is>
      </c>
      <c r="F700" s="7" t="n">
        <v>305.5741008244603</v>
      </c>
      <c r="G700" s="8" t="n">
        <v>1</v>
      </c>
      <c r="H700" s="7" t="n">
        <v>305.5741008244603</v>
      </c>
      <c r="I700" s="7" t="n">
        <v>1.5</v>
      </c>
      <c r="J700" s="9" t="n">
        <v>0.021</v>
      </c>
      <c r="K700" s="49" t="inlineStr">
        <is>
          <t>Success</t>
        </is>
      </c>
      <c r="L700" s="7" t="n">
        <v>0.4583611512366905</v>
      </c>
      <c r="M700" s="7" t="n">
        <v>0.9167223024733809</v>
      </c>
      <c r="N700" s="7" t="n">
        <v>3.666889209893524</v>
      </c>
    </row>
    <row r="701" ht="18" customHeight="1">
      <c r="A701" s="49" t="inlineStr">
        <is>
          <t>ACE-10700</t>
        </is>
      </c>
      <c r="B701" s="49" t="inlineStr">
        <is>
          <t>2026-05-22 11:31:47</t>
        </is>
      </c>
      <c r="C701" s="49" t="inlineStr">
        <is>
          <t>CUST-63085</t>
        </is>
      </c>
      <c r="D701" s="49" t="inlineStr">
        <is>
          <t>USD-PKR</t>
        </is>
      </c>
      <c r="E701" s="49" t="inlineStr">
        <is>
          <t>USD</t>
        </is>
      </c>
      <c r="F701" s="7" t="n">
        <v>214.8923774300984</v>
      </c>
      <c r="G701" s="8" t="n">
        <v>0.8</v>
      </c>
      <c r="H701" s="7" t="n">
        <v>171.9139019440788</v>
      </c>
      <c r="I701" s="7" t="n">
        <v>1.6</v>
      </c>
      <c r="J701" s="9" t="n">
        <v>0.019</v>
      </c>
      <c r="K701" s="49" t="inlineStr">
        <is>
          <t>Success</t>
        </is>
      </c>
      <c r="L701" s="7" t="n">
        <v>0.2578708529161182</v>
      </c>
      <c r="M701" s="7" t="n">
        <v>0</v>
      </c>
      <c r="N701" s="7" t="n">
        <v>2.062966823328945</v>
      </c>
    </row>
    <row r="702" ht="18" customHeight="1">
      <c r="A702" s="49" t="inlineStr">
        <is>
          <t>ACE-10701</t>
        </is>
      </c>
      <c r="B702" s="49" t="inlineStr">
        <is>
          <t>2026-05-09 11:14:12</t>
        </is>
      </c>
      <c r="C702" s="49" t="inlineStr">
        <is>
          <t>CUST-66364</t>
        </is>
      </c>
      <c r="D702" s="49" t="inlineStr">
        <is>
          <t>GBP-PKR</t>
        </is>
      </c>
      <c r="E702" s="49" t="inlineStr">
        <is>
          <t>GBP</t>
        </is>
      </c>
      <c r="F702" s="7" t="n">
        <v>264.4143290544316</v>
      </c>
      <c r="G702" s="8" t="n">
        <v>1</v>
      </c>
      <c r="H702" s="7" t="n">
        <v>264.4143290544316</v>
      </c>
      <c r="I702" s="7" t="n">
        <v>1.5</v>
      </c>
      <c r="J702" s="9" t="n">
        <v>0.021</v>
      </c>
      <c r="K702" s="49" t="inlineStr">
        <is>
          <t>Success</t>
        </is>
      </c>
      <c r="L702" s="7" t="n">
        <v>0.3966214935816474</v>
      </c>
      <c r="M702" s="7" t="n">
        <v>0</v>
      </c>
      <c r="N702" s="7" t="n">
        <v>3.17297194865318</v>
      </c>
    </row>
    <row r="703" ht="18" customHeight="1">
      <c r="A703" s="49" t="inlineStr">
        <is>
          <t>ACE-10702</t>
        </is>
      </c>
      <c r="B703" s="49" t="inlineStr">
        <is>
          <t>2026-05-04 09:58:05</t>
        </is>
      </c>
      <c r="C703" s="49" t="inlineStr">
        <is>
          <t>CUST-94290</t>
        </is>
      </c>
      <c r="D703" s="49" t="inlineStr">
        <is>
          <t>GBP-PKR</t>
        </is>
      </c>
      <c r="E703" s="49" t="inlineStr">
        <is>
          <t>GBP</t>
        </is>
      </c>
      <c r="F703" s="7" t="n">
        <v>309.4171992857924</v>
      </c>
      <c r="G703" s="8" t="n">
        <v>1</v>
      </c>
      <c r="H703" s="7" t="n">
        <v>309.4171992857924</v>
      </c>
      <c r="I703" s="7" t="n">
        <v>1.5</v>
      </c>
      <c r="J703" s="9" t="n">
        <v>0.021</v>
      </c>
      <c r="K703" s="49" t="inlineStr">
        <is>
          <t>Success</t>
        </is>
      </c>
      <c r="L703" s="7" t="n">
        <v>0.4641257989286886</v>
      </c>
      <c r="M703" s="7" t="n">
        <v>0</v>
      </c>
      <c r="N703" s="7" t="n">
        <v>3.713006391429509</v>
      </c>
    </row>
    <row r="704" ht="18" customHeight="1">
      <c r="A704" s="49" t="inlineStr">
        <is>
          <t>ACE-10703</t>
        </is>
      </c>
      <c r="B704" s="49" t="inlineStr">
        <is>
          <t>2026-05-01 20:54:34</t>
        </is>
      </c>
      <c r="C704" s="49" t="inlineStr">
        <is>
          <t>CUST-52769</t>
        </is>
      </c>
      <c r="D704" s="49" t="inlineStr">
        <is>
          <t>GBP-PKR</t>
        </is>
      </c>
      <c r="E704" s="49" t="inlineStr">
        <is>
          <t>GBP</t>
        </is>
      </c>
      <c r="F704" s="7" t="n">
        <v>259.6553654175041</v>
      </c>
      <c r="G704" s="8" t="n">
        <v>1</v>
      </c>
      <c r="H704" s="7" t="n">
        <v>259.6553654175041</v>
      </c>
      <c r="I704" s="7" t="n">
        <v>1.5</v>
      </c>
      <c r="J704" s="9" t="n">
        <v>0.021</v>
      </c>
      <c r="K704" s="49" t="inlineStr">
        <is>
          <t>Success</t>
        </is>
      </c>
      <c r="L704" s="7" t="n">
        <v>0.3894830481262561</v>
      </c>
      <c r="M704" s="7" t="n">
        <v>0</v>
      </c>
      <c r="N704" s="7" t="n">
        <v>3.115864385010049</v>
      </c>
    </row>
    <row r="705" ht="18" customHeight="1">
      <c r="A705" s="49" t="inlineStr">
        <is>
          <t>ACE-10704</t>
        </is>
      </c>
      <c r="B705" s="49" t="inlineStr">
        <is>
          <t>2026-05-11 15:57:56</t>
        </is>
      </c>
      <c r="C705" s="49" t="inlineStr">
        <is>
          <t>CUST-87651</t>
        </is>
      </c>
      <c r="D705" s="49" t="inlineStr">
        <is>
          <t>EUR-PKR</t>
        </is>
      </c>
      <c r="E705" s="49" t="inlineStr">
        <is>
          <t>EUR</t>
        </is>
      </c>
      <c r="F705" s="7" t="n">
        <v>164.2152295182766</v>
      </c>
      <c r="G705" s="8" t="n">
        <v>0.85</v>
      </c>
      <c r="H705" s="7" t="n">
        <v>139.5829450905351</v>
      </c>
      <c r="I705" s="7" t="n">
        <v>1.275</v>
      </c>
      <c r="J705" s="9" t="n">
        <v>0.023</v>
      </c>
      <c r="K705" s="49" t="inlineStr">
        <is>
          <t>Success</t>
        </is>
      </c>
      <c r="L705" s="7" t="n">
        <v>0.2093744176358026</v>
      </c>
      <c r="M705" s="7" t="n">
        <v>0</v>
      </c>
      <c r="N705" s="7" t="n">
        <v>2.093744176358026</v>
      </c>
    </row>
    <row r="706" ht="18" customHeight="1">
      <c r="A706" s="49" t="inlineStr">
        <is>
          <t>ACE-10705</t>
        </is>
      </c>
      <c r="B706" s="49" t="inlineStr">
        <is>
          <t>2026-05-17 12:25:14</t>
        </is>
      </c>
      <c r="C706" s="49" t="inlineStr">
        <is>
          <t>CUST-99163</t>
        </is>
      </c>
      <c r="D706" s="49" t="inlineStr">
        <is>
          <t>GBP-PKR</t>
        </is>
      </c>
      <c r="E706" s="49" t="inlineStr">
        <is>
          <t>GBP</t>
        </is>
      </c>
      <c r="F706" s="7" t="n">
        <v>238.4421410732793</v>
      </c>
      <c r="G706" s="8" t="n">
        <v>1</v>
      </c>
      <c r="H706" s="7" t="n">
        <v>238.4421410732793</v>
      </c>
      <c r="I706" s="7" t="n">
        <v>1.5</v>
      </c>
      <c r="J706" s="9" t="n">
        <v>0.021</v>
      </c>
      <c r="K706" s="49" t="inlineStr">
        <is>
          <t>Success</t>
        </is>
      </c>
      <c r="L706" s="7" t="n">
        <v>0.3576632116099189</v>
      </c>
      <c r="M706" s="7" t="n">
        <v>0</v>
      </c>
      <c r="N706" s="7" t="n">
        <v>2.861305692879351</v>
      </c>
    </row>
    <row r="707" ht="18" customHeight="1">
      <c r="A707" s="49" t="inlineStr">
        <is>
          <t>ACE-10706</t>
        </is>
      </c>
      <c r="B707" s="49" t="inlineStr">
        <is>
          <t>2026-05-14 15:34:02</t>
        </is>
      </c>
      <c r="C707" s="49" t="inlineStr">
        <is>
          <t>CUST-82930</t>
        </is>
      </c>
      <c r="D707" s="49" t="inlineStr">
        <is>
          <t>GBP-PKR</t>
        </is>
      </c>
      <c r="E707" s="49" t="inlineStr">
        <is>
          <t>GBP</t>
        </is>
      </c>
      <c r="F707" s="7" t="n">
        <v>296.0092187615606</v>
      </c>
      <c r="G707" s="8" t="n">
        <v>1</v>
      </c>
      <c r="H707" s="7" t="n">
        <v>296.0092187615606</v>
      </c>
      <c r="I707" s="7" t="n">
        <v>1.5</v>
      </c>
      <c r="J707" s="9" t="n">
        <v>0.021</v>
      </c>
      <c r="K707" s="49" t="inlineStr">
        <is>
          <t>Success</t>
        </is>
      </c>
      <c r="L707" s="7" t="n">
        <v>0.444013828142341</v>
      </c>
      <c r="M707" s="7" t="n">
        <v>0.8880276562846819</v>
      </c>
      <c r="N707" s="7" t="n">
        <v>3.552110625138728</v>
      </c>
    </row>
    <row r="708" ht="18" customHeight="1">
      <c r="A708" s="49" t="inlineStr">
        <is>
          <t>ACE-10707</t>
        </is>
      </c>
      <c r="B708" s="49" t="inlineStr">
        <is>
          <t>2026-05-06 15:07:44</t>
        </is>
      </c>
      <c r="C708" s="49" t="inlineStr">
        <is>
          <t>CUST-83961</t>
        </is>
      </c>
      <c r="D708" s="49" t="inlineStr">
        <is>
          <t>GBP-PKR</t>
        </is>
      </c>
      <c r="E708" s="49" t="inlineStr">
        <is>
          <t>GBP</t>
        </is>
      </c>
      <c r="F708" s="7" t="n">
        <v>245.1197012889577</v>
      </c>
      <c r="G708" s="8" t="n">
        <v>1</v>
      </c>
      <c r="H708" s="7" t="n">
        <v>245.1197012889577</v>
      </c>
      <c r="I708" s="7" t="n">
        <v>1.5</v>
      </c>
      <c r="J708" s="9" t="n">
        <v>0.021</v>
      </c>
      <c r="K708" s="49" t="inlineStr">
        <is>
          <t>Success</t>
        </is>
      </c>
      <c r="L708" s="7" t="n">
        <v>0.3676795519334365</v>
      </c>
      <c r="M708" s="7" t="n">
        <v>0.7353591038668731</v>
      </c>
      <c r="N708" s="7" t="n">
        <v>2.941436415467492</v>
      </c>
    </row>
    <row r="709" ht="18" customHeight="1">
      <c r="A709" s="49" t="inlineStr">
        <is>
          <t>ACE-10708</t>
        </is>
      </c>
      <c r="B709" s="49" t="inlineStr">
        <is>
          <t>2026-05-01 18:13:24</t>
        </is>
      </c>
      <c r="C709" s="49" t="inlineStr">
        <is>
          <t>CUST-88076</t>
        </is>
      </c>
      <c r="D709" s="49" t="inlineStr">
        <is>
          <t>USD-PKR</t>
        </is>
      </c>
      <c r="E709" s="49" t="inlineStr">
        <is>
          <t>USD</t>
        </is>
      </c>
      <c r="F709" s="7" t="n">
        <v>260.8921137404694</v>
      </c>
      <c r="G709" s="8" t="n">
        <v>0.8</v>
      </c>
      <c r="H709" s="7" t="n">
        <v>208.7136909923755</v>
      </c>
      <c r="I709" s="7" t="n">
        <v>1.6</v>
      </c>
      <c r="J709" s="9" t="n">
        <v>0.019</v>
      </c>
      <c r="K709" s="49" t="inlineStr">
        <is>
          <t>Success</t>
        </is>
      </c>
      <c r="L709" s="7" t="n">
        <v>0.3130705364885633</v>
      </c>
      <c r="M709" s="7" t="n">
        <v>0</v>
      </c>
      <c r="N709" s="7" t="n">
        <v>2.504564291908506</v>
      </c>
    </row>
    <row r="710" ht="18" customHeight="1">
      <c r="A710" s="49" t="inlineStr">
        <is>
          <t>ACE-10709</t>
        </is>
      </c>
      <c r="B710" s="49" t="inlineStr">
        <is>
          <t>2026-05-09 10:35:16</t>
        </is>
      </c>
      <c r="C710" s="49" t="inlineStr">
        <is>
          <t>CUST-65541</t>
        </is>
      </c>
      <c r="D710" s="49" t="inlineStr">
        <is>
          <t>GBP-PKR</t>
        </is>
      </c>
      <c r="E710" s="49" t="inlineStr">
        <is>
          <t>GBP</t>
        </is>
      </c>
      <c r="F710" s="7" t="n">
        <v>226.2400632731536</v>
      </c>
      <c r="G710" s="8" t="n">
        <v>1</v>
      </c>
      <c r="H710" s="7" t="n">
        <v>226.2400632731536</v>
      </c>
      <c r="I710" s="7" t="n">
        <v>1.5</v>
      </c>
      <c r="J710" s="9" t="n">
        <v>0.021</v>
      </c>
      <c r="K710" s="49" t="inlineStr">
        <is>
          <t>Success</t>
        </is>
      </c>
      <c r="L710" s="7" t="n">
        <v>0.3393600949097303</v>
      </c>
      <c r="M710" s="7" t="n">
        <v>0.6787201898194607</v>
      </c>
      <c r="N710" s="7" t="n">
        <v>2.714880759277843</v>
      </c>
    </row>
    <row r="711" ht="18" customHeight="1">
      <c r="A711" s="49" t="inlineStr">
        <is>
          <t>ACE-10710</t>
        </is>
      </c>
      <c r="B711" s="49" t="inlineStr">
        <is>
          <t>2026-05-11 13:11:31</t>
        </is>
      </c>
      <c r="C711" s="49" t="inlineStr">
        <is>
          <t>CUST-77783</t>
        </is>
      </c>
      <c r="D711" s="49" t="inlineStr">
        <is>
          <t>GBP-PKR</t>
        </is>
      </c>
      <c r="E711" s="49" t="inlineStr">
        <is>
          <t>GBP</t>
        </is>
      </c>
      <c r="F711" s="7" t="n">
        <v>330.1130725948619</v>
      </c>
      <c r="G711" s="8" t="n">
        <v>1</v>
      </c>
      <c r="H711" s="7" t="n">
        <v>330.1130725948619</v>
      </c>
      <c r="I711" s="7" t="n">
        <v>1.5</v>
      </c>
      <c r="J711" s="9" t="n">
        <v>0.021</v>
      </c>
      <c r="K711" s="49" t="inlineStr">
        <is>
          <t>Success</t>
        </is>
      </c>
      <c r="L711" s="7" t="n">
        <v>0.4951696088922929</v>
      </c>
      <c r="M711" s="7" t="n">
        <v>0.9903392177845858</v>
      </c>
      <c r="N711" s="7" t="n">
        <v>3.961356871138343</v>
      </c>
    </row>
    <row r="712" ht="18" customHeight="1">
      <c r="A712" s="49" t="inlineStr">
        <is>
          <t>ACE-10711</t>
        </is>
      </c>
      <c r="B712" s="49" t="inlineStr">
        <is>
          <t>2026-05-12 13:54:25</t>
        </is>
      </c>
      <c r="C712" s="49" t="inlineStr">
        <is>
          <t>CUST-68325</t>
        </is>
      </c>
      <c r="D712" s="49" t="inlineStr">
        <is>
          <t>GBP-PKR</t>
        </is>
      </c>
      <c r="E712" s="49" t="inlineStr">
        <is>
          <t>GBP</t>
        </is>
      </c>
      <c r="F712" s="7" t="n">
        <v>284.5449819595767</v>
      </c>
      <c r="G712" s="8" t="n">
        <v>1</v>
      </c>
      <c r="H712" s="7" t="n">
        <v>284.5449819595767</v>
      </c>
      <c r="I712" s="7" t="n">
        <v>1.5</v>
      </c>
      <c r="J712" s="9" t="n">
        <v>0.021</v>
      </c>
      <c r="K712" s="49" t="inlineStr">
        <is>
          <t>Success</t>
        </is>
      </c>
      <c r="L712" s="7" t="n">
        <v>0.426817472939365</v>
      </c>
      <c r="M712" s="7" t="n">
        <v>0</v>
      </c>
      <c r="N712" s="7" t="n">
        <v>3.41453978351492</v>
      </c>
    </row>
    <row r="713" ht="18" customHeight="1">
      <c r="A713" s="49" t="inlineStr">
        <is>
          <t>ACE-10712</t>
        </is>
      </c>
      <c r="B713" s="49" t="inlineStr">
        <is>
          <t>2026-05-19 18:14:52</t>
        </is>
      </c>
      <c r="C713" s="49" t="inlineStr">
        <is>
          <t>CUST-56545</t>
        </is>
      </c>
      <c r="D713" s="49" t="inlineStr">
        <is>
          <t>GBP-PKR</t>
        </is>
      </c>
      <c r="E713" s="49" t="inlineStr">
        <is>
          <t>GBP</t>
        </is>
      </c>
      <c r="F713" s="7" t="n">
        <v>275.922020667131</v>
      </c>
      <c r="G713" s="8" t="n">
        <v>1</v>
      </c>
      <c r="H713" s="7" t="n">
        <v>275.922020667131</v>
      </c>
      <c r="I713" s="7" t="n">
        <v>1.5</v>
      </c>
      <c r="J713" s="9" t="n">
        <v>0.021</v>
      </c>
      <c r="K713" s="49" t="inlineStr">
        <is>
          <t>Success</t>
        </is>
      </c>
      <c r="L713" s="7" t="n">
        <v>0.4138830310006965</v>
      </c>
      <c r="M713" s="7" t="n">
        <v>0.827766062001393</v>
      </c>
      <c r="N713" s="7" t="n">
        <v>3.311064248005572</v>
      </c>
    </row>
    <row r="714" ht="18" customHeight="1">
      <c r="A714" s="49" t="inlineStr">
        <is>
          <t>ACE-10713</t>
        </is>
      </c>
      <c r="B714" s="49" t="inlineStr">
        <is>
          <t>2026-05-18 14:54:24</t>
        </is>
      </c>
      <c r="C714" s="49" t="inlineStr">
        <is>
          <t>CUST-62849</t>
        </is>
      </c>
      <c r="D714" s="49" t="inlineStr">
        <is>
          <t>GBP-PKR</t>
        </is>
      </c>
      <c r="E714" s="49" t="inlineStr">
        <is>
          <t>GBP</t>
        </is>
      </c>
      <c r="F714" s="7" t="n">
        <v>263.8280841141256</v>
      </c>
      <c r="G714" s="8" t="n">
        <v>1</v>
      </c>
      <c r="H714" s="7" t="n">
        <v>263.8280841141256</v>
      </c>
      <c r="I714" s="7" t="n">
        <v>1.5</v>
      </c>
      <c r="J714" s="9" t="n">
        <v>0.021</v>
      </c>
      <c r="K714" s="49" t="inlineStr">
        <is>
          <t>Success</t>
        </is>
      </c>
      <c r="L714" s="7" t="n">
        <v>0.3957421261711884</v>
      </c>
      <c r="M714" s="7" t="n">
        <v>0.7914842523423768</v>
      </c>
      <c r="N714" s="7" t="n">
        <v>3.165937009369507</v>
      </c>
    </row>
    <row r="715" ht="18" customHeight="1">
      <c r="A715" s="49" t="inlineStr">
        <is>
          <t>ACE-10714</t>
        </is>
      </c>
      <c r="B715" s="49" t="inlineStr">
        <is>
          <t>2026-05-05 15:51:00</t>
        </is>
      </c>
      <c r="C715" s="49" t="inlineStr">
        <is>
          <t>CUST-61574</t>
        </is>
      </c>
      <c r="D715" s="49" t="inlineStr">
        <is>
          <t>USD-PKR</t>
        </is>
      </c>
      <c r="E715" s="49" t="inlineStr">
        <is>
          <t>USD</t>
        </is>
      </c>
      <c r="F715" s="7" t="n">
        <v>227.816654331993</v>
      </c>
      <c r="G715" s="8" t="n">
        <v>0.8</v>
      </c>
      <c r="H715" s="7" t="n">
        <v>182.2533234655944</v>
      </c>
      <c r="I715" s="7" t="n">
        <v>1.6</v>
      </c>
      <c r="J715" s="9" t="n">
        <v>0.019</v>
      </c>
      <c r="K715" s="49" t="inlineStr">
        <is>
          <t>Success</t>
        </is>
      </c>
      <c r="L715" s="7" t="n">
        <v>0.2733799851983916</v>
      </c>
      <c r="M715" s="7" t="n">
        <v>0</v>
      </c>
      <c r="N715" s="7" t="n">
        <v>2.187039881587133</v>
      </c>
    </row>
    <row r="716" ht="18" customHeight="1">
      <c r="A716" s="49" t="inlineStr">
        <is>
          <t>ACE-10715</t>
        </is>
      </c>
      <c r="B716" s="49" t="inlineStr">
        <is>
          <t>2026-05-21 16:34:46</t>
        </is>
      </c>
      <c r="C716" s="49" t="inlineStr">
        <is>
          <t>CUST-70691</t>
        </is>
      </c>
      <c r="D716" s="49" t="inlineStr">
        <is>
          <t>GBP-PKR</t>
        </is>
      </c>
      <c r="E716" s="49" t="inlineStr">
        <is>
          <t>GBP</t>
        </is>
      </c>
      <c r="F716" s="7" t="n">
        <v>277.556948770663</v>
      </c>
      <c r="G716" s="8" t="n">
        <v>1</v>
      </c>
      <c r="H716" s="7" t="n">
        <v>277.556948770663</v>
      </c>
      <c r="I716" s="7" t="n">
        <v>1.5</v>
      </c>
      <c r="J716" s="9" t="n">
        <v>0.021</v>
      </c>
      <c r="K716" s="49" t="inlineStr">
        <is>
          <t>Success</t>
        </is>
      </c>
      <c r="L716" s="7" t="n">
        <v>0.4163354231559945</v>
      </c>
      <c r="M716" s="7" t="n">
        <v>0</v>
      </c>
      <c r="N716" s="7" t="n">
        <v>3.330683385247956</v>
      </c>
    </row>
    <row r="717" ht="18" customHeight="1">
      <c r="A717" s="49" t="inlineStr">
        <is>
          <t>ACE-10716</t>
        </is>
      </c>
      <c r="B717" s="49" t="inlineStr">
        <is>
          <t>2026-05-18 17:03:25</t>
        </is>
      </c>
      <c r="C717" s="49" t="inlineStr">
        <is>
          <t>CUST-56486</t>
        </is>
      </c>
      <c r="D717" s="49" t="inlineStr">
        <is>
          <t>USD-PKR</t>
        </is>
      </c>
      <c r="E717" s="49" t="inlineStr">
        <is>
          <t>USD</t>
        </is>
      </c>
      <c r="F717" s="7" t="n">
        <v>244.4370311786819</v>
      </c>
      <c r="G717" s="8" t="n">
        <v>0.8</v>
      </c>
      <c r="H717" s="7" t="n">
        <v>195.5496249429455</v>
      </c>
      <c r="I717" s="7" t="n">
        <v>1.6</v>
      </c>
      <c r="J717" s="9" t="n">
        <v>0.019</v>
      </c>
      <c r="K717" s="49" t="inlineStr">
        <is>
          <t>Success</t>
        </is>
      </c>
      <c r="L717" s="7" t="n">
        <v>0.2933244374144183</v>
      </c>
      <c r="M717" s="7" t="n">
        <v>0</v>
      </c>
      <c r="N717" s="7" t="n">
        <v>2.346595499315347</v>
      </c>
    </row>
    <row r="718" ht="18" customHeight="1">
      <c r="A718" s="49" t="inlineStr">
        <is>
          <t>ACE-10717</t>
        </is>
      </c>
      <c r="B718" s="49" t="inlineStr">
        <is>
          <t>2026-05-09 15:53:40</t>
        </is>
      </c>
      <c r="C718" s="49" t="inlineStr">
        <is>
          <t>CUST-56311</t>
        </is>
      </c>
      <c r="D718" s="49" t="inlineStr">
        <is>
          <t>GBP-PKR</t>
        </is>
      </c>
      <c r="E718" s="49" t="inlineStr">
        <is>
          <t>GBP</t>
        </is>
      </c>
      <c r="F718" s="7" t="n">
        <v>281.804161814004</v>
      </c>
      <c r="G718" s="8" t="n">
        <v>1</v>
      </c>
      <c r="H718" s="7" t="n">
        <v>281.804161814004</v>
      </c>
      <c r="I718" s="7" t="n">
        <v>1.5</v>
      </c>
      <c r="J718" s="9" t="n">
        <v>0.021</v>
      </c>
      <c r="K718" s="49" t="inlineStr">
        <is>
          <t>Success</t>
        </is>
      </c>
      <c r="L718" s="7" t="n">
        <v>0.422706242721006</v>
      </c>
      <c r="M718" s="7" t="n">
        <v>0</v>
      </c>
      <c r="N718" s="7" t="n">
        <v>3.381649941768048</v>
      </c>
    </row>
    <row r="719" ht="18" customHeight="1">
      <c r="A719" s="49" t="inlineStr">
        <is>
          <t>ACE-10718</t>
        </is>
      </c>
      <c r="B719" s="49" t="inlineStr">
        <is>
          <t>2026-05-12 13:35:35</t>
        </is>
      </c>
      <c r="C719" s="49" t="inlineStr">
        <is>
          <t>CUST-66889</t>
        </is>
      </c>
      <c r="D719" s="49" t="inlineStr">
        <is>
          <t>GBP-PKR</t>
        </is>
      </c>
      <c r="E719" s="49" t="inlineStr">
        <is>
          <t>GBP</t>
        </is>
      </c>
      <c r="F719" s="7" t="n">
        <v>282.8225811503532</v>
      </c>
      <c r="G719" s="8" t="n">
        <v>1</v>
      </c>
      <c r="H719" s="7" t="n">
        <v>282.8225811503532</v>
      </c>
      <c r="I719" s="7" t="n">
        <v>1.5</v>
      </c>
      <c r="J719" s="9" t="n">
        <v>0.021</v>
      </c>
      <c r="K719" s="49" t="inlineStr">
        <is>
          <t>Success</t>
        </is>
      </c>
      <c r="L719" s="7" t="n">
        <v>0.4242338717255298</v>
      </c>
      <c r="M719" s="7" t="n">
        <v>0</v>
      </c>
      <c r="N719" s="7" t="n">
        <v>3.393870973804238</v>
      </c>
    </row>
    <row r="720" ht="18" customHeight="1">
      <c r="A720" s="49" t="inlineStr">
        <is>
          <t>ACE-10719</t>
        </is>
      </c>
      <c r="B720" s="49" t="inlineStr">
        <is>
          <t>2026-05-12 18:38:12</t>
        </is>
      </c>
      <c r="C720" s="49" t="inlineStr">
        <is>
          <t>CUST-87804</t>
        </is>
      </c>
      <c r="D720" s="49" t="inlineStr">
        <is>
          <t>GBP-PKR</t>
        </is>
      </c>
      <c r="E720" s="49" t="inlineStr">
        <is>
          <t>GBP</t>
        </is>
      </c>
      <c r="F720" s="7" t="n">
        <v>268.6550949345874</v>
      </c>
      <c r="G720" s="8" t="n">
        <v>1</v>
      </c>
      <c r="H720" s="7" t="n">
        <v>268.6550949345874</v>
      </c>
      <c r="I720" s="7" t="n">
        <v>1.5</v>
      </c>
      <c r="J720" s="9" t="n">
        <v>0.021</v>
      </c>
      <c r="K720" s="49" t="inlineStr">
        <is>
          <t>Success</t>
        </is>
      </c>
      <c r="L720" s="7" t="n">
        <v>0.4029826424018811</v>
      </c>
      <c r="M720" s="7" t="n">
        <v>0.8059652848037622</v>
      </c>
      <c r="N720" s="7" t="n">
        <v>3.223861139215049</v>
      </c>
    </row>
    <row r="721" ht="18" customHeight="1">
      <c r="A721" s="49" t="inlineStr">
        <is>
          <t>ACE-10720</t>
        </is>
      </c>
      <c r="B721" s="49" t="inlineStr">
        <is>
          <t>2026-05-06 20:18:22</t>
        </is>
      </c>
      <c r="C721" s="49" t="inlineStr">
        <is>
          <t>CUST-71305</t>
        </is>
      </c>
      <c r="D721" s="49" t="inlineStr">
        <is>
          <t>GBP-PKR</t>
        </is>
      </c>
      <c r="E721" s="49" t="inlineStr">
        <is>
          <t>GBP</t>
        </is>
      </c>
      <c r="F721" s="7" t="n">
        <v>277.0214779195462</v>
      </c>
      <c r="G721" s="8" t="n">
        <v>1</v>
      </c>
      <c r="H721" s="7" t="n">
        <v>277.0214779195462</v>
      </c>
      <c r="I721" s="7" t="n">
        <v>1.5</v>
      </c>
      <c r="J721" s="9" t="n">
        <v>0.021</v>
      </c>
      <c r="K721" s="49" t="inlineStr">
        <is>
          <t>Success</t>
        </is>
      </c>
      <c r="L721" s="7" t="n">
        <v>0.4155322168793192</v>
      </c>
      <c r="M721" s="7" t="n">
        <v>0</v>
      </c>
      <c r="N721" s="7" t="n">
        <v>3.324257735034554</v>
      </c>
    </row>
    <row r="722" ht="18" customHeight="1">
      <c r="A722" s="49" t="inlineStr">
        <is>
          <t>ACE-10721</t>
        </is>
      </c>
      <c r="B722" s="49" t="inlineStr">
        <is>
          <t>2026-05-24 15:56:05</t>
        </is>
      </c>
      <c r="C722" s="49" t="inlineStr">
        <is>
          <t>CUST-74973</t>
        </is>
      </c>
      <c r="D722" s="49" t="inlineStr">
        <is>
          <t>USD-PKR</t>
        </is>
      </c>
      <c r="E722" s="49" t="inlineStr">
        <is>
          <t>USD</t>
        </is>
      </c>
      <c r="F722" s="7" t="n">
        <v>225.745379158007</v>
      </c>
      <c r="G722" s="8" t="n">
        <v>0.8</v>
      </c>
      <c r="H722" s="7" t="n">
        <v>180.5963033264056</v>
      </c>
      <c r="I722" s="7" t="n">
        <v>1.6</v>
      </c>
      <c r="J722" s="9" t="n">
        <v>0.019</v>
      </c>
      <c r="K722" s="49" t="inlineStr">
        <is>
          <t>Success</t>
        </is>
      </c>
      <c r="L722" s="7" t="n">
        <v>0.2708944549896085</v>
      </c>
      <c r="M722" s="7" t="n">
        <v>0</v>
      </c>
      <c r="N722" s="7" t="n">
        <v>2.167155639916868</v>
      </c>
    </row>
    <row r="723" ht="18" customHeight="1">
      <c r="A723" s="49" t="inlineStr">
        <is>
          <t>ACE-10722</t>
        </is>
      </c>
      <c r="B723" s="49" t="inlineStr">
        <is>
          <t>2026-05-05 10:40:51</t>
        </is>
      </c>
      <c r="C723" s="49" t="inlineStr">
        <is>
          <t>CUST-72111</t>
        </is>
      </c>
      <c r="D723" s="49" t="inlineStr">
        <is>
          <t>GBP-PKR</t>
        </is>
      </c>
      <c r="E723" s="49" t="inlineStr">
        <is>
          <t>GBP</t>
        </is>
      </c>
      <c r="F723" s="7" t="n">
        <v>234.8090812885895</v>
      </c>
      <c r="G723" s="8" t="n">
        <v>1</v>
      </c>
      <c r="H723" s="7" t="n">
        <v>234.8090812885895</v>
      </c>
      <c r="I723" s="7" t="n">
        <v>1.5</v>
      </c>
      <c r="J723" s="9" t="n">
        <v>0.021</v>
      </c>
      <c r="K723" s="49" t="inlineStr">
        <is>
          <t>Success</t>
        </is>
      </c>
      <c r="L723" s="7" t="n">
        <v>0.3522136219328842</v>
      </c>
      <c r="M723" s="7" t="n">
        <v>0.7044272438657684</v>
      </c>
      <c r="N723" s="7" t="n">
        <v>2.817708975463074</v>
      </c>
    </row>
    <row r="724" ht="18" customHeight="1">
      <c r="A724" s="49" t="inlineStr">
        <is>
          <t>ACE-10723</t>
        </is>
      </c>
      <c r="B724" s="49" t="inlineStr">
        <is>
          <t>2026-05-13 09:05:10</t>
        </is>
      </c>
      <c r="C724" s="49" t="inlineStr">
        <is>
          <t>CUST-72519</t>
        </is>
      </c>
      <c r="D724" s="49" t="inlineStr">
        <is>
          <t>USD-PKR</t>
        </is>
      </c>
      <c r="E724" s="49" t="inlineStr">
        <is>
          <t>USD</t>
        </is>
      </c>
      <c r="F724" s="7" t="n">
        <v>191.2935203379062</v>
      </c>
      <c r="G724" s="8" t="n">
        <v>0.8</v>
      </c>
      <c r="H724" s="7" t="n">
        <v>153.034816270325</v>
      </c>
      <c r="I724" s="7" t="n">
        <v>1.6</v>
      </c>
      <c r="J724" s="9" t="n">
        <v>0.019</v>
      </c>
      <c r="K724" s="49" t="inlineStr">
        <is>
          <t>Success</t>
        </is>
      </c>
      <c r="L724" s="7" t="n">
        <v>0.2295522244054875</v>
      </c>
      <c r="M724" s="7" t="n">
        <v>0</v>
      </c>
      <c r="N724" s="7" t="n">
        <v>1.8364177952439</v>
      </c>
    </row>
    <row r="725" ht="18" customHeight="1">
      <c r="A725" s="49" t="inlineStr">
        <is>
          <t>ACE-10724</t>
        </is>
      </c>
      <c r="B725" s="49" t="inlineStr">
        <is>
          <t>2026-05-10 19:17:38</t>
        </is>
      </c>
      <c r="C725" s="49" t="inlineStr">
        <is>
          <t>CUST-92247</t>
        </is>
      </c>
      <c r="D725" s="49" t="inlineStr">
        <is>
          <t>GBP-PKR</t>
        </is>
      </c>
      <c r="E725" s="49" t="inlineStr">
        <is>
          <t>GBP</t>
        </is>
      </c>
      <c r="F725" s="7" t="n">
        <v>300.1000780635824</v>
      </c>
      <c r="G725" s="8" t="n">
        <v>1</v>
      </c>
      <c r="H725" s="7" t="n">
        <v>300.1000780635824</v>
      </c>
      <c r="I725" s="7" t="n">
        <v>1.5</v>
      </c>
      <c r="J725" s="9" t="n">
        <v>0.021</v>
      </c>
      <c r="K725" s="49" t="inlineStr">
        <is>
          <t>Success</t>
        </is>
      </c>
      <c r="L725" s="7" t="n">
        <v>0.4501501170953737</v>
      </c>
      <c r="M725" s="7" t="n">
        <v>0.9003002341907473</v>
      </c>
      <c r="N725" s="7" t="n">
        <v>3.601200936762989</v>
      </c>
    </row>
    <row r="726" ht="18" customHeight="1">
      <c r="A726" s="49" t="inlineStr">
        <is>
          <t>ACE-10725</t>
        </is>
      </c>
      <c r="B726" s="49" t="inlineStr">
        <is>
          <t>2026-05-12 19:37:33</t>
        </is>
      </c>
      <c r="C726" s="49" t="inlineStr">
        <is>
          <t>CUST-79510</t>
        </is>
      </c>
      <c r="D726" s="49" t="inlineStr">
        <is>
          <t>USD-PKR</t>
        </is>
      </c>
      <c r="E726" s="49" t="inlineStr">
        <is>
          <t>USD</t>
        </is>
      </c>
      <c r="F726" s="7" t="n">
        <v>222.6751738752232</v>
      </c>
      <c r="G726" s="8" t="n">
        <v>0.8</v>
      </c>
      <c r="H726" s="7" t="n">
        <v>178.1401391001786</v>
      </c>
      <c r="I726" s="7" t="n">
        <v>1.6</v>
      </c>
      <c r="J726" s="9" t="n">
        <v>0.019</v>
      </c>
      <c r="K726" s="49" t="inlineStr">
        <is>
          <t>Success</t>
        </is>
      </c>
      <c r="L726" s="7" t="n">
        <v>0.2672102086502678</v>
      </c>
      <c r="M726" s="7" t="n">
        <v>0</v>
      </c>
      <c r="N726" s="7" t="n">
        <v>2.137681669202143</v>
      </c>
    </row>
    <row r="727" ht="18" customHeight="1">
      <c r="A727" s="49" t="inlineStr">
        <is>
          <t>ACE-10726</t>
        </is>
      </c>
      <c r="B727" s="49" t="inlineStr">
        <is>
          <t>2026-05-01 10:46:15</t>
        </is>
      </c>
      <c r="C727" s="49" t="inlineStr">
        <is>
          <t>CUST-93386</t>
        </is>
      </c>
      <c r="D727" s="49" t="inlineStr">
        <is>
          <t>GBP-PKR</t>
        </is>
      </c>
      <c r="E727" s="49" t="inlineStr">
        <is>
          <t>GBP</t>
        </is>
      </c>
      <c r="F727" s="7" t="n">
        <v>273.5245197373293</v>
      </c>
      <c r="G727" s="8" t="n">
        <v>1</v>
      </c>
      <c r="H727" s="7" t="n">
        <v>273.5245197373293</v>
      </c>
      <c r="I727" s="7" t="n">
        <v>1.5</v>
      </c>
      <c r="J727" s="9" t="n">
        <v>0.021</v>
      </c>
      <c r="K727" s="49" t="inlineStr">
        <is>
          <t>Success</t>
        </is>
      </c>
      <c r="L727" s="7" t="n">
        <v>0.4102867796059939</v>
      </c>
      <c r="M727" s="7" t="n">
        <v>0.8205735592119878</v>
      </c>
      <c r="N727" s="7" t="n">
        <v>3.282294236847951</v>
      </c>
    </row>
    <row r="728" ht="18" customHeight="1">
      <c r="A728" s="49" t="inlineStr">
        <is>
          <t>ACE-10727</t>
        </is>
      </c>
      <c r="B728" s="49" t="inlineStr">
        <is>
          <t>2026-05-24 09:13:10</t>
        </is>
      </c>
      <c r="C728" s="49" t="inlineStr">
        <is>
          <t>CUST-76020</t>
        </is>
      </c>
      <c r="D728" s="49" t="inlineStr">
        <is>
          <t>GBP-PKR</t>
        </is>
      </c>
      <c r="E728" s="49" t="inlineStr">
        <is>
          <t>GBP</t>
        </is>
      </c>
      <c r="F728" s="7" t="n">
        <v>279.1175436423985</v>
      </c>
      <c r="G728" s="8" t="n">
        <v>1</v>
      </c>
      <c r="H728" s="7" t="n">
        <v>279.1175436423985</v>
      </c>
      <c r="I728" s="7" t="n">
        <v>1.5</v>
      </c>
      <c r="J728" s="9" t="n">
        <v>0.021</v>
      </c>
      <c r="K728" s="49" t="inlineStr">
        <is>
          <t>Success</t>
        </is>
      </c>
      <c r="L728" s="7" t="n">
        <v>0.4186763154635978</v>
      </c>
      <c r="M728" s="7" t="n">
        <v>0</v>
      </c>
      <c r="N728" s="7" t="n">
        <v>3.349410523708782</v>
      </c>
    </row>
    <row r="729" ht="18" customHeight="1">
      <c r="A729" s="49" t="inlineStr">
        <is>
          <t>ACE-10728</t>
        </is>
      </c>
      <c r="B729" s="49" t="inlineStr">
        <is>
          <t>2026-05-16 16:03:01</t>
        </is>
      </c>
      <c r="C729" s="49" t="inlineStr">
        <is>
          <t>CUST-76018</t>
        </is>
      </c>
      <c r="D729" s="49" t="inlineStr">
        <is>
          <t>USD-PKR</t>
        </is>
      </c>
      <c r="E729" s="49" t="inlineStr">
        <is>
          <t>USD</t>
        </is>
      </c>
      <c r="F729" s="7" t="n">
        <v>226.6451813592773</v>
      </c>
      <c r="G729" s="8" t="n">
        <v>0.8</v>
      </c>
      <c r="H729" s="7" t="n">
        <v>181.3161450874219</v>
      </c>
      <c r="I729" s="7" t="n">
        <v>1.6</v>
      </c>
      <c r="J729" s="9" t="n">
        <v>0.019</v>
      </c>
      <c r="K729" s="49" t="inlineStr">
        <is>
          <t>Success</t>
        </is>
      </c>
      <c r="L729" s="7" t="n">
        <v>0.2719742176311328</v>
      </c>
      <c r="M729" s="7" t="n">
        <v>0.5439484352622657</v>
      </c>
      <c r="N729" s="7" t="n">
        <v>2.175793741049063</v>
      </c>
    </row>
    <row r="730" ht="18" customHeight="1">
      <c r="A730" s="49" t="inlineStr">
        <is>
          <t>ACE-10729</t>
        </is>
      </c>
      <c r="B730" s="49" t="inlineStr">
        <is>
          <t>2026-05-04 12:39:09</t>
        </is>
      </c>
      <c r="C730" s="49" t="inlineStr">
        <is>
          <t>CUST-55525</t>
        </is>
      </c>
      <c r="D730" s="49" t="inlineStr">
        <is>
          <t>GBP-PKR</t>
        </is>
      </c>
      <c r="E730" s="49" t="inlineStr">
        <is>
          <t>GBP</t>
        </is>
      </c>
      <c r="F730" s="7" t="n">
        <v>263.9642388681867</v>
      </c>
      <c r="G730" s="8" t="n">
        <v>1</v>
      </c>
      <c r="H730" s="7" t="n">
        <v>263.9642388681867</v>
      </c>
      <c r="I730" s="7" t="n">
        <v>1.5</v>
      </c>
      <c r="J730" s="9" t="n">
        <v>0.021</v>
      </c>
      <c r="K730" s="49" t="inlineStr">
        <is>
          <t>Success</t>
        </is>
      </c>
      <c r="L730" s="7" t="n">
        <v>0.39594635830228</v>
      </c>
      <c r="M730" s="7" t="n">
        <v>0.7918927166045601</v>
      </c>
      <c r="N730" s="7" t="n">
        <v>3.16757086641824</v>
      </c>
    </row>
    <row r="731" ht="18" customHeight="1">
      <c r="A731" s="49" t="inlineStr">
        <is>
          <t>ACE-10730</t>
        </is>
      </c>
      <c r="B731" s="49" t="inlineStr">
        <is>
          <t>2026-05-10 11:15:47</t>
        </is>
      </c>
      <c r="C731" s="49" t="inlineStr">
        <is>
          <t>CUST-68623</t>
        </is>
      </c>
      <c r="D731" s="49" t="inlineStr">
        <is>
          <t>GBP-PKR</t>
        </is>
      </c>
      <c r="E731" s="49" t="inlineStr">
        <is>
          <t>GBP</t>
        </is>
      </c>
      <c r="F731" s="7" t="n">
        <v>257.7420118666956</v>
      </c>
      <c r="G731" s="8" t="n">
        <v>1</v>
      </c>
      <c r="H731" s="7" t="n">
        <v>257.7420118666956</v>
      </c>
      <c r="I731" s="7" t="n">
        <v>1.5</v>
      </c>
      <c r="J731" s="9" t="n">
        <v>0.021</v>
      </c>
      <c r="K731" s="49" t="inlineStr">
        <is>
          <t>Success</t>
        </is>
      </c>
      <c r="L731" s="7" t="n">
        <v>0.3866130178000434</v>
      </c>
      <c r="M731" s="7" t="n">
        <v>0</v>
      </c>
      <c r="N731" s="7" t="n">
        <v>3.092904142400347</v>
      </c>
    </row>
    <row r="732" ht="18" customHeight="1">
      <c r="A732" s="49" t="inlineStr">
        <is>
          <t>ACE-10731</t>
        </is>
      </c>
      <c r="B732" s="49" t="inlineStr">
        <is>
          <t>2026-05-17 10:01:02</t>
        </is>
      </c>
      <c r="C732" s="49" t="inlineStr">
        <is>
          <t>CUST-93486</t>
        </is>
      </c>
      <c r="D732" s="49" t="inlineStr">
        <is>
          <t>EUR-PKR</t>
        </is>
      </c>
      <c r="E732" s="49" t="inlineStr">
        <is>
          <t>EUR</t>
        </is>
      </c>
      <c r="F732" s="7" t="n">
        <v>192.7913657405484</v>
      </c>
      <c r="G732" s="8" t="n">
        <v>0.85</v>
      </c>
      <c r="H732" s="7" t="n">
        <v>163.8726608794661</v>
      </c>
      <c r="I732" s="7" t="n">
        <v>1.275</v>
      </c>
      <c r="J732" s="9" t="n">
        <v>0.023</v>
      </c>
      <c r="K732" s="49" t="inlineStr">
        <is>
          <t>Success</t>
        </is>
      </c>
      <c r="L732" s="7" t="n">
        <v>0.2458089913191992</v>
      </c>
      <c r="M732" s="7" t="n">
        <v>0.4916179826383983</v>
      </c>
      <c r="N732" s="7" t="n">
        <v>2.458089913191992</v>
      </c>
    </row>
    <row r="733" ht="18" customHeight="1">
      <c r="A733" s="49" t="inlineStr">
        <is>
          <t>ACE-10732</t>
        </is>
      </c>
      <c r="B733" s="49" t="inlineStr">
        <is>
          <t>2026-05-16 15:55:34</t>
        </is>
      </c>
      <c r="C733" s="49" t="inlineStr">
        <is>
          <t>CUST-67852</t>
        </is>
      </c>
      <c r="D733" s="49" t="inlineStr">
        <is>
          <t>USD-PKR</t>
        </is>
      </c>
      <c r="E733" s="49" t="inlineStr">
        <is>
          <t>USD</t>
        </is>
      </c>
      <c r="F733" s="7" t="n">
        <v>198.5002319401629</v>
      </c>
      <c r="G733" s="8" t="n">
        <v>0.8</v>
      </c>
      <c r="H733" s="7" t="n">
        <v>158.8001855521303</v>
      </c>
      <c r="I733" s="7" t="n">
        <v>1.6</v>
      </c>
      <c r="J733" s="9" t="n">
        <v>0.019</v>
      </c>
      <c r="K733" s="49" t="inlineStr">
        <is>
          <t>Success</t>
        </is>
      </c>
      <c r="L733" s="7" t="n">
        <v>0.2382002783281955</v>
      </c>
      <c r="M733" s="7" t="n">
        <v>0</v>
      </c>
      <c r="N733" s="7" t="n">
        <v>1.905602226625564</v>
      </c>
    </row>
    <row r="734" ht="18" customHeight="1">
      <c r="A734" s="49" t="inlineStr">
        <is>
          <t>ACE-10733</t>
        </is>
      </c>
      <c r="B734" s="49" t="inlineStr">
        <is>
          <t>2026-05-23 16:11:37</t>
        </is>
      </c>
      <c r="C734" s="49" t="inlineStr">
        <is>
          <t>CUST-89163</t>
        </is>
      </c>
      <c r="D734" s="49" t="inlineStr">
        <is>
          <t>GBP-PKR</t>
        </is>
      </c>
      <c r="E734" s="49" t="inlineStr">
        <is>
          <t>GBP</t>
        </is>
      </c>
      <c r="F734" s="7" t="n">
        <v>290.212925299768</v>
      </c>
      <c r="G734" s="8" t="n">
        <v>1</v>
      </c>
      <c r="H734" s="7" t="n">
        <v>290.212925299768</v>
      </c>
      <c r="I734" s="7" t="n">
        <v>1.5</v>
      </c>
      <c r="J734" s="9" t="n">
        <v>0.021</v>
      </c>
      <c r="K734" s="49" t="inlineStr">
        <is>
          <t>Success</t>
        </is>
      </c>
      <c r="L734" s="7" t="n">
        <v>0.435319387949652</v>
      </c>
      <c r="M734" s="7" t="n">
        <v>0.8706387758993041</v>
      </c>
      <c r="N734" s="7" t="n">
        <v>3.482555103597216</v>
      </c>
    </row>
    <row r="735" ht="18" customHeight="1">
      <c r="A735" s="49" t="inlineStr">
        <is>
          <t>ACE-10734</t>
        </is>
      </c>
      <c r="B735" s="49" t="inlineStr">
        <is>
          <t>2026-05-19 14:33:40</t>
        </is>
      </c>
      <c r="C735" s="49" t="inlineStr">
        <is>
          <t>CUST-91912</t>
        </is>
      </c>
      <c r="D735" s="49" t="inlineStr">
        <is>
          <t>GBP-PKR</t>
        </is>
      </c>
      <c r="E735" s="49" t="inlineStr">
        <is>
          <t>GBP</t>
        </is>
      </c>
      <c r="F735" s="7" t="n">
        <v>234.9872465673835</v>
      </c>
      <c r="G735" s="8" t="n">
        <v>1</v>
      </c>
      <c r="H735" s="7" t="n">
        <v>234.9872465673835</v>
      </c>
      <c r="I735" s="7" t="n">
        <v>1.5</v>
      </c>
      <c r="J735" s="9" t="n">
        <v>0.021</v>
      </c>
      <c r="K735" s="49" t="inlineStr">
        <is>
          <t>Success</t>
        </is>
      </c>
      <c r="L735" s="7" t="n">
        <v>0.3524808698510753</v>
      </c>
      <c r="M735" s="7" t="n">
        <v>0.7049617397021506</v>
      </c>
      <c r="N735" s="7" t="n">
        <v>2.819846958808602</v>
      </c>
    </row>
    <row r="736" ht="18" customHeight="1">
      <c r="A736" s="49" t="inlineStr">
        <is>
          <t>ACE-10735</t>
        </is>
      </c>
      <c r="B736" s="49" t="inlineStr">
        <is>
          <t>2026-05-16 16:14:51</t>
        </is>
      </c>
      <c r="C736" s="49" t="inlineStr">
        <is>
          <t>CUST-55869</t>
        </is>
      </c>
      <c r="D736" s="49" t="inlineStr">
        <is>
          <t>GBP-PKR</t>
        </is>
      </c>
      <c r="E736" s="49" t="inlineStr">
        <is>
          <t>GBP</t>
        </is>
      </c>
      <c r="F736" s="7" t="n">
        <v>308.8035045142541</v>
      </c>
      <c r="G736" s="8" t="n">
        <v>1</v>
      </c>
      <c r="H736" s="7" t="n">
        <v>308.8035045142541</v>
      </c>
      <c r="I736" s="7" t="n">
        <v>1.5</v>
      </c>
      <c r="J736" s="9" t="n">
        <v>0.021</v>
      </c>
      <c r="K736" s="49" t="inlineStr">
        <is>
          <t>Success</t>
        </is>
      </c>
      <c r="L736" s="7" t="n">
        <v>0.4632052567713811</v>
      </c>
      <c r="M736" s="7" t="n">
        <v>0</v>
      </c>
      <c r="N736" s="7" t="n">
        <v>3.705642054171049</v>
      </c>
    </row>
    <row r="737" ht="18" customHeight="1">
      <c r="A737" s="49" t="inlineStr">
        <is>
          <t>ACE-10736</t>
        </is>
      </c>
      <c r="B737" s="49" t="inlineStr">
        <is>
          <t>2026-05-09 10:19:00</t>
        </is>
      </c>
      <c r="C737" s="49" t="inlineStr">
        <is>
          <t>CUST-50006</t>
        </is>
      </c>
      <c r="D737" s="49" t="inlineStr">
        <is>
          <t>GBP-PKR</t>
        </is>
      </c>
      <c r="E737" s="49" t="inlineStr">
        <is>
          <t>GBP</t>
        </is>
      </c>
      <c r="F737" s="7" t="n">
        <v>292.0863131037969</v>
      </c>
      <c r="G737" s="8" t="n">
        <v>1</v>
      </c>
      <c r="H737" s="7" t="n">
        <v>292.0863131037969</v>
      </c>
      <c r="I737" s="7" t="n">
        <v>1.5</v>
      </c>
      <c r="J737" s="9" t="n">
        <v>0.021</v>
      </c>
      <c r="K737" s="49" t="inlineStr">
        <is>
          <t>Success</t>
        </is>
      </c>
      <c r="L737" s="7" t="n">
        <v>0.4381294696556954</v>
      </c>
      <c r="M737" s="7" t="n">
        <v>0.8762589393113908</v>
      </c>
      <c r="N737" s="7" t="n">
        <v>3.505035757245563</v>
      </c>
    </row>
    <row r="738" ht="18" customHeight="1">
      <c r="A738" s="49" t="inlineStr">
        <is>
          <t>ACE-10737</t>
        </is>
      </c>
      <c r="B738" s="49" t="inlineStr">
        <is>
          <t>2026-05-05 13:18:30</t>
        </is>
      </c>
      <c r="C738" s="49" t="inlineStr">
        <is>
          <t>CUST-85068</t>
        </is>
      </c>
      <c r="D738" s="49" t="inlineStr">
        <is>
          <t>GBP-PKR</t>
        </is>
      </c>
      <c r="E738" s="49" t="inlineStr">
        <is>
          <t>GBP</t>
        </is>
      </c>
      <c r="F738" s="7" t="n">
        <v>285.828670351725</v>
      </c>
      <c r="G738" s="8" t="n">
        <v>1</v>
      </c>
      <c r="H738" s="7" t="n">
        <v>285.828670351725</v>
      </c>
      <c r="I738" s="7" t="n">
        <v>1.5</v>
      </c>
      <c r="J738" s="9" t="n">
        <v>0.021</v>
      </c>
      <c r="K738" s="49" t="inlineStr">
        <is>
          <t>Failed</t>
        </is>
      </c>
      <c r="L738" s="7" t="n">
        <v>0</v>
      </c>
      <c r="M738" s="7" t="n">
        <v>0</v>
      </c>
      <c r="N738" s="7" t="n">
        <v>0.5</v>
      </c>
    </row>
    <row r="739" ht="18" customHeight="1">
      <c r="A739" s="49" t="inlineStr">
        <is>
          <t>ACE-10738</t>
        </is>
      </c>
      <c r="B739" s="49" t="inlineStr">
        <is>
          <t>2026-05-16 20:30:19</t>
        </is>
      </c>
      <c r="C739" s="49" t="inlineStr">
        <is>
          <t>CUST-50598</t>
        </is>
      </c>
      <c r="D739" s="49" t="inlineStr">
        <is>
          <t>USD-PKR</t>
        </is>
      </c>
      <c r="E739" s="49" t="inlineStr">
        <is>
          <t>USD</t>
        </is>
      </c>
      <c r="F739" s="7" t="n">
        <v>241.5065620436605</v>
      </c>
      <c r="G739" s="8" t="n">
        <v>0.8</v>
      </c>
      <c r="H739" s="7" t="n">
        <v>193.2052496349284</v>
      </c>
      <c r="I739" s="7" t="n">
        <v>1.6</v>
      </c>
      <c r="J739" s="9" t="n">
        <v>0.019</v>
      </c>
      <c r="K739" s="49" t="inlineStr">
        <is>
          <t>Success</t>
        </is>
      </c>
      <c r="L739" s="7" t="n">
        <v>0.2898078744523926</v>
      </c>
      <c r="M739" s="7" t="n">
        <v>0.5796157489047852</v>
      </c>
      <c r="N739" s="7" t="n">
        <v>2.318462995619141</v>
      </c>
    </row>
    <row r="740" ht="18" customHeight="1">
      <c r="A740" s="49" t="inlineStr">
        <is>
          <t>ACE-10739</t>
        </is>
      </c>
      <c r="B740" s="49" t="inlineStr">
        <is>
          <t>2026-05-20 11:50:00</t>
        </is>
      </c>
      <c r="C740" s="49" t="inlineStr">
        <is>
          <t>CUST-85927</t>
        </is>
      </c>
      <c r="D740" s="49" t="inlineStr">
        <is>
          <t>GBP-PKR</t>
        </is>
      </c>
      <c r="E740" s="49" t="inlineStr">
        <is>
          <t>GBP</t>
        </is>
      </c>
      <c r="F740" s="7" t="n">
        <v>329.0919014969965</v>
      </c>
      <c r="G740" s="8" t="n">
        <v>1</v>
      </c>
      <c r="H740" s="7" t="n">
        <v>329.0919014969965</v>
      </c>
      <c r="I740" s="7" t="n">
        <v>1.5</v>
      </c>
      <c r="J740" s="9" t="n">
        <v>0.021</v>
      </c>
      <c r="K740" s="49" t="inlineStr">
        <is>
          <t>Success</t>
        </is>
      </c>
      <c r="L740" s="7" t="n">
        <v>0.4936378522454947</v>
      </c>
      <c r="M740" s="7" t="n">
        <v>0</v>
      </c>
      <c r="N740" s="7" t="n">
        <v>3.949102817963957</v>
      </c>
    </row>
    <row r="741" ht="18" customHeight="1">
      <c r="A741" s="49" t="inlineStr">
        <is>
          <t>ACE-10740</t>
        </is>
      </c>
      <c r="B741" s="49" t="inlineStr">
        <is>
          <t>2026-05-18 14:25:15</t>
        </is>
      </c>
      <c r="C741" s="49" t="inlineStr">
        <is>
          <t>CUST-60700</t>
        </is>
      </c>
      <c r="D741" s="49" t="inlineStr">
        <is>
          <t>GBP-PKR</t>
        </is>
      </c>
      <c r="E741" s="49" t="inlineStr">
        <is>
          <t>GBP</t>
        </is>
      </c>
      <c r="F741" s="7" t="n">
        <v>308.347258236008</v>
      </c>
      <c r="G741" s="8" t="n">
        <v>1</v>
      </c>
      <c r="H741" s="7" t="n">
        <v>308.347258236008</v>
      </c>
      <c r="I741" s="7" t="n">
        <v>1.5</v>
      </c>
      <c r="J741" s="9" t="n">
        <v>0.021</v>
      </c>
      <c r="K741" s="49" t="inlineStr">
        <is>
          <t>Success</t>
        </is>
      </c>
      <c r="L741" s="7" t="n">
        <v>0.462520887354012</v>
      </c>
      <c r="M741" s="7" t="n">
        <v>0.925041774708024</v>
      </c>
      <c r="N741" s="7" t="n">
        <v>3.700167098832096</v>
      </c>
    </row>
    <row r="742" ht="18" customHeight="1">
      <c r="A742" s="49" t="inlineStr">
        <is>
          <t>ACE-10741</t>
        </is>
      </c>
      <c r="B742" s="49" t="inlineStr">
        <is>
          <t>2026-05-13 11:16:05</t>
        </is>
      </c>
      <c r="C742" s="49" t="inlineStr">
        <is>
          <t>CUST-77671</t>
        </is>
      </c>
      <c r="D742" s="49" t="inlineStr">
        <is>
          <t>GBP-PKR</t>
        </is>
      </c>
      <c r="E742" s="49" t="inlineStr">
        <is>
          <t>GBP</t>
        </is>
      </c>
      <c r="F742" s="7" t="n">
        <v>231.7599598070231</v>
      </c>
      <c r="G742" s="8" t="n">
        <v>1</v>
      </c>
      <c r="H742" s="7" t="n">
        <v>231.7599598070231</v>
      </c>
      <c r="I742" s="7" t="n">
        <v>1.5</v>
      </c>
      <c r="J742" s="9" t="n">
        <v>0.021</v>
      </c>
      <c r="K742" s="49" t="inlineStr">
        <is>
          <t>Success</t>
        </is>
      </c>
      <c r="L742" s="7" t="n">
        <v>0.3476399397105346</v>
      </c>
      <c r="M742" s="7" t="n">
        <v>0</v>
      </c>
      <c r="N742" s="7" t="n">
        <v>2.781119517684277</v>
      </c>
    </row>
    <row r="743" ht="18" customHeight="1">
      <c r="A743" s="49" t="inlineStr">
        <is>
          <t>ACE-10742</t>
        </is>
      </c>
      <c r="B743" s="49" t="inlineStr">
        <is>
          <t>2026-05-20 20:44:43</t>
        </is>
      </c>
      <c r="C743" s="49" t="inlineStr">
        <is>
          <t>CUST-67816</t>
        </is>
      </c>
      <c r="D743" s="49" t="inlineStr">
        <is>
          <t>GBP-PKR</t>
        </is>
      </c>
      <c r="E743" s="49" t="inlineStr">
        <is>
          <t>GBP</t>
        </is>
      </c>
      <c r="F743" s="7" t="n">
        <v>245.1405958337575</v>
      </c>
      <c r="G743" s="8" t="n">
        <v>1</v>
      </c>
      <c r="H743" s="7" t="n">
        <v>245.1405958337575</v>
      </c>
      <c r="I743" s="7" t="n">
        <v>1.5</v>
      </c>
      <c r="J743" s="9" t="n">
        <v>0.021</v>
      </c>
      <c r="K743" s="49" t="inlineStr">
        <is>
          <t>Success</t>
        </is>
      </c>
      <c r="L743" s="7" t="n">
        <v>0.3677108937506363</v>
      </c>
      <c r="M743" s="7" t="n">
        <v>0.7354217875012725</v>
      </c>
      <c r="N743" s="7" t="n">
        <v>2.94168715000509</v>
      </c>
    </row>
    <row r="744" ht="18" customHeight="1">
      <c r="A744" s="49" t="inlineStr">
        <is>
          <t>ACE-10743</t>
        </is>
      </c>
      <c r="B744" s="49" t="inlineStr">
        <is>
          <t>2026-05-09 14:12:54</t>
        </is>
      </c>
      <c r="C744" s="49" t="inlineStr">
        <is>
          <t>CUST-54486</t>
        </is>
      </c>
      <c r="D744" s="49" t="inlineStr">
        <is>
          <t>GBP-PKR</t>
        </is>
      </c>
      <c r="E744" s="49" t="inlineStr">
        <is>
          <t>GBP</t>
        </is>
      </c>
      <c r="F744" s="7" t="n">
        <v>261.7285100683554</v>
      </c>
      <c r="G744" s="8" t="n">
        <v>1</v>
      </c>
      <c r="H744" s="7" t="n">
        <v>261.7285100683554</v>
      </c>
      <c r="I744" s="7" t="n">
        <v>1.5</v>
      </c>
      <c r="J744" s="9" t="n">
        <v>0.021</v>
      </c>
      <c r="K744" s="49" t="inlineStr">
        <is>
          <t>Success</t>
        </is>
      </c>
      <c r="L744" s="7" t="n">
        <v>0.392592765102533</v>
      </c>
      <c r="M744" s="7" t="n">
        <v>0</v>
      </c>
      <c r="N744" s="7" t="n">
        <v>3.140742120820264</v>
      </c>
    </row>
    <row r="745" ht="18" customHeight="1">
      <c r="A745" s="49" t="inlineStr">
        <is>
          <t>ACE-10744</t>
        </is>
      </c>
      <c r="B745" s="49" t="inlineStr">
        <is>
          <t>2026-05-21 15:39:28</t>
        </is>
      </c>
      <c r="C745" s="49" t="inlineStr">
        <is>
          <t>CUST-67834</t>
        </is>
      </c>
      <c r="D745" s="49" t="inlineStr">
        <is>
          <t>GBP-PKR</t>
        </is>
      </c>
      <c r="E745" s="49" t="inlineStr">
        <is>
          <t>GBP</t>
        </is>
      </c>
      <c r="F745" s="7" t="n">
        <v>279.3313490615107</v>
      </c>
      <c r="G745" s="8" t="n">
        <v>1</v>
      </c>
      <c r="H745" s="7" t="n">
        <v>279.3313490615107</v>
      </c>
      <c r="I745" s="7" t="n">
        <v>1.5</v>
      </c>
      <c r="J745" s="9" t="n">
        <v>0.021</v>
      </c>
      <c r="K745" s="49" t="inlineStr">
        <is>
          <t>Success</t>
        </is>
      </c>
      <c r="L745" s="7" t="n">
        <v>0.4189970235922661</v>
      </c>
      <c r="M745" s="7" t="n">
        <v>0</v>
      </c>
      <c r="N745" s="7" t="n">
        <v>3.351976188738129</v>
      </c>
    </row>
    <row r="746" ht="18" customHeight="1">
      <c r="A746" s="49" t="inlineStr">
        <is>
          <t>ACE-10745</t>
        </is>
      </c>
      <c r="B746" s="49" t="inlineStr">
        <is>
          <t>2026-05-11 08:09:03</t>
        </is>
      </c>
      <c r="C746" s="49" t="inlineStr">
        <is>
          <t>CUST-85059</t>
        </is>
      </c>
      <c r="D746" s="49" t="inlineStr">
        <is>
          <t>USD-PKR</t>
        </is>
      </c>
      <c r="E746" s="49" t="inlineStr">
        <is>
          <t>USD</t>
        </is>
      </c>
      <c r="F746" s="7" t="n">
        <v>230.5328684076038</v>
      </c>
      <c r="G746" s="8" t="n">
        <v>0.8</v>
      </c>
      <c r="H746" s="7" t="n">
        <v>184.426294726083</v>
      </c>
      <c r="I746" s="7" t="n">
        <v>1.6</v>
      </c>
      <c r="J746" s="9" t="n">
        <v>0.019</v>
      </c>
      <c r="K746" s="49" t="inlineStr">
        <is>
          <t>Success</t>
        </is>
      </c>
      <c r="L746" s="7" t="n">
        <v>0.2766394420891246</v>
      </c>
      <c r="M746" s="7" t="n">
        <v>0.5532788841782491</v>
      </c>
      <c r="N746" s="7" t="n">
        <v>2.213115536712996</v>
      </c>
    </row>
    <row r="747" ht="18" customHeight="1">
      <c r="A747" s="49" t="inlineStr">
        <is>
          <t>ACE-10746</t>
        </is>
      </c>
      <c r="B747" s="49" t="inlineStr">
        <is>
          <t>2026-05-10 12:08:45</t>
        </is>
      </c>
      <c r="C747" s="49" t="inlineStr">
        <is>
          <t>CUST-78732</t>
        </is>
      </c>
      <c r="D747" s="49" t="inlineStr">
        <is>
          <t>EUR-PKR</t>
        </is>
      </c>
      <c r="E747" s="49" t="inlineStr">
        <is>
          <t>EUR</t>
        </is>
      </c>
      <c r="F747" s="7" t="n">
        <v>175.8180565706758</v>
      </c>
      <c r="G747" s="8" t="n">
        <v>0.85</v>
      </c>
      <c r="H747" s="7" t="n">
        <v>149.4453480850744</v>
      </c>
      <c r="I747" s="7" t="n">
        <v>1.275</v>
      </c>
      <c r="J747" s="9" t="n">
        <v>0.023</v>
      </c>
      <c r="K747" s="49" t="inlineStr">
        <is>
          <t>Success</t>
        </is>
      </c>
      <c r="L747" s="7" t="n">
        <v>0.2241680221276116</v>
      </c>
      <c r="M747" s="7" t="n">
        <v>0</v>
      </c>
      <c r="N747" s="7" t="n">
        <v>2.241680221276116</v>
      </c>
    </row>
    <row r="748" ht="18" customHeight="1">
      <c r="A748" s="49" t="inlineStr">
        <is>
          <t>ACE-10747</t>
        </is>
      </c>
      <c r="B748" s="49" t="inlineStr">
        <is>
          <t>2026-05-05 08:31:13</t>
        </is>
      </c>
      <c r="C748" s="49" t="inlineStr">
        <is>
          <t>CUST-72407</t>
        </is>
      </c>
      <c r="D748" s="49" t="inlineStr">
        <is>
          <t>GBP-PKR</t>
        </is>
      </c>
      <c r="E748" s="49" t="inlineStr">
        <is>
          <t>GBP</t>
        </is>
      </c>
      <c r="F748" s="7" t="n">
        <v>283.8557764063377</v>
      </c>
      <c r="G748" s="8" t="n">
        <v>1</v>
      </c>
      <c r="H748" s="7" t="n">
        <v>283.8557764063377</v>
      </c>
      <c r="I748" s="7" t="n">
        <v>1.5</v>
      </c>
      <c r="J748" s="9" t="n">
        <v>0.021</v>
      </c>
      <c r="K748" s="49" t="inlineStr">
        <is>
          <t>Success</t>
        </is>
      </c>
      <c r="L748" s="7" t="n">
        <v>0.4257836646095066</v>
      </c>
      <c r="M748" s="7" t="n">
        <v>0.8515673292190132</v>
      </c>
      <c r="N748" s="7" t="n">
        <v>3.406269316876053</v>
      </c>
    </row>
    <row r="749" ht="18" customHeight="1">
      <c r="A749" s="49" t="inlineStr">
        <is>
          <t>ACE-10748</t>
        </is>
      </c>
      <c r="B749" s="49" t="inlineStr">
        <is>
          <t>2026-05-16 13:29:44</t>
        </is>
      </c>
      <c r="C749" s="49" t="inlineStr">
        <is>
          <t>CUST-52079</t>
        </is>
      </c>
      <c r="D749" s="49" t="inlineStr">
        <is>
          <t>USD-PKR</t>
        </is>
      </c>
      <c r="E749" s="49" t="inlineStr">
        <is>
          <t>USD</t>
        </is>
      </c>
      <c r="F749" s="7" t="n">
        <v>202.9763060201521</v>
      </c>
      <c r="G749" s="8" t="n">
        <v>0.8</v>
      </c>
      <c r="H749" s="7" t="n">
        <v>162.3810448161217</v>
      </c>
      <c r="I749" s="7" t="n">
        <v>1.6</v>
      </c>
      <c r="J749" s="9" t="n">
        <v>0.019</v>
      </c>
      <c r="K749" s="49" t="inlineStr">
        <is>
          <t>Success</t>
        </is>
      </c>
      <c r="L749" s="7" t="n">
        <v>0.2435715672241825</v>
      </c>
      <c r="M749" s="7" t="n">
        <v>0.487143134448365</v>
      </c>
      <c r="N749" s="7" t="n">
        <v>1.94857253779346</v>
      </c>
    </row>
    <row r="750" ht="18" customHeight="1">
      <c r="A750" s="49" t="inlineStr">
        <is>
          <t>ACE-10749</t>
        </is>
      </c>
      <c r="B750" s="49" t="inlineStr">
        <is>
          <t>2026-05-05 08:17:49</t>
        </is>
      </c>
      <c r="C750" s="49" t="inlineStr">
        <is>
          <t>CUST-75717</t>
        </is>
      </c>
      <c r="D750" s="49" t="inlineStr">
        <is>
          <t>GBP-PKR</t>
        </is>
      </c>
      <c r="E750" s="49" t="inlineStr">
        <is>
          <t>GBP</t>
        </is>
      </c>
      <c r="F750" s="7" t="n">
        <v>262.0768608783781</v>
      </c>
      <c r="G750" s="8" t="n">
        <v>1</v>
      </c>
      <c r="H750" s="7" t="n">
        <v>262.0768608783781</v>
      </c>
      <c r="I750" s="7" t="n">
        <v>1.5</v>
      </c>
      <c r="J750" s="9" t="n">
        <v>0.021</v>
      </c>
      <c r="K750" s="49" t="inlineStr">
        <is>
          <t>Success</t>
        </is>
      </c>
      <c r="L750" s="7" t="n">
        <v>0.3931152913175671</v>
      </c>
      <c r="M750" s="7" t="n">
        <v>0</v>
      </c>
      <c r="N750" s="7" t="n">
        <v>3.144922330540537</v>
      </c>
    </row>
    <row r="751" ht="18" customHeight="1">
      <c r="A751" s="49" t="inlineStr">
        <is>
          <t>ACE-10750</t>
        </is>
      </c>
      <c r="B751" s="49" t="inlineStr">
        <is>
          <t>2026-05-07 12:52:24</t>
        </is>
      </c>
      <c r="C751" s="49" t="inlineStr">
        <is>
          <t>CUST-50826</t>
        </is>
      </c>
      <c r="D751" s="49" t="inlineStr">
        <is>
          <t>USD-PKR</t>
        </is>
      </c>
      <c r="E751" s="49" t="inlineStr">
        <is>
          <t>USD</t>
        </is>
      </c>
      <c r="F751" s="7" t="n">
        <v>190.1781827543883</v>
      </c>
      <c r="G751" s="8" t="n">
        <v>0.8</v>
      </c>
      <c r="H751" s="7" t="n">
        <v>152.1425462035106</v>
      </c>
      <c r="I751" s="7" t="n">
        <v>1.6</v>
      </c>
      <c r="J751" s="9" t="n">
        <v>0.019</v>
      </c>
      <c r="K751" s="49" t="inlineStr">
        <is>
          <t>Success</t>
        </is>
      </c>
      <c r="L751" s="7" t="n">
        <v>0.228213819305266</v>
      </c>
      <c r="M751" s="7" t="n">
        <v>0.4564276386105319</v>
      </c>
      <c r="N751" s="7" t="n">
        <v>1.825710554442128</v>
      </c>
    </row>
    <row r="752" ht="18" customHeight="1">
      <c r="A752" s="49" t="inlineStr">
        <is>
          <t>ACE-10751</t>
        </is>
      </c>
      <c r="B752" s="49" t="inlineStr">
        <is>
          <t>2026-05-08 14:49:28</t>
        </is>
      </c>
      <c r="C752" s="49" t="inlineStr">
        <is>
          <t>CUST-66198</t>
        </is>
      </c>
      <c r="D752" s="49" t="inlineStr">
        <is>
          <t>GBP-PKR</t>
        </is>
      </c>
      <c r="E752" s="49" t="inlineStr">
        <is>
          <t>GBP</t>
        </is>
      </c>
      <c r="F752" s="7" t="n">
        <v>254.0335331443964</v>
      </c>
      <c r="G752" s="8" t="n">
        <v>1</v>
      </c>
      <c r="H752" s="7" t="n">
        <v>254.0335331443964</v>
      </c>
      <c r="I752" s="7" t="n">
        <v>1.5</v>
      </c>
      <c r="J752" s="9" t="n">
        <v>0.021</v>
      </c>
      <c r="K752" s="49" t="inlineStr">
        <is>
          <t>Success</t>
        </is>
      </c>
      <c r="L752" s="7" t="n">
        <v>0.3810502997165947</v>
      </c>
      <c r="M752" s="7" t="n">
        <v>0</v>
      </c>
      <c r="N752" s="7" t="n">
        <v>3.048402397732757</v>
      </c>
    </row>
    <row r="753" ht="18" customHeight="1">
      <c r="A753" s="49" t="inlineStr">
        <is>
          <t>ACE-10752</t>
        </is>
      </c>
      <c r="B753" s="49" t="inlineStr">
        <is>
          <t>2026-05-15 19:49:06</t>
        </is>
      </c>
      <c r="C753" s="49" t="inlineStr">
        <is>
          <t>CUST-84153</t>
        </is>
      </c>
      <c r="D753" s="49" t="inlineStr">
        <is>
          <t>USD-PKR</t>
        </is>
      </c>
      <c r="E753" s="49" t="inlineStr">
        <is>
          <t>USD</t>
        </is>
      </c>
      <c r="F753" s="7" t="n">
        <v>191.226594934597</v>
      </c>
      <c r="G753" s="8" t="n">
        <v>0.8</v>
      </c>
      <c r="H753" s="7" t="n">
        <v>152.9812759476776</v>
      </c>
      <c r="I753" s="7" t="n">
        <v>1.6</v>
      </c>
      <c r="J753" s="9" t="n">
        <v>0.019</v>
      </c>
      <c r="K753" s="49" t="inlineStr">
        <is>
          <t>Success</t>
        </is>
      </c>
      <c r="L753" s="7" t="n">
        <v>0.2294719139215164</v>
      </c>
      <c r="M753" s="7" t="n">
        <v>0</v>
      </c>
      <c r="N753" s="7" t="n">
        <v>1.835775311372132</v>
      </c>
    </row>
    <row r="754" ht="18" customHeight="1">
      <c r="A754" s="49" t="inlineStr">
        <is>
          <t>ACE-10753</t>
        </is>
      </c>
      <c r="B754" s="49" t="inlineStr">
        <is>
          <t>2026-05-13 18:19:59</t>
        </is>
      </c>
      <c r="C754" s="49" t="inlineStr">
        <is>
          <t>CUST-71172</t>
        </is>
      </c>
      <c r="D754" s="49" t="inlineStr">
        <is>
          <t>EUR-PKR</t>
        </is>
      </c>
      <c r="E754" s="49" t="inlineStr">
        <is>
          <t>EUR</t>
        </is>
      </c>
      <c r="F754" s="7" t="n">
        <v>171.4748737048281</v>
      </c>
      <c r="G754" s="8" t="n">
        <v>0.85</v>
      </c>
      <c r="H754" s="7" t="n">
        <v>145.7536426491039</v>
      </c>
      <c r="I754" s="7" t="n">
        <v>1.275</v>
      </c>
      <c r="J754" s="9" t="n">
        <v>0.023</v>
      </c>
      <c r="K754" s="49" t="inlineStr">
        <is>
          <t>Success</t>
        </is>
      </c>
      <c r="L754" s="7" t="n">
        <v>0.2186304639736559</v>
      </c>
      <c r="M754" s="7" t="n">
        <v>0.4372609279473118</v>
      </c>
      <c r="N754" s="7" t="n">
        <v>2.186304639736559</v>
      </c>
    </row>
    <row r="755" ht="18" customHeight="1">
      <c r="A755" s="49" t="inlineStr">
        <is>
          <t>ACE-10754</t>
        </is>
      </c>
      <c r="B755" s="49" t="inlineStr">
        <is>
          <t>2026-05-24 16:33:07</t>
        </is>
      </c>
      <c r="C755" s="49" t="inlineStr">
        <is>
          <t>CUST-66601</t>
        </is>
      </c>
      <c r="D755" s="49" t="inlineStr">
        <is>
          <t>USD-PKR</t>
        </is>
      </c>
      <c r="E755" s="49" t="inlineStr">
        <is>
          <t>USD</t>
        </is>
      </c>
      <c r="F755" s="7" t="n">
        <v>243.2261638712958</v>
      </c>
      <c r="G755" s="8" t="n">
        <v>0.8</v>
      </c>
      <c r="H755" s="7" t="n">
        <v>194.5809310970367</v>
      </c>
      <c r="I755" s="7" t="n">
        <v>1.6</v>
      </c>
      <c r="J755" s="9" t="n">
        <v>0.019</v>
      </c>
      <c r="K755" s="49" t="inlineStr">
        <is>
          <t>Success</t>
        </is>
      </c>
      <c r="L755" s="7" t="n">
        <v>0.291871396645555</v>
      </c>
      <c r="M755" s="7" t="n">
        <v>0</v>
      </c>
      <c r="N755" s="7" t="n">
        <v>2.33497117316444</v>
      </c>
    </row>
    <row r="756" ht="18" customHeight="1">
      <c r="A756" s="49" t="inlineStr">
        <is>
          <t>ACE-10755</t>
        </is>
      </c>
      <c r="B756" s="49" t="inlineStr">
        <is>
          <t>2026-05-12 08:55:42</t>
        </is>
      </c>
      <c r="C756" s="49" t="inlineStr">
        <is>
          <t>CUST-64272</t>
        </is>
      </c>
      <c r="D756" s="49" t="inlineStr">
        <is>
          <t>USD-PKR</t>
        </is>
      </c>
      <c r="E756" s="49" t="inlineStr">
        <is>
          <t>USD</t>
        </is>
      </c>
      <c r="F756" s="7" t="n">
        <v>199.076198300862</v>
      </c>
      <c r="G756" s="8" t="n">
        <v>0.8</v>
      </c>
      <c r="H756" s="7" t="n">
        <v>159.2609586406896</v>
      </c>
      <c r="I756" s="7" t="n">
        <v>1.6</v>
      </c>
      <c r="J756" s="9" t="n">
        <v>0.019</v>
      </c>
      <c r="K756" s="49" t="inlineStr">
        <is>
          <t>Success</t>
        </is>
      </c>
      <c r="L756" s="7" t="n">
        <v>0.2388914379610345</v>
      </c>
      <c r="M756" s="7" t="n">
        <v>0</v>
      </c>
      <c r="N756" s="7" t="n">
        <v>1.911131503688276</v>
      </c>
    </row>
    <row r="757" ht="18" customHeight="1">
      <c r="A757" s="49" t="inlineStr">
        <is>
          <t>ACE-10756</t>
        </is>
      </c>
      <c r="B757" s="49" t="inlineStr">
        <is>
          <t>2026-05-14 13:00:10</t>
        </is>
      </c>
      <c r="C757" s="49" t="inlineStr">
        <is>
          <t>CUST-68094</t>
        </is>
      </c>
      <c r="D757" s="49" t="inlineStr">
        <is>
          <t>GBP-PKR</t>
        </is>
      </c>
      <c r="E757" s="49" t="inlineStr">
        <is>
          <t>GBP</t>
        </is>
      </c>
      <c r="F757" s="7" t="n">
        <v>362.5012090693851</v>
      </c>
      <c r="G757" s="8" t="n">
        <v>1</v>
      </c>
      <c r="H757" s="7" t="n">
        <v>362.5012090693851</v>
      </c>
      <c r="I757" s="7" t="n">
        <v>1.5</v>
      </c>
      <c r="J757" s="9" t="n">
        <v>0.021</v>
      </c>
      <c r="K757" s="49" t="inlineStr">
        <is>
          <t>Success</t>
        </is>
      </c>
      <c r="L757" s="7" t="n">
        <v>0.5437518136040778</v>
      </c>
      <c r="M757" s="7" t="n">
        <v>0</v>
      </c>
      <c r="N757" s="7" t="n">
        <v>4.350014508832622</v>
      </c>
    </row>
    <row r="758" ht="18" customHeight="1">
      <c r="A758" s="49" t="inlineStr">
        <is>
          <t>ACE-10757</t>
        </is>
      </c>
      <c r="B758" s="49" t="inlineStr">
        <is>
          <t>2026-05-08 08:02:37</t>
        </is>
      </c>
      <c r="C758" s="49" t="inlineStr">
        <is>
          <t>CUST-95269</t>
        </is>
      </c>
      <c r="D758" s="49" t="inlineStr">
        <is>
          <t>GBP-PKR</t>
        </is>
      </c>
      <c r="E758" s="49" t="inlineStr">
        <is>
          <t>GBP</t>
        </is>
      </c>
      <c r="F758" s="7" t="n">
        <v>292.692155616182</v>
      </c>
      <c r="G758" s="8" t="n">
        <v>1</v>
      </c>
      <c r="H758" s="7" t="n">
        <v>292.692155616182</v>
      </c>
      <c r="I758" s="7" t="n">
        <v>1.5</v>
      </c>
      <c r="J758" s="9" t="n">
        <v>0.021</v>
      </c>
      <c r="K758" s="49" t="inlineStr">
        <is>
          <t>Success</t>
        </is>
      </c>
      <c r="L758" s="7" t="n">
        <v>0.439038233424273</v>
      </c>
      <c r="M758" s="7" t="n">
        <v>0</v>
      </c>
      <c r="N758" s="7" t="n">
        <v>3.512305867394184</v>
      </c>
    </row>
    <row r="759" ht="18" customHeight="1">
      <c r="A759" s="49" t="inlineStr">
        <is>
          <t>ACE-10758</t>
        </is>
      </c>
      <c r="B759" s="49" t="inlineStr">
        <is>
          <t>2026-05-12 20:05:15</t>
        </is>
      </c>
      <c r="C759" s="49" t="inlineStr">
        <is>
          <t>CUST-60334</t>
        </is>
      </c>
      <c r="D759" s="49" t="inlineStr">
        <is>
          <t>GBP-PKR</t>
        </is>
      </c>
      <c r="E759" s="49" t="inlineStr">
        <is>
          <t>GBP</t>
        </is>
      </c>
      <c r="F759" s="7" t="n">
        <v>283.8009793423608</v>
      </c>
      <c r="G759" s="8" t="n">
        <v>1</v>
      </c>
      <c r="H759" s="7" t="n">
        <v>283.8009793423608</v>
      </c>
      <c r="I759" s="7" t="n">
        <v>1.5</v>
      </c>
      <c r="J759" s="9" t="n">
        <v>0.021</v>
      </c>
      <c r="K759" s="49" t="inlineStr">
        <is>
          <t>Success</t>
        </is>
      </c>
      <c r="L759" s="7" t="n">
        <v>0.4257014690135413</v>
      </c>
      <c r="M759" s="7" t="n">
        <v>0.8514029380270826</v>
      </c>
      <c r="N759" s="7" t="n">
        <v>3.40561175210833</v>
      </c>
    </row>
    <row r="760" ht="18" customHeight="1">
      <c r="A760" s="49" t="inlineStr">
        <is>
          <t>ACE-10759</t>
        </is>
      </c>
      <c r="B760" s="49" t="inlineStr">
        <is>
          <t>2026-05-11 20:40:03</t>
        </is>
      </c>
      <c r="C760" s="49" t="inlineStr">
        <is>
          <t>CUST-53917</t>
        </is>
      </c>
      <c r="D760" s="49" t="inlineStr">
        <is>
          <t>USD-PKR</t>
        </is>
      </c>
      <c r="E760" s="49" t="inlineStr">
        <is>
          <t>USD</t>
        </is>
      </c>
      <c r="F760" s="7" t="n">
        <v>200.8968853736763</v>
      </c>
      <c r="G760" s="8" t="n">
        <v>0.8</v>
      </c>
      <c r="H760" s="7" t="n">
        <v>160.717508298941</v>
      </c>
      <c r="I760" s="7" t="n">
        <v>1.6</v>
      </c>
      <c r="J760" s="9" t="n">
        <v>0.019</v>
      </c>
      <c r="K760" s="49" t="inlineStr">
        <is>
          <t>Success</t>
        </is>
      </c>
      <c r="L760" s="7" t="n">
        <v>0.2410762624484115</v>
      </c>
      <c r="M760" s="7" t="n">
        <v>0</v>
      </c>
      <c r="N760" s="7" t="n">
        <v>1.928610099587292</v>
      </c>
    </row>
    <row r="761" ht="18" customHeight="1">
      <c r="A761" s="49" t="inlineStr">
        <is>
          <t>ACE-10760</t>
        </is>
      </c>
      <c r="B761" s="49" t="inlineStr">
        <is>
          <t>2026-05-18 20:06:08</t>
        </is>
      </c>
      <c r="C761" s="49" t="inlineStr">
        <is>
          <t>CUST-81971</t>
        </is>
      </c>
      <c r="D761" s="49" t="inlineStr">
        <is>
          <t>GBP-PKR</t>
        </is>
      </c>
      <c r="E761" s="49" t="inlineStr">
        <is>
          <t>GBP</t>
        </is>
      </c>
      <c r="F761" s="7" t="n">
        <v>298.8137863080569</v>
      </c>
      <c r="G761" s="8" t="n">
        <v>1</v>
      </c>
      <c r="H761" s="7" t="n">
        <v>298.8137863080569</v>
      </c>
      <c r="I761" s="7" t="n">
        <v>1.5</v>
      </c>
      <c r="J761" s="9" t="n">
        <v>0.021</v>
      </c>
      <c r="K761" s="49" t="inlineStr">
        <is>
          <t>Success</t>
        </is>
      </c>
      <c r="L761" s="7" t="n">
        <v>0.4482206794620853</v>
      </c>
      <c r="M761" s="7" t="n">
        <v>0.8964413589241707</v>
      </c>
      <c r="N761" s="7" t="n">
        <v>3.585765435696683</v>
      </c>
    </row>
    <row r="762" ht="18" customHeight="1">
      <c r="A762" s="49" t="inlineStr">
        <is>
          <t>ACE-10761</t>
        </is>
      </c>
      <c r="B762" s="49" t="inlineStr">
        <is>
          <t>2026-05-21 20:22:51</t>
        </is>
      </c>
      <c r="C762" s="49" t="inlineStr">
        <is>
          <t>CUST-78751</t>
        </is>
      </c>
      <c r="D762" s="49" t="inlineStr">
        <is>
          <t>GBP-PKR</t>
        </is>
      </c>
      <c r="E762" s="49" t="inlineStr">
        <is>
          <t>GBP</t>
        </is>
      </c>
      <c r="F762" s="7" t="n">
        <v>263.0188810184177</v>
      </c>
      <c r="G762" s="8" t="n">
        <v>1</v>
      </c>
      <c r="H762" s="7" t="n">
        <v>263.0188810184177</v>
      </c>
      <c r="I762" s="7" t="n">
        <v>1.5</v>
      </c>
      <c r="J762" s="9" t="n">
        <v>0.021</v>
      </c>
      <c r="K762" s="49" t="inlineStr">
        <is>
          <t>Success</t>
        </is>
      </c>
      <c r="L762" s="7" t="n">
        <v>0.3945283215276265</v>
      </c>
      <c r="M762" s="7" t="n">
        <v>0</v>
      </c>
      <c r="N762" s="7" t="n">
        <v>3.156226572221012</v>
      </c>
    </row>
    <row r="763" ht="18" customHeight="1">
      <c r="A763" s="49" t="inlineStr">
        <is>
          <t>ACE-10762</t>
        </is>
      </c>
      <c r="B763" s="49" t="inlineStr">
        <is>
          <t>2026-05-13 13:46:08</t>
        </is>
      </c>
      <c r="C763" s="49" t="inlineStr">
        <is>
          <t>CUST-66429</t>
        </is>
      </c>
      <c r="D763" s="49" t="inlineStr">
        <is>
          <t>GBP-PKR</t>
        </is>
      </c>
      <c r="E763" s="49" t="inlineStr">
        <is>
          <t>GBP</t>
        </is>
      </c>
      <c r="F763" s="7" t="n">
        <v>282.0235518456167</v>
      </c>
      <c r="G763" s="8" t="n">
        <v>1</v>
      </c>
      <c r="H763" s="7" t="n">
        <v>282.0235518456167</v>
      </c>
      <c r="I763" s="7" t="n">
        <v>1.5</v>
      </c>
      <c r="J763" s="9" t="n">
        <v>0.021</v>
      </c>
      <c r="K763" s="49" t="inlineStr">
        <is>
          <t>Success</t>
        </is>
      </c>
      <c r="L763" s="7" t="n">
        <v>0.423035327768425</v>
      </c>
      <c r="M763" s="7" t="n">
        <v>0</v>
      </c>
      <c r="N763" s="7" t="n">
        <v>3.3842826221474</v>
      </c>
    </row>
    <row r="764" ht="18" customHeight="1">
      <c r="A764" s="49" t="inlineStr">
        <is>
          <t>ACE-10763</t>
        </is>
      </c>
      <c r="B764" s="49" t="inlineStr">
        <is>
          <t>2026-05-15 16:18:34</t>
        </is>
      </c>
      <c r="C764" s="49" t="inlineStr">
        <is>
          <t>CUST-95681</t>
        </is>
      </c>
      <c r="D764" s="49" t="inlineStr">
        <is>
          <t>GBP-PKR</t>
        </is>
      </c>
      <c r="E764" s="49" t="inlineStr">
        <is>
          <t>GBP</t>
        </is>
      </c>
      <c r="F764" s="7" t="n">
        <v>359.8898660464978</v>
      </c>
      <c r="G764" s="8" t="n">
        <v>1</v>
      </c>
      <c r="H764" s="7" t="n">
        <v>359.8898660464978</v>
      </c>
      <c r="I764" s="7" t="n">
        <v>1.5</v>
      </c>
      <c r="J764" s="9" t="n">
        <v>0.021</v>
      </c>
      <c r="K764" s="49" t="inlineStr">
        <is>
          <t>Success</t>
        </is>
      </c>
      <c r="L764" s="7" t="n">
        <v>0.5398347990697467</v>
      </c>
      <c r="M764" s="7" t="n">
        <v>0</v>
      </c>
      <c r="N764" s="7" t="n">
        <v>4.318678392557974</v>
      </c>
    </row>
    <row r="765" ht="18" customHeight="1">
      <c r="A765" s="49" t="inlineStr">
        <is>
          <t>ACE-10764</t>
        </is>
      </c>
      <c r="B765" s="49" t="inlineStr">
        <is>
          <t>2026-05-18 13:20:46</t>
        </is>
      </c>
      <c r="C765" s="49" t="inlineStr">
        <is>
          <t>CUST-80696</t>
        </is>
      </c>
      <c r="D765" s="49" t="inlineStr">
        <is>
          <t>GBP-PKR</t>
        </is>
      </c>
      <c r="E765" s="49" t="inlineStr">
        <is>
          <t>GBP</t>
        </is>
      </c>
      <c r="F765" s="7" t="n">
        <v>275.9400448173221</v>
      </c>
      <c r="G765" s="8" t="n">
        <v>1</v>
      </c>
      <c r="H765" s="7" t="n">
        <v>275.9400448173221</v>
      </c>
      <c r="I765" s="7" t="n">
        <v>1.5</v>
      </c>
      <c r="J765" s="9" t="n">
        <v>0.021</v>
      </c>
      <c r="K765" s="49" t="inlineStr">
        <is>
          <t>Success</t>
        </is>
      </c>
      <c r="L765" s="7" t="n">
        <v>0.4139100672259831</v>
      </c>
      <c r="M765" s="7" t="n">
        <v>0.8278201344519662</v>
      </c>
      <c r="N765" s="7" t="n">
        <v>3.311280537807865</v>
      </c>
    </row>
    <row r="766" ht="18" customHeight="1">
      <c r="A766" s="49" t="inlineStr">
        <is>
          <t>ACE-10765</t>
        </is>
      </c>
      <c r="B766" s="49" t="inlineStr">
        <is>
          <t>2026-05-18 10:04:33</t>
        </is>
      </c>
      <c r="C766" s="49" t="inlineStr">
        <is>
          <t>CUST-60159</t>
        </is>
      </c>
      <c r="D766" s="49" t="inlineStr">
        <is>
          <t>GBP-PKR</t>
        </is>
      </c>
      <c r="E766" s="49" t="inlineStr">
        <is>
          <t>GBP</t>
        </is>
      </c>
      <c r="F766" s="7" t="n">
        <v>312.535147795615</v>
      </c>
      <c r="G766" s="8" t="n">
        <v>1</v>
      </c>
      <c r="H766" s="7" t="n">
        <v>312.535147795615</v>
      </c>
      <c r="I766" s="7" t="n">
        <v>1.5</v>
      </c>
      <c r="J766" s="9" t="n">
        <v>0.021</v>
      </c>
      <c r="K766" s="49" t="inlineStr">
        <is>
          <t>Success</t>
        </is>
      </c>
      <c r="L766" s="7" t="n">
        <v>0.4688027216934225</v>
      </c>
      <c r="M766" s="7" t="n">
        <v>0.937605443386845</v>
      </c>
      <c r="N766" s="7" t="n">
        <v>3.75042177354738</v>
      </c>
    </row>
    <row r="767" ht="18" customHeight="1">
      <c r="A767" s="49" t="inlineStr">
        <is>
          <t>ACE-10766</t>
        </is>
      </c>
      <c r="B767" s="49" t="inlineStr">
        <is>
          <t>2026-05-18 13:29:00</t>
        </is>
      </c>
      <c r="C767" s="49" t="inlineStr">
        <is>
          <t>CUST-91813</t>
        </is>
      </c>
      <c r="D767" s="49" t="inlineStr">
        <is>
          <t>GBP-PKR</t>
        </is>
      </c>
      <c r="E767" s="49" t="inlineStr">
        <is>
          <t>GBP</t>
        </is>
      </c>
      <c r="F767" s="7" t="n">
        <v>259.6856758593217</v>
      </c>
      <c r="G767" s="8" t="n">
        <v>1</v>
      </c>
      <c r="H767" s="7" t="n">
        <v>259.6856758593217</v>
      </c>
      <c r="I767" s="7" t="n">
        <v>1.5</v>
      </c>
      <c r="J767" s="9" t="n">
        <v>0.021</v>
      </c>
      <c r="K767" s="49" t="inlineStr">
        <is>
          <t>Success</t>
        </is>
      </c>
      <c r="L767" s="7" t="n">
        <v>0.3895285137889826</v>
      </c>
      <c r="M767" s="7" t="n">
        <v>0.7790570275779652</v>
      </c>
      <c r="N767" s="7" t="n">
        <v>3.116228110311861</v>
      </c>
    </row>
    <row r="768" ht="18" customHeight="1">
      <c r="A768" s="49" t="inlineStr">
        <is>
          <t>ACE-10767</t>
        </is>
      </c>
      <c r="B768" s="49" t="inlineStr">
        <is>
          <t>2026-05-01 17:54:23</t>
        </is>
      </c>
      <c r="C768" s="49" t="inlineStr">
        <is>
          <t>CUST-90645</t>
        </is>
      </c>
      <c r="D768" s="49" t="inlineStr">
        <is>
          <t>GBP-PKR</t>
        </is>
      </c>
      <c r="E768" s="49" t="inlineStr">
        <is>
          <t>GBP</t>
        </is>
      </c>
      <c r="F768" s="7" t="n">
        <v>277.6304059402469</v>
      </c>
      <c r="G768" s="8" t="n">
        <v>1</v>
      </c>
      <c r="H768" s="7" t="n">
        <v>277.6304059402469</v>
      </c>
      <c r="I768" s="7" t="n">
        <v>1.5</v>
      </c>
      <c r="J768" s="9" t="n">
        <v>0.021</v>
      </c>
      <c r="K768" s="49" t="inlineStr">
        <is>
          <t>Success</t>
        </is>
      </c>
      <c r="L768" s="7" t="n">
        <v>0.4164456089103703</v>
      </c>
      <c r="M768" s="7" t="n">
        <v>0.8328912178207406</v>
      </c>
      <c r="N768" s="7" t="n">
        <v>3.331564871282962</v>
      </c>
    </row>
    <row r="769" ht="18" customHeight="1">
      <c r="A769" s="49" t="inlineStr">
        <is>
          <t>ACE-10768</t>
        </is>
      </c>
      <c r="B769" s="49" t="inlineStr">
        <is>
          <t>2026-05-22 16:52:24</t>
        </is>
      </c>
      <c r="C769" s="49" t="inlineStr">
        <is>
          <t>CUST-62443</t>
        </is>
      </c>
      <c r="D769" s="49" t="inlineStr">
        <is>
          <t>GBP-PKR</t>
        </is>
      </c>
      <c r="E769" s="49" t="inlineStr">
        <is>
          <t>GBP</t>
        </is>
      </c>
      <c r="F769" s="7" t="n">
        <v>332.5764194872828</v>
      </c>
      <c r="G769" s="8" t="n">
        <v>1</v>
      </c>
      <c r="H769" s="7" t="n">
        <v>332.5764194872828</v>
      </c>
      <c r="I769" s="7" t="n">
        <v>1.5</v>
      </c>
      <c r="J769" s="9" t="n">
        <v>0.021</v>
      </c>
      <c r="K769" s="49" t="inlineStr">
        <is>
          <t>Success</t>
        </is>
      </c>
      <c r="L769" s="7" t="n">
        <v>0.4988646292309242</v>
      </c>
      <c r="M769" s="7" t="n">
        <v>0</v>
      </c>
      <c r="N769" s="7" t="n">
        <v>3.990917033847394</v>
      </c>
    </row>
    <row r="770" ht="18" customHeight="1">
      <c r="A770" s="49" t="inlineStr">
        <is>
          <t>ACE-10769</t>
        </is>
      </c>
      <c r="B770" s="49" t="inlineStr">
        <is>
          <t>2026-05-18 10:39:18</t>
        </is>
      </c>
      <c r="C770" s="49" t="inlineStr">
        <is>
          <t>CUST-71141</t>
        </is>
      </c>
      <c r="D770" s="49" t="inlineStr">
        <is>
          <t>USD-PKR</t>
        </is>
      </c>
      <c r="E770" s="49" t="inlineStr">
        <is>
          <t>USD</t>
        </is>
      </c>
      <c r="F770" s="7" t="n">
        <v>205.5996519179681</v>
      </c>
      <c r="G770" s="8" t="n">
        <v>0.8</v>
      </c>
      <c r="H770" s="7" t="n">
        <v>164.4797215343745</v>
      </c>
      <c r="I770" s="7" t="n">
        <v>1.6</v>
      </c>
      <c r="J770" s="9" t="n">
        <v>0.019</v>
      </c>
      <c r="K770" s="49" t="inlineStr">
        <is>
          <t>Success</t>
        </is>
      </c>
      <c r="L770" s="7" t="n">
        <v>0.2467195823015618</v>
      </c>
      <c r="M770" s="7" t="n">
        <v>0</v>
      </c>
      <c r="N770" s="7" t="n">
        <v>1.973756658412494</v>
      </c>
    </row>
    <row r="771" ht="18" customHeight="1">
      <c r="A771" s="49" t="inlineStr">
        <is>
          <t>ACE-10770</t>
        </is>
      </c>
      <c r="B771" s="49" t="inlineStr">
        <is>
          <t>2026-05-04 16:42:04</t>
        </is>
      </c>
      <c r="C771" s="49" t="inlineStr">
        <is>
          <t>CUST-52868</t>
        </is>
      </c>
      <c r="D771" s="49" t="inlineStr">
        <is>
          <t>GBP-PKR</t>
        </is>
      </c>
      <c r="E771" s="49" t="inlineStr">
        <is>
          <t>GBP</t>
        </is>
      </c>
      <c r="F771" s="7" t="n">
        <v>333.9644195367071</v>
      </c>
      <c r="G771" s="8" t="n">
        <v>1</v>
      </c>
      <c r="H771" s="7" t="n">
        <v>333.9644195367071</v>
      </c>
      <c r="I771" s="7" t="n">
        <v>1.5</v>
      </c>
      <c r="J771" s="9" t="n">
        <v>0.021</v>
      </c>
      <c r="K771" s="49" t="inlineStr">
        <is>
          <t>Success</t>
        </is>
      </c>
      <c r="L771" s="7" t="n">
        <v>0.5009466293050607</v>
      </c>
      <c r="M771" s="7" t="n">
        <v>0</v>
      </c>
      <c r="N771" s="7" t="n">
        <v>4.007573034440486</v>
      </c>
    </row>
    <row r="772" ht="18" customHeight="1">
      <c r="A772" s="49" t="inlineStr">
        <is>
          <t>ACE-10771</t>
        </is>
      </c>
      <c r="B772" s="49" t="inlineStr">
        <is>
          <t>2026-05-02 11:06:31</t>
        </is>
      </c>
      <c r="C772" s="49" t="inlineStr">
        <is>
          <t>CUST-62557</t>
        </is>
      </c>
      <c r="D772" s="49" t="inlineStr">
        <is>
          <t>EUR-PKR</t>
        </is>
      </c>
      <c r="E772" s="49" t="inlineStr">
        <is>
          <t>EUR</t>
        </is>
      </c>
      <c r="F772" s="7" t="n">
        <v>202.9174539802635</v>
      </c>
      <c r="G772" s="8" t="n">
        <v>0.85</v>
      </c>
      <c r="H772" s="7" t="n">
        <v>172.479835883224</v>
      </c>
      <c r="I772" s="7" t="n">
        <v>1.275</v>
      </c>
      <c r="J772" s="9" t="n">
        <v>0.023</v>
      </c>
      <c r="K772" s="49" t="inlineStr">
        <is>
          <t>Success</t>
        </is>
      </c>
      <c r="L772" s="7" t="n">
        <v>0.2587197538248359</v>
      </c>
      <c r="M772" s="7" t="n">
        <v>0</v>
      </c>
      <c r="N772" s="7" t="n">
        <v>2.587197538248359</v>
      </c>
    </row>
    <row r="773" ht="18" customHeight="1">
      <c r="A773" s="49" t="inlineStr">
        <is>
          <t>ACE-10772</t>
        </is>
      </c>
      <c r="B773" s="49" t="inlineStr">
        <is>
          <t>2026-05-13 18:31:33</t>
        </is>
      </c>
      <c r="C773" s="49" t="inlineStr">
        <is>
          <t>CUST-90892</t>
        </is>
      </c>
      <c r="D773" s="49" t="inlineStr">
        <is>
          <t>USD-PKR</t>
        </is>
      </c>
      <c r="E773" s="49" t="inlineStr">
        <is>
          <t>USD</t>
        </is>
      </c>
      <c r="F773" s="7" t="n">
        <v>206.9300614456373</v>
      </c>
      <c r="G773" s="8" t="n">
        <v>0.8</v>
      </c>
      <c r="H773" s="7" t="n">
        <v>165.5440491565098</v>
      </c>
      <c r="I773" s="7" t="n">
        <v>1.6</v>
      </c>
      <c r="J773" s="9" t="n">
        <v>0.019</v>
      </c>
      <c r="K773" s="49" t="inlineStr">
        <is>
          <t>Success</t>
        </is>
      </c>
      <c r="L773" s="7" t="n">
        <v>0.2483160737347647</v>
      </c>
      <c r="M773" s="7" t="n">
        <v>0</v>
      </c>
      <c r="N773" s="7" t="n">
        <v>1.986528589878118</v>
      </c>
    </row>
    <row r="774" ht="18" customHeight="1">
      <c r="A774" s="49" t="inlineStr">
        <is>
          <t>ACE-10773</t>
        </is>
      </c>
      <c r="B774" s="49" t="inlineStr">
        <is>
          <t>2026-05-12 11:38:45</t>
        </is>
      </c>
      <c r="C774" s="49" t="inlineStr">
        <is>
          <t>CUST-54644</t>
        </is>
      </c>
      <c r="D774" s="49" t="inlineStr">
        <is>
          <t>GBP-PKR</t>
        </is>
      </c>
      <c r="E774" s="49" t="inlineStr">
        <is>
          <t>GBP</t>
        </is>
      </c>
      <c r="F774" s="7" t="n">
        <v>296.7916498814345</v>
      </c>
      <c r="G774" s="8" t="n">
        <v>1</v>
      </c>
      <c r="H774" s="7" t="n">
        <v>296.7916498814345</v>
      </c>
      <c r="I774" s="7" t="n">
        <v>1.5</v>
      </c>
      <c r="J774" s="9" t="n">
        <v>0.021</v>
      </c>
      <c r="K774" s="49" t="inlineStr">
        <is>
          <t>Failed</t>
        </is>
      </c>
      <c r="L774" s="7" t="n">
        <v>0</v>
      </c>
      <c r="M774" s="7" t="n">
        <v>0</v>
      </c>
      <c r="N774" s="7" t="n">
        <v>0.5</v>
      </c>
    </row>
    <row r="775" ht="18" customHeight="1">
      <c r="A775" s="49" t="inlineStr">
        <is>
          <t>ACE-10774</t>
        </is>
      </c>
      <c r="B775" s="49" t="inlineStr">
        <is>
          <t>2026-05-07 18:31:59</t>
        </is>
      </c>
      <c r="C775" s="49" t="inlineStr">
        <is>
          <t>CUST-55240</t>
        </is>
      </c>
      <c r="D775" s="49" t="inlineStr">
        <is>
          <t>GBP-PKR</t>
        </is>
      </c>
      <c r="E775" s="49" t="inlineStr">
        <is>
          <t>GBP</t>
        </is>
      </c>
      <c r="F775" s="7" t="n">
        <v>307.0605772429955</v>
      </c>
      <c r="G775" s="8" t="n">
        <v>1</v>
      </c>
      <c r="H775" s="7" t="n">
        <v>307.0605772429955</v>
      </c>
      <c r="I775" s="7" t="n">
        <v>1.5</v>
      </c>
      <c r="J775" s="9" t="n">
        <v>0.021</v>
      </c>
      <c r="K775" s="49" t="inlineStr">
        <is>
          <t>Success</t>
        </is>
      </c>
      <c r="L775" s="7" t="n">
        <v>0.4605908658644933</v>
      </c>
      <c r="M775" s="7" t="n">
        <v>0.9211817317289865</v>
      </c>
      <c r="N775" s="7" t="n">
        <v>3.684726926915946</v>
      </c>
    </row>
    <row r="776" ht="18" customHeight="1">
      <c r="A776" s="49" t="inlineStr">
        <is>
          <t>ACE-10775</t>
        </is>
      </c>
      <c r="B776" s="49" t="inlineStr">
        <is>
          <t>2026-05-12 16:47:56</t>
        </is>
      </c>
      <c r="C776" s="49" t="inlineStr">
        <is>
          <t>CUST-77259</t>
        </is>
      </c>
      <c r="D776" s="49" t="inlineStr">
        <is>
          <t>GBP-PKR</t>
        </is>
      </c>
      <c r="E776" s="49" t="inlineStr">
        <is>
          <t>GBP</t>
        </is>
      </c>
      <c r="F776" s="7" t="n">
        <v>296.4772833228968</v>
      </c>
      <c r="G776" s="8" t="n">
        <v>1</v>
      </c>
      <c r="H776" s="7" t="n">
        <v>296.4772833228968</v>
      </c>
      <c r="I776" s="7" t="n">
        <v>1.5</v>
      </c>
      <c r="J776" s="9" t="n">
        <v>0.021</v>
      </c>
      <c r="K776" s="49" t="inlineStr">
        <is>
          <t>Success</t>
        </is>
      </c>
      <c r="L776" s="7" t="n">
        <v>0.4447159249843451</v>
      </c>
      <c r="M776" s="7" t="n">
        <v>0.8894318499686903</v>
      </c>
      <c r="N776" s="7" t="n">
        <v>3.557727399874761</v>
      </c>
    </row>
    <row r="777" ht="18" customHeight="1">
      <c r="A777" s="49" t="inlineStr">
        <is>
          <t>ACE-10776</t>
        </is>
      </c>
      <c r="B777" s="49" t="inlineStr">
        <is>
          <t>2026-05-02 17:17:33</t>
        </is>
      </c>
      <c r="C777" s="49" t="inlineStr">
        <is>
          <t>CUST-52664</t>
        </is>
      </c>
      <c r="D777" s="49" t="inlineStr">
        <is>
          <t>GBP-PKR</t>
        </is>
      </c>
      <c r="E777" s="49" t="inlineStr">
        <is>
          <t>GBP</t>
        </is>
      </c>
      <c r="F777" s="7" t="n">
        <v>238.1181862218687</v>
      </c>
      <c r="G777" s="8" t="n">
        <v>1</v>
      </c>
      <c r="H777" s="7" t="n">
        <v>238.1181862218687</v>
      </c>
      <c r="I777" s="7" t="n">
        <v>1.5</v>
      </c>
      <c r="J777" s="9" t="n">
        <v>0.021</v>
      </c>
      <c r="K777" s="49" t="inlineStr">
        <is>
          <t>Success</t>
        </is>
      </c>
      <c r="L777" s="7" t="n">
        <v>0.3571772793328031</v>
      </c>
      <c r="M777" s="7" t="n">
        <v>0.7143545586656062</v>
      </c>
      <c r="N777" s="7" t="n">
        <v>2.857418234662425</v>
      </c>
    </row>
    <row r="778" ht="18" customHeight="1">
      <c r="A778" s="49" t="inlineStr">
        <is>
          <t>ACE-10777</t>
        </is>
      </c>
      <c r="B778" s="49" t="inlineStr">
        <is>
          <t>2026-05-03 11:33:06</t>
        </is>
      </c>
      <c r="C778" s="49" t="inlineStr">
        <is>
          <t>CUST-56633</t>
        </is>
      </c>
      <c r="D778" s="49" t="inlineStr">
        <is>
          <t>GBP-PKR</t>
        </is>
      </c>
      <c r="E778" s="49" t="inlineStr">
        <is>
          <t>GBP</t>
        </is>
      </c>
      <c r="F778" s="7" t="n">
        <v>259.0641943409082</v>
      </c>
      <c r="G778" s="8" t="n">
        <v>1</v>
      </c>
      <c r="H778" s="7" t="n">
        <v>259.0641943409082</v>
      </c>
      <c r="I778" s="7" t="n">
        <v>1.5</v>
      </c>
      <c r="J778" s="9" t="n">
        <v>0.021</v>
      </c>
      <c r="K778" s="49" t="inlineStr">
        <is>
          <t>Success</t>
        </is>
      </c>
      <c r="L778" s="7" t="n">
        <v>0.3885962915113623</v>
      </c>
      <c r="M778" s="7" t="n">
        <v>0</v>
      </c>
      <c r="N778" s="7" t="n">
        <v>3.108770332090898</v>
      </c>
    </row>
    <row r="779" ht="18" customHeight="1">
      <c r="A779" s="49" t="inlineStr">
        <is>
          <t>ACE-10778</t>
        </is>
      </c>
      <c r="B779" s="49" t="inlineStr">
        <is>
          <t>2026-05-07 11:33:42</t>
        </is>
      </c>
      <c r="C779" s="49" t="inlineStr">
        <is>
          <t>CUST-66302</t>
        </is>
      </c>
      <c r="D779" s="49" t="inlineStr">
        <is>
          <t>USD-PKR</t>
        </is>
      </c>
      <c r="E779" s="49" t="inlineStr">
        <is>
          <t>USD</t>
        </is>
      </c>
      <c r="F779" s="7" t="n">
        <v>213.5510005929483</v>
      </c>
      <c r="G779" s="8" t="n">
        <v>0.8</v>
      </c>
      <c r="H779" s="7" t="n">
        <v>170.8408004743587</v>
      </c>
      <c r="I779" s="7" t="n">
        <v>1.6</v>
      </c>
      <c r="J779" s="9" t="n">
        <v>0.019</v>
      </c>
      <c r="K779" s="49" t="inlineStr">
        <is>
          <t>Success</t>
        </is>
      </c>
      <c r="L779" s="7" t="n">
        <v>0.256261200711538</v>
      </c>
      <c r="M779" s="7" t="n">
        <v>0.512522401423076</v>
      </c>
      <c r="N779" s="7" t="n">
        <v>2.050089605692304</v>
      </c>
    </row>
    <row r="780" ht="18" customHeight="1">
      <c r="A780" s="49" t="inlineStr">
        <is>
          <t>ACE-10779</t>
        </is>
      </c>
      <c r="B780" s="49" t="inlineStr">
        <is>
          <t>2026-05-18 19:35:26</t>
        </is>
      </c>
      <c r="C780" s="49" t="inlineStr">
        <is>
          <t>CUST-98896</t>
        </is>
      </c>
      <c r="D780" s="49" t="inlineStr">
        <is>
          <t>GBP-PKR</t>
        </is>
      </c>
      <c r="E780" s="49" t="inlineStr">
        <is>
          <t>GBP</t>
        </is>
      </c>
      <c r="F780" s="7" t="n">
        <v>276.5374515017257</v>
      </c>
      <c r="G780" s="8" t="n">
        <v>1</v>
      </c>
      <c r="H780" s="7" t="n">
        <v>276.5374515017257</v>
      </c>
      <c r="I780" s="7" t="n">
        <v>1.5</v>
      </c>
      <c r="J780" s="9" t="n">
        <v>0.021</v>
      </c>
      <c r="K780" s="49" t="inlineStr">
        <is>
          <t>Success</t>
        </is>
      </c>
      <c r="L780" s="7" t="n">
        <v>0.4148061772525886</v>
      </c>
      <c r="M780" s="7" t="n">
        <v>0.8296123545051772</v>
      </c>
      <c r="N780" s="7" t="n">
        <v>3.318449418020709</v>
      </c>
    </row>
    <row r="781" ht="18" customHeight="1">
      <c r="A781" s="49" t="inlineStr">
        <is>
          <t>ACE-10780</t>
        </is>
      </c>
      <c r="B781" s="49" t="inlineStr">
        <is>
          <t>2026-05-12 18:29:44</t>
        </is>
      </c>
      <c r="C781" s="49" t="inlineStr">
        <is>
          <t>CUST-93597</t>
        </is>
      </c>
      <c r="D781" s="49" t="inlineStr">
        <is>
          <t>GBP-PKR</t>
        </is>
      </c>
      <c r="E781" s="49" t="inlineStr">
        <is>
          <t>GBP</t>
        </is>
      </c>
      <c r="F781" s="7" t="n">
        <v>296.443550139611</v>
      </c>
      <c r="G781" s="8" t="n">
        <v>1</v>
      </c>
      <c r="H781" s="7" t="n">
        <v>296.443550139611</v>
      </c>
      <c r="I781" s="7" t="n">
        <v>1.5</v>
      </c>
      <c r="J781" s="9" t="n">
        <v>0.021</v>
      </c>
      <c r="K781" s="49" t="inlineStr">
        <is>
          <t>Success</t>
        </is>
      </c>
      <c r="L781" s="7" t="n">
        <v>0.4446653252094165</v>
      </c>
      <c r="M781" s="7" t="n">
        <v>0</v>
      </c>
      <c r="N781" s="7" t="n">
        <v>3.557322601675332</v>
      </c>
    </row>
    <row r="782" ht="18" customHeight="1">
      <c r="A782" s="49" t="inlineStr">
        <is>
          <t>ACE-10781</t>
        </is>
      </c>
      <c r="B782" s="49" t="inlineStr">
        <is>
          <t>2026-05-06 16:25:32</t>
        </is>
      </c>
      <c r="C782" s="49" t="inlineStr">
        <is>
          <t>CUST-72119</t>
        </is>
      </c>
      <c r="D782" s="49" t="inlineStr">
        <is>
          <t>GBP-PKR</t>
        </is>
      </c>
      <c r="E782" s="49" t="inlineStr">
        <is>
          <t>GBP</t>
        </is>
      </c>
      <c r="F782" s="7" t="n">
        <v>283.5985560839409</v>
      </c>
      <c r="G782" s="8" t="n">
        <v>1</v>
      </c>
      <c r="H782" s="7" t="n">
        <v>283.5985560839409</v>
      </c>
      <c r="I782" s="7" t="n">
        <v>1.5</v>
      </c>
      <c r="J782" s="9" t="n">
        <v>0.021</v>
      </c>
      <c r="K782" s="49" t="inlineStr">
        <is>
          <t>Success</t>
        </is>
      </c>
      <c r="L782" s="7" t="n">
        <v>0.4253978341259114</v>
      </c>
      <c r="M782" s="7" t="n">
        <v>0</v>
      </c>
      <c r="N782" s="7" t="n">
        <v>3.403182673007291</v>
      </c>
    </row>
    <row r="783" ht="18" customHeight="1">
      <c r="A783" s="49" t="inlineStr">
        <is>
          <t>ACE-10782</t>
        </is>
      </c>
      <c r="B783" s="49" t="inlineStr">
        <is>
          <t>2026-05-20 15:59:22</t>
        </is>
      </c>
      <c r="C783" s="49" t="inlineStr">
        <is>
          <t>CUST-70653</t>
        </is>
      </c>
      <c r="D783" s="49" t="inlineStr">
        <is>
          <t>GBP-PKR</t>
        </is>
      </c>
      <c r="E783" s="49" t="inlineStr">
        <is>
          <t>GBP</t>
        </is>
      </c>
      <c r="F783" s="7" t="n">
        <v>243.777315526619</v>
      </c>
      <c r="G783" s="8" t="n">
        <v>1</v>
      </c>
      <c r="H783" s="7" t="n">
        <v>243.777315526619</v>
      </c>
      <c r="I783" s="7" t="n">
        <v>1.5</v>
      </c>
      <c r="J783" s="9" t="n">
        <v>0.021</v>
      </c>
      <c r="K783" s="49" t="inlineStr">
        <is>
          <t>Success</t>
        </is>
      </c>
      <c r="L783" s="7" t="n">
        <v>0.3656659732899284</v>
      </c>
      <c r="M783" s="7" t="n">
        <v>0.7313319465798569</v>
      </c>
      <c r="N783" s="7" t="n">
        <v>2.925327786319428</v>
      </c>
    </row>
    <row r="784" ht="18" customHeight="1">
      <c r="A784" s="49" t="inlineStr">
        <is>
          <t>ACE-10783</t>
        </is>
      </c>
      <c r="B784" s="49" t="inlineStr">
        <is>
          <t>2026-05-12 14:48:40</t>
        </is>
      </c>
      <c r="C784" s="49" t="inlineStr">
        <is>
          <t>CUST-78219</t>
        </is>
      </c>
      <c r="D784" s="49" t="inlineStr">
        <is>
          <t>GBP-PKR</t>
        </is>
      </c>
      <c r="E784" s="49" t="inlineStr">
        <is>
          <t>GBP</t>
        </is>
      </c>
      <c r="F784" s="7" t="n">
        <v>289.3998767365968</v>
      </c>
      <c r="G784" s="8" t="n">
        <v>1</v>
      </c>
      <c r="H784" s="7" t="n">
        <v>289.3998767365968</v>
      </c>
      <c r="I784" s="7" t="n">
        <v>1.5</v>
      </c>
      <c r="J784" s="9" t="n">
        <v>0.021</v>
      </c>
      <c r="K784" s="49" t="inlineStr">
        <is>
          <t>Success</t>
        </is>
      </c>
      <c r="L784" s="7" t="n">
        <v>0.4340998151048952</v>
      </c>
      <c r="M784" s="7" t="n">
        <v>0</v>
      </c>
      <c r="N784" s="7" t="n">
        <v>3.472798520839162</v>
      </c>
    </row>
    <row r="785" ht="18" customHeight="1">
      <c r="A785" s="49" t="inlineStr">
        <is>
          <t>ACE-10784</t>
        </is>
      </c>
      <c r="B785" s="49" t="inlineStr">
        <is>
          <t>2026-05-08 17:34:13</t>
        </is>
      </c>
      <c r="C785" s="49" t="inlineStr">
        <is>
          <t>CUST-74580</t>
        </is>
      </c>
      <c r="D785" s="49" t="inlineStr">
        <is>
          <t>GBP-PKR</t>
        </is>
      </c>
      <c r="E785" s="49" t="inlineStr">
        <is>
          <t>GBP</t>
        </is>
      </c>
      <c r="F785" s="7" t="n">
        <v>296.1446974742159</v>
      </c>
      <c r="G785" s="8" t="n">
        <v>1</v>
      </c>
      <c r="H785" s="7" t="n">
        <v>296.1446974742159</v>
      </c>
      <c r="I785" s="7" t="n">
        <v>1.5</v>
      </c>
      <c r="J785" s="9" t="n">
        <v>0.021</v>
      </c>
      <c r="K785" s="49" t="inlineStr">
        <is>
          <t>Success</t>
        </is>
      </c>
      <c r="L785" s="7" t="n">
        <v>0.4442170462113239</v>
      </c>
      <c r="M785" s="7" t="n">
        <v>0.8884340924226477</v>
      </c>
      <c r="N785" s="7" t="n">
        <v>3.553736369690591</v>
      </c>
    </row>
    <row r="786" ht="18" customHeight="1">
      <c r="A786" s="49" t="inlineStr">
        <is>
          <t>ACE-10785</t>
        </is>
      </c>
      <c r="B786" s="49" t="inlineStr">
        <is>
          <t>2026-05-09 13:28:28</t>
        </is>
      </c>
      <c r="C786" s="49" t="inlineStr">
        <is>
          <t>CUST-76023</t>
        </is>
      </c>
      <c r="D786" s="49" t="inlineStr">
        <is>
          <t>GBP-PKR</t>
        </is>
      </c>
      <c r="E786" s="49" t="inlineStr">
        <is>
          <t>GBP</t>
        </is>
      </c>
      <c r="F786" s="7" t="n">
        <v>294.6442357236841</v>
      </c>
      <c r="G786" s="8" t="n">
        <v>1</v>
      </c>
      <c r="H786" s="7" t="n">
        <v>294.6442357236841</v>
      </c>
      <c r="I786" s="7" t="n">
        <v>1.5</v>
      </c>
      <c r="J786" s="9" t="n">
        <v>0.021</v>
      </c>
      <c r="K786" s="49" t="inlineStr">
        <is>
          <t>Failed</t>
        </is>
      </c>
      <c r="L786" s="7" t="n">
        <v>0</v>
      </c>
      <c r="M786" s="7" t="n">
        <v>0</v>
      </c>
      <c r="N786" s="7" t="n">
        <v>0.5</v>
      </c>
    </row>
    <row r="787" ht="18" customHeight="1">
      <c r="A787" s="49" t="inlineStr">
        <is>
          <t>ACE-10786</t>
        </is>
      </c>
      <c r="B787" s="49" t="inlineStr">
        <is>
          <t>2026-05-02 12:38:01</t>
        </is>
      </c>
      <c r="C787" s="49" t="inlineStr">
        <is>
          <t>CUST-83922</t>
        </is>
      </c>
      <c r="D787" s="49" t="inlineStr">
        <is>
          <t>GBP-PKR</t>
        </is>
      </c>
      <c r="E787" s="49" t="inlineStr">
        <is>
          <t>GBP</t>
        </is>
      </c>
      <c r="F787" s="7" t="n">
        <v>310.4018274591965</v>
      </c>
      <c r="G787" s="8" t="n">
        <v>1</v>
      </c>
      <c r="H787" s="7" t="n">
        <v>310.4018274591965</v>
      </c>
      <c r="I787" s="7" t="n">
        <v>1.5</v>
      </c>
      <c r="J787" s="9" t="n">
        <v>0.021</v>
      </c>
      <c r="K787" s="49" t="inlineStr">
        <is>
          <t>Success</t>
        </is>
      </c>
      <c r="L787" s="7" t="n">
        <v>0.4656027411887948</v>
      </c>
      <c r="M787" s="7" t="n">
        <v>0.9312054823775896</v>
      </c>
      <c r="N787" s="7" t="n">
        <v>3.724821929510358</v>
      </c>
    </row>
    <row r="788" ht="18" customHeight="1">
      <c r="A788" s="49" t="inlineStr">
        <is>
          <t>ACE-10787</t>
        </is>
      </c>
      <c r="B788" s="49" t="inlineStr">
        <is>
          <t>2026-05-01 12:14:13</t>
        </is>
      </c>
      <c r="C788" s="49" t="inlineStr">
        <is>
          <t>CUST-70637</t>
        </is>
      </c>
      <c r="D788" s="49" t="inlineStr">
        <is>
          <t>USD-PKR</t>
        </is>
      </c>
      <c r="E788" s="49" t="inlineStr">
        <is>
          <t>USD</t>
        </is>
      </c>
      <c r="F788" s="7" t="n">
        <v>237.9402904675434</v>
      </c>
      <c r="G788" s="8" t="n">
        <v>0.8</v>
      </c>
      <c r="H788" s="7" t="n">
        <v>190.3522323740347</v>
      </c>
      <c r="I788" s="7" t="n">
        <v>1.6</v>
      </c>
      <c r="J788" s="9" t="n">
        <v>0.019</v>
      </c>
      <c r="K788" s="49" t="inlineStr">
        <is>
          <t>Success</t>
        </is>
      </c>
      <c r="L788" s="7" t="n">
        <v>0.2855283485610521</v>
      </c>
      <c r="M788" s="7" t="n">
        <v>0.5710566971221043</v>
      </c>
      <c r="N788" s="7" t="n">
        <v>2.284226788488417</v>
      </c>
    </row>
    <row r="789" ht="18" customHeight="1">
      <c r="A789" s="49" t="inlineStr">
        <is>
          <t>ACE-10788</t>
        </is>
      </c>
      <c r="B789" s="49" t="inlineStr">
        <is>
          <t>2026-05-23 12:58:35</t>
        </is>
      </c>
      <c r="C789" s="49" t="inlineStr">
        <is>
          <t>CUST-83506</t>
        </is>
      </c>
      <c r="D789" s="49" t="inlineStr">
        <is>
          <t>GBP-PKR</t>
        </is>
      </c>
      <c r="E789" s="49" t="inlineStr">
        <is>
          <t>GBP</t>
        </is>
      </c>
      <c r="F789" s="7" t="n">
        <v>291.6946719201733</v>
      </c>
      <c r="G789" s="8" t="n">
        <v>1</v>
      </c>
      <c r="H789" s="7" t="n">
        <v>291.6946719201733</v>
      </c>
      <c r="I789" s="7" t="n">
        <v>1.5</v>
      </c>
      <c r="J789" s="9" t="n">
        <v>0.021</v>
      </c>
      <c r="K789" s="49" t="inlineStr">
        <is>
          <t>Success</t>
        </is>
      </c>
      <c r="L789" s="7" t="n">
        <v>0.43754200788026</v>
      </c>
      <c r="M789" s="7" t="n">
        <v>0.87508401576052</v>
      </c>
      <c r="N789" s="7" t="n">
        <v>3.50033606304208</v>
      </c>
    </row>
    <row r="790" ht="18" customHeight="1">
      <c r="A790" s="49" t="inlineStr">
        <is>
          <t>ACE-10789</t>
        </is>
      </c>
      <c r="B790" s="49" t="inlineStr">
        <is>
          <t>2026-05-05 09:02:29</t>
        </is>
      </c>
      <c r="C790" s="49" t="inlineStr">
        <is>
          <t>CUST-73308</t>
        </is>
      </c>
      <c r="D790" s="49" t="inlineStr">
        <is>
          <t>USD-PKR</t>
        </is>
      </c>
      <c r="E790" s="49" t="inlineStr">
        <is>
          <t>USD</t>
        </is>
      </c>
      <c r="F790" s="7" t="n">
        <v>217.3721746937653</v>
      </c>
      <c r="G790" s="8" t="n">
        <v>0.8</v>
      </c>
      <c r="H790" s="7" t="n">
        <v>173.8977397550123</v>
      </c>
      <c r="I790" s="7" t="n">
        <v>1.6</v>
      </c>
      <c r="J790" s="9" t="n">
        <v>0.019</v>
      </c>
      <c r="K790" s="49" t="inlineStr">
        <is>
          <t>Success</t>
        </is>
      </c>
      <c r="L790" s="7" t="n">
        <v>0.2608466096325184</v>
      </c>
      <c r="M790" s="7" t="n">
        <v>0</v>
      </c>
      <c r="N790" s="7" t="n">
        <v>2.086772877060147</v>
      </c>
    </row>
    <row r="791" ht="18" customHeight="1">
      <c r="A791" s="49" t="inlineStr">
        <is>
          <t>ACE-10790</t>
        </is>
      </c>
      <c r="B791" s="49" t="inlineStr">
        <is>
          <t>2026-05-19 11:14:16</t>
        </is>
      </c>
      <c r="C791" s="49" t="inlineStr">
        <is>
          <t>CUST-69680</t>
        </is>
      </c>
      <c r="D791" s="49" t="inlineStr">
        <is>
          <t>EUR-PKR</t>
        </is>
      </c>
      <c r="E791" s="49" t="inlineStr">
        <is>
          <t>EUR</t>
        </is>
      </c>
      <c r="F791" s="7" t="n">
        <v>160.1207116844661</v>
      </c>
      <c r="G791" s="8" t="n">
        <v>0.85</v>
      </c>
      <c r="H791" s="7" t="n">
        <v>136.1026049317962</v>
      </c>
      <c r="I791" s="7" t="n">
        <v>1.275</v>
      </c>
      <c r="J791" s="9" t="n">
        <v>0.023</v>
      </c>
      <c r="K791" s="49" t="inlineStr">
        <is>
          <t>Success</t>
        </is>
      </c>
      <c r="L791" s="7" t="n">
        <v>0.2041539073976942</v>
      </c>
      <c r="M791" s="7" t="n">
        <v>0</v>
      </c>
      <c r="N791" s="7" t="n">
        <v>2.041539073976942</v>
      </c>
    </row>
    <row r="792" ht="18" customHeight="1">
      <c r="A792" s="49" t="inlineStr">
        <is>
          <t>ACE-10791</t>
        </is>
      </c>
      <c r="B792" s="49" t="inlineStr">
        <is>
          <t>2026-05-07 19:04:46</t>
        </is>
      </c>
      <c r="C792" s="49" t="inlineStr">
        <is>
          <t>CUST-71279</t>
        </is>
      </c>
      <c r="D792" s="49" t="inlineStr">
        <is>
          <t>USD-PKR</t>
        </is>
      </c>
      <c r="E792" s="49" t="inlineStr">
        <is>
          <t>USD</t>
        </is>
      </c>
      <c r="F792" s="7" t="n">
        <v>228.5121469101655</v>
      </c>
      <c r="G792" s="8" t="n">
        <v>0.8</v>
      </c>
      <c r="H792" s="7" t="n">
        <v>182.8097175281324</v>
      </c>
      <c r="I792" s="7" t="n">
        <v>1.6</v>
      </c>
      <c r="J792" s="9" t="n">
        <v>0.019</v>
      </c>
      <c r="K792" s="49" t="inlineStr">
        <is>
          <t>Success</t>
        </is>
      </c>
      <c r="L792" s="7" t="n">
        <v>0.2742145762921986</v>
      </c>
      <c r="M792" s="7" t="n">
        <v>0</v>
      </c>
      <c r="N792" s="7" t="n">
        <v>2.193716610337589</v>
      </c>
    </row>
    <row r="793" ht="18" customHeight="1">
      <c r="A793" s="49" t="inlineStr">
        <is>
          <t>ACE-10792</t>
        </is>
      </c>
      <c r="B793" s="49" t="inlineStr">
        <is>
          <t>2026-05-23 19:36:52</t>
        </is>
      </c>
      <c r="C793" s="49" t="inlineStr">
        <is>
          <t>CUST-56249</t>
        </is>
      </c>
      <c r="D793" s="49" t="inlineStr">
        <is>
          <t>USD-PKR</t>
        </is>
      </c>
      <c r="E793" s="49" t="inlineStr">
        <is>
          <t>USD</t>
        </is>
      </c>
      <c r="F793" s="7" t="n">
        <v>223.4966254023402</v>
      </c>
      <c r="G793" s="8" t="n">
        <v>0.8</v>
      </c>
      <c r="H793" s="7" t="n">
        <v>178.7973003218722</v>
      </c>
      <c r="I793" s="7" t="n">
        <v>1.6</v>
      </c>
      <c r="J793" s="9" t="n">
        <v>0.019</v>
      </c>
      <c r="K793" s="49" t="inlineStr">
        <is>
          <t>Success</t>
        </is>
      </c>
      <c r="L793" s="7" t="n">
        <v>0.2681959504828083</v>
      </c>
      <c r="M793" s="7" t="n">
        <v>0</v>
      </c>
      <c r="N793" s="7" t="n">
        <v>2.145567603862466</v>
      </c>
    </row>
    <row r="794" ht="18" customHeight="1">
      <c r="A794" s="49" t="inlineStr">
        <is>
          <t>ACE-10793</t>
        </is>
      </c>
      <c r="B794" s="49" t="inlineStr">
        <is>
          <t>2026-05-24 20:36:24</t>
        </is>
      </c>
      <c r="C794" s="49" t="inlineStr">
        <is>
          <t>CUST-55143</t>
        </is>
      </c>
      <c r="D794" s="49" t="inlineStr">
        <is>
          <t>EUR-PKR</t>
        </is>
      </c>
      <c r="E794" s="49" t="inlineStr">
        <is>
          <t>EUR</t>
        </is>
      </c>
      <c r="F794" s="7" t="n">
        <v>194.2569866439601</v>
      </c>
      <c r="G794" s="8" t="n">
        <v>0.85</v>
      </c>
      <c r="H794" s="7" t="n">
        <v>165.1184386473661</v>
      </c>
      <c r="I794" s="7" t="n">
        <v>1.275</v>
      </c>
      <c r="J794" s="9" t="n">
        <v>0.023</v>
      </c>
      <c r="K794" s="49" t="inlineStr">
        <is>
          <t>Success</t>
        </is>
      </c>
      <c r="L794" s="7" t="n">
        <v>0.2476776579710492</v>
      </c>
      <c r="M794" s="7" t="n">
        <v>0.4953553159420983</v>
      </c>
      <c r="N794" s="7" t="n">
        <v>2.476776579710492</v>
      </c>
    </row>
    <row r="795" ht="18" customHeight="1">
      <c r="A795" s="49" t="inlineStr">
        <is>
          <t>ACE-10794</t>
        </is>
      </c>
      <c r="B795" s="49" t="inlineStr">
        <is>
          <t>2026-05-11 13:56:52</t>
        </is>
      </c>
      <c r="C795" s="49" t="inlineStr">
        <is>
          <t>CUST-78462</t>
        </is>
      </c>
      <c r="D795" s="49" t="inlineStr">
        <is>
          <t>GBP-PKR</t>
        </is>
      </c>
      <c r="E795" s="49" t="inlineStr">
        <is>
          <t>GBP</t>
        </is>
      </c>
      <c r="F795" s="7" t="n">
        <v>245.2099409834797</v>
      </c>
      <c r="G795" s="8" t="n">
        <v>1</v>
      </c>
      <c r="H795" s="7" t="n">
        <v>245.2099409834797</v>
      </c>
      <c r="I795" s="7" t="n">
        <v>1.5</v>
      </c>
      <c r="J795" s="9" t="n">
        <v>0.021</v>
      </c>
      <c r="K795" s="49" t="inlineStr">
        <is>
          <t>Success</t>
        </is>
      </c>
      <c r="L795" s="7" t="n">
        <v>0.3678149114752195</v>
      </c>
      <c r="M795" s="7" t="n">
        <v>0.735629822950439</v>
      </c>
      <c r="N795" s="7" t="n">
        <v>2.942519291801756</v>
      </c>
    </row>
    <row r="796" ht="18" customHeight="1">
      <c r="A796" s="49" t="inlineStr">
        <is>
          <t>ACE-10795</t>
        </is>
      </c>
      <c r="B796" s="49" t="inlineStr">
        <is>
          <t>2026-05-08 19:41:54</t>
        </is>
      </c>
      <c r="C796" s="49" t="inlineStr">
        <is>
          <t>CUST-89472</t>
        </is>
      </c>
      <c r="D796" s="49" t="inlineStr">
        <is>
          <t>GBP-PKR</t>
        </is>
      </c>
      <c r="E796" s="49" t="inlineStr">
        <is>
          <t>GBP</t>
        </is>
      </c>
      <c r="F796" s="7" t="n">
        <v>250.0557640348747</v>
      </c>
      <c r="G796" s="8" t="n">
        <v>1</v>
      </c>
      <c r="H796" s="7" t="n">
        <v>250.0557640348747</v>
      </c>
      <c r="I796" s="7" t="n">
        <v>1.5</v>
      </c>
      <c r="J796" s="9" t="n">
        <v>0.021</v>
      </c>
      <c r="K796" s="49" t="inlineStr">
        <is>
          <t>Success</t>
        </is>
      </c>
      <c r="L796" s="7" t="n">
        <v>0.3750836460523121</v>
      </c>
      <c r="M796" s="7" t="n">
        <v>0.7501672921046242</v>
      </c>
      <c r="N796" s="7" t="n">
        <v>3.000669168418497</v>
      </c>
    </row>
    <row r="797" ht="18" customHeight="1">
      <c r="A797" s="49" t="inlineStr">
        <is>
          <t>ACE-10796</t>
        </is>
      </c>
      <c r="B797" s="49" t="inlineStr">
        <is>
          <t>2026-05-21 14:03:19</t>
        </is>
      </c>
      <c r="C797" s="49" t="inlineStr">
        <is>
          <t>CUST-84365</t>
        </is>
      </c>
      <c r="D797" s="49" t="inlineStr">
        <is>
          <t>GBP-PKR</t>
        </is>
      </c>
      <c r="E797" s="49" t="inlineStr">
        <is>
          <t>GBP</t>
        </is>
      </c>
      <c r="F797" s="7" t="n">
        <v>309.5454368138549</v>
      </c>
      <c r="G797" s="8" t="n">
        <v>1</v>
      </c>
      <c r="H797" s="7" t="n">
        <v>309.5454368138549</v>
      </c>
      <c r="I797" s="7" t="n">
        <v>1.5</v>
      </c>
      <c r="J797" s="9" t="n">
        <v>0.021</v>
      </c>
      <c r="K797" s="49" t="inlineStr">
        <is>
          <t>Success</t>
        </is>
      </c>
      <c r="L797" s="7" t="n">
        <v>0.4643181552207823</v>
      </c>
      <c r="M797" s="7" t="n">
        <v>0</v>
      </c>
      <c r="N797" s="7" t="n">
        <v>3.714545241766259</v>
      </c>
    </row>
    <row r="798" ht="18" customHeight="1">
      <c r="A798" s="49" t="inlineStr">
        <is>
          <t>ACE-10797</t>
        </is>
      </c>
      <c r="B798" s="49" t="inlineStr">
        <is>
          <t>2026-05-05 13:32:44</t>
        </is>
      </c>
      <c r="C798" s="49" t="inlineStr">
        <is>
          <t>CUST-64470</t>
        </is>
      </c>
      <c r="D798" s="49" t="inlineStr">
        <is>
          <t>GBP-PKR</t>
        </is>
      </c>
      <c r="E798" s="49" t="inlineStr">
        <is>
          <t>GBP</t>
        </is>
      </c>
      <c r="F798" s="7" t="n">
        <v>277.5036504247037</v>
      </c>
      <c r="G798" s="8" t="n">
        <v>1</v>
      </c>
      <c r="H798" s="7" t="n">
        <v>277.5036504247037</v>
      </c>
      <c r="I798" s="7" t="n">
        <v>1.5</v>
      </c>
      <c r="J798" s="9" t="n">
        <v>0.021</v>
      </c>
      <c r="K798" s="49" t="inlineStr">
        <is>
          <t>Success</t>
        </is>
      </c>
      <c r="L798" s="7" t="n">
        <v>0.4162554756370556</v>
      </c>
      <c r="M798" s="7" t="n">
        <v>0.8325109512741112</v>
      </c>
      <c r="N798" s="7" t="n">
        <v>3.330043805096445</v>
      </c>
    </row>
    <row r="799" ht="18" customHeight="1">
      <c r="A799" s="49" t="inlineStr">
        <is>
          <t>ACE-10798</t>
        </is>
      </c>
      <c r="B799" s="49" t="inlineStr">
        <is>
          <t>2026-05-13 15:48:38</t>
        </is>
      </c>
      <c r="C799" s="49" t="inlineStr">
        <is>
          <t>CUST-87699</t>
        </is>
      </c>
      <c r="D799" s="49" t="inlineStr">
        <is>
          <t>GBP-PKR</t>
        </is>
      </c>
      <c r="E799" s="49" t="inlineStr">
        <is>
          <t>GBP</t>
        </is>
      </c>
      <c r="F799" s="7" t="n">
        <v>298.2522702663115</v>
      </c>
      <c r="G799" s="8" t="n">
        <v>1</v>
      </c>
      <c r="H799" s="7" t="n">
        <v>298.2522702663115</v>
      </c>
      <c r="I799" s="7" t="n">
        <v>1.5</v>
      </c>
      <c r="J799" s="9" t="n">
        <v>0.021</v>
      </c>
      <c r="K799" s="49" t="inlineStr">
        <is>
          <t>Success</t>
        </is>
      </c>
      <c r="L799" s="7" t="n">
        <v>0.4473784053994673</v>
      </c>
      <c r="M799" s="7" t="n">
        <v>0</v>
      </c>
      <c r="N799" s="7" t="n">
        <v>3.579027243195739</v>
      </c>
    </row>
    <row r="800" ht="18" customHeight="1">
      <c r="A800" s="49" t="inlineStr">
        <is>
          <t>ACE-10799</t>
        </is>
      </c>
      <c r="B800" s="49" t="inlineStr">
        <is>
          <t>2026-05-10 20:25:09</t>
        </is>
      </c>
      <c r="C800" s="49" t="inlineStr">
        <is>
          <t>CUST-58663</t>
        </is>
      </c>
      <c r="D800" s="49" t="inlineStr">
        <is>
          <t>USD-PKR</t>
        </is>
      </c>
      <c r="E800" s="49" t="inlineStr">
        <is>
          <t>USD</t>
        </is>
      </c>
      <c r="F800" s="7" t="n">
        <v>219.5235210034473</v>
      </c>
      <c r="G800" s="8" t="n">
        <v>0.8</v>
      </c>
      <c r="H800" s="7" t="n">
        <v>175.6188168027578</v>
      </c>
      <c r="I800" s="7" t="n">
        <v>1.6</v>
      </c>
      <c r="J800" s="9" t="n">
        <v>0.019</v>
      </c>
      <c r="K800" s="49" t="inlineStr">
        <is>
          <t>Success</t>
        </is>
      </c>
      <c r="L800" s="7" t="n">
        <v>0.2634282252041368</v>
      </c>
      <c r="M800" s="7" t="n">
        <v>0</v>
      </c>
      <c r="N800" s="7" t="n">
        <v>2.107425801633094</v>
      </c>
    </row>
    <row r="801" ht="18" customHeight="1">
      <c r="A801" s="49" t="inlineStr">
        <is>
          <t>ACE-10800</t>
        </is>
      </c>
      <c r="B801" s="49" t="inlineStr">
        <is>
          <t>2026-05-24 08:35:25</t>
        </is>
      </c>
      <c r="C801" s="49" t="inlineStr">
        <is>
          <t>CUST-67206</t>
        </is>
      </c>
      <c r="D801" s="49" t="inlineStr">
        <is>
          <t>GBP-PKR</t>
        </is>
      </c>
      <c r="E801" s="49" t="inlineStr">
        <is>
          <t>GBP</t>
        </is>
      </c>
      <c r="F801" s="7" t="n">
        <v>279.4337452583634</v>
      </c>
      <c r="G801" s="8" t="n">
        <v>1</v>
      </c>
      <c r="H801" s="7" t="n">
        <v>279.4337452583634</v>
      </c>
      <c r="I801" s="7" t="n">
        <v>1.5</v>
      </c>
      <c r="J801" s="9" t="n">
        <v>0.021</v>
      </c>
      <c r="K801" s="49" t="inlineStr">
        <is>
          <t>Success</t>
        </is>
      </c>
      <c r="L801" s="7" t="n">
        <v>0.4191506178875452</v>
      </c>
      <c r="M801" s="7" t="n">
        <v>0</v>
      </c>
      <c r="N801" s="7" t="n">
        <v>3.353204943100361</v>
      </c>
    </row>
    <row r="802" ht="18" customHeight="1">
      <c r="A802" s="49" t="inlineStr">
        <is>
          <t>ACE-10801</t>
        </is>
      </c>
      <c r="B802" s="49" t="inlineStr">
        <is>
          <t>2026-05-23 10:48:08</t>
        </is>
      </c>
      <c r="C802" s="49" t="inlineStr">
        <is>
          <t>CUST-81517</t>
        </is>
      </c>
      <c r="D802" s="49" t="inlineStr">
        <is>
          <t>EUR-PKR</t>
        </is>
      </c>
      <c r="E802" s="49" t="inlineStr">
        <is>
          <t>EUR</t>
        </is>
      </c>
      <c r="F802" s="7" t="n">
        <v>207.6496849290159</v>
      </c>
      <c r="G802" s="8" t="n">
        <v>0.85</v>
      </c>
      <c r="H802" s="7" t="n">
        <v>176.5022321896635</v>
      </c>
      <c r="I802" s="7" t="n">
        <v>1.275</v>
      </c>
      <c r="J802" s="9" t="n">
        <v>0.023</v>
      </c>
      <c r="K802" s="49" t="inlineStr">
        <is>
          <t>Success</t>
        </is>
      </c>
      <c r="L802" s="7" t="n">
        <v>0.2647533482844953</v>
      </c>
      <c r="M802" s="7" t="n">
        <v>0</v>
      </c>
      <c r="N802" s="7" t="n">
        <v>2.647533482844952</v>
      </c>
    </row>
    <row r="803" ht="18" customHeight="1">
      <c r="A803" s="49" t="inlineStr">
        <is>
          <t>ACE-10802</t>
        </is>
      </c>
      <c r="B803" s="49" t="inlineStr">
        <is>
          <t>2026-05-21 17:12:35</t>
        </is>
      </c>
      <c r="C803" s="49" t="inlineStr">
        <is>
          <t>CUST-90369</t>
        </is>
      </c>
      <c r="D803" s="49" t="inlineStr">
        <is>
          <t>USD-PKR</t>
        </is>
      </c>
      <c r="E803" s="49" t="inlineStr">
        <is>
          <t>USD</t>
        </is>
      </c>
      <c r="F803" s="7" t="n">
        <v>207.8929062958221</v>
      </c>
      <c r="G803" s="8" t="n">
        <v>0.8</v>
      </c>
      <c r="H803" s="7" t="n">
        <v>166.3143250366577</v>
      </c>
      <c r="I803" s="7" t="n">
        <v>1.6</v>
      </c>
      <c r="J803" s="9" t="n">
        <v>0.019</v>
      </c>
      <c r="K803" s="49" t="inlineStr">
        <is>
          <t>Success</t>
        </is>
      </c>
      <c r="L803" s="7" t="n">
        <v>0.2494714875549865</v>
      </c>
      <c r="M803" s="7" t="n">
        <v>0</v>
      </c>
      <c r="N803" s="7" t="n">
        <v>1.995771900439892</v>
      </c>
    </row>
    <row r="804" ht="18" customHeight="1">
      <c r="A804" s="49" t="inlineStr">
        <is>
          <t>ACE-10803</t>
        </is>
      </c>
      <c r="B804" s="49" t="inlineStr">
        <is>
          <t>2026-05-08 09:17:49</t>
        </is>
      </c>
      <c r="C804" s="49" t="inlineStr">
        <is>
          <t>CUST-78184</t>
        </is>
      </c>
      <c r="D804" s="49" t="inlineStr">
        <is>
          <t>USD-PKR</t>
        </is>
      </c>
      <c r="E804" s="49" t="inlineStr">
        <is>
          <t>USD</t>
        </is>
      </c>
      <c r="F804" s="7" t="n">
        <v>221.0170005326979</v>
      </c>
      <c r="G804" s="8" t="n">
        <v>0.8</v>
      </c>
      <c r="H804" s="7" t="n">
        <v>176.8136004261583</v>
      </c>
      <c r="I804" s="7" t="n">
        <v>1.6</v>
      </c>
      <c r="J804" s="9" t="n">
        <v>0.019</v>
      </c>
      <c r="K804" s="49" t="inlineStr">
        <is>
          <t>Success</t>
        </is>
      </c>
      <c r="L804" s="7" t="n">
        <v>0.2652204006392375</v>
      </c>
      <c r="M804" s="7" t="n">
        <v>0.530440801278475</v>
      </c>
      <c r="N804" s="7" t="n">
        <v>2.1217632051139</v>
      </c>
    </row>
    <row r="805" ht="18" customHeight="1">
      <c r="A805" s="49" t="inlineStr">
        <is>
          <t>ACE-10804</t>
        </is>
      </c>
      <c r="B805" s="49" t="inlineStr">
        <is>
          <t>2026-05-03 09:42:26</t>
        </is>
      </c>
      <c r="C805" s="49" t="inlineStr">
        <is>
          <t>CUST-77757</t>
        </is>
      </c>
      <c r="D805" s="49" t="inlineStr">
        <is>
          <t>GBP-PKR</t>
        </is>
      </c>
      <c r="E805" s="49" t="inlineStr">
        <is>
          <t>GBP</t>
        </is>
      </c>
      <c r="F805" s="7" t="n">
        <v>266.0174942027857</v>
      </c>
      <c r="G805" s="8" t="n">
        <v>1</v>
      </c>
      <c r="H805" s="7" t="n">
        <v>266.0174942027857</v>
      </c>
      <c r="I805" s="7" t="n">
        <v>1.5</v>
      </c>
      <c r="J805" s="9" t="n">
        <v>0.021</v>
      </c>
      <c r="K805" s="49" t="inlineStr">
        <is>
          <t>Success</t>
        </is>
      </c>
      <c r="L805" s="7" t="n">
        <v>0.3990262413041786</v>
      </c>
      <c r="M805" s="7" t="n">
        <v>0</v>
      </c>
      <c r="N805" s="7" t="n">
        <v>3.192209930433429</v>
      </c>
    </row>
    <row r="806" ht="18" customHeight="1">
      <c r="A806" s="49" t="inlineStr">
        <is>
          <t>ACE-10805</t>
        </is>
      </c>
      <c r="B806" s="49" t="inlineStr">
        <is>
          <t>2026-05-12 17:41:01</t>
        </is>
      </c>
      <c r="C806" s="49" t="inlineStr">
        <is>
          <t>CUST-69976</t>
        </is>
      </c>
      <c r="D806" s="49" t="inlineStr">
        <is>
          <t>EUR-PKR</t>
        </is>
      </c>
      <c r="E806" s="49" t="inlineStr">
        <is>
          <t>EUR</t>
        </is>
      </c>
      <c r="F806" s="7" t="n">
        <v>181.0140132278407</v>
      </c>
      <c r="G806" s="8" t="n">
        <v>0.85</v>
      </c>
      <c r="H806" s="7" t="n">
        <v>153.8619112436646</v>
      </c>
      <c r="I806" s="7" t="n">
        <v>1.275</v>
      </c>
      <c r="J806" s="9" t="n">
        <v>0.023</v>
      </c>
      <c r="K806" s="49" t="inlineStr">
        <is>
          <t>Success</t>
        </is>
      </c>
      <c r="L806" s="7" t="n">
        <v>0.2307928668654969</v>
      </c>
      <c r="M806" s="7" t="n">
        <v>0</v>
      </c>
      <c r="N806" s="7" t="n">
        <v>2.307928668654968</v>
      </c>
    </row>
    <row r="807" ht="18" customHeight="1">
      <c r="A807" s="49" t="inlineStr">
        <is>
          <t>ACE-10806</t>
        </is>
      </c>
      <c r="B807" s="49" t="inlineStr">
        <is>
          <t>2026-05-15 17:09:28</t>
        </is>
      </c>
      <c r="C807" s="49" t="inlineStr">
        <is>
          <t>CUST-52941</t>
        </is>
      </c>
      <c r="D807" s="49" t="inlineStr">
        <is>
          <t>GBP-PKR</t>
        </is>
      </c>
      <c r="E807" s="49" t="inlineStr">
        <is>
          <t>GBP</t>
        </is>
      </c>
      <c r="F807" s="7" t="n">
        <v>270.1216439865875</v>
      </c>
      <c r="G807" s="8" t="n">
        <v>1</v>
      </c>
      <c r="H807" s="7" t="n">
        <v>270.1216439865875</v>
      </c>
      <c r="I807" s="7" t="n">
        <v>1.5</v>
      </c>
      <c r="J807" s="9" t="n">
        <v>0.021</v>
      </c>
      <c r="K807" s="49" t="inlineStr">
        <is>
          <t>Success</t>
        </is>
      </c>
      <c r="L807" s="7" t="n">
        <v>0.4051824659798813</v>
      </c>
      <c r="M807" s="7" t="n">
        <v>0</v>
      </c>
      <c r="N807" s="7" t="n">
        <v>3.24145972783905</v>
      </c>
    </row>
    <row r="808" ht="18" customHeight="1">
      <c r="A808" s="49" t="inlineStr">
        <is>
          <t>ACE-10807</t>
        </is>
      </c>
      <c r="B808" s="49" t="inlineStr">
        <is>
          <t>2026-05-22 13:09:48</t>
        </is>
      </c>
      <c r="C808" s="49" t="inlineStr">
        <is>
          <t>CUST-97742</t>
        </is>
      </c>
      <c r="D808" s="49" t="inlineStr">
        <is>
          <t>GBP-PKR</t>
        </is>
      </c>
      <c r="E808" s="49" t="inlineStr">
        <is>
          <t>GBP</t>
        </is>
      </c>
      <c r="F808" s="7" t="n">
        <v>284.8614666984017</v>
      </c>
      <c r="G808" s="8" t="n">
        <v>1</v>
      </c>
      <c r="H808" s="7" t="n">
        <v>284.8614666984017</v>
      </c>
      <c r="I808" s="7" t="n">
        <v>1.5</v>
      </c>
      <c r="J808" s="9" t="n">
        <v>0.021</v>
      </c>
      <c r="K808" s="49" t="inlineStr">
        <is>
          <t>Success</t>
        </is>
      </c>
      <c r="L808" s="7" t="n">
        <v>0.4272922000476026</v>
      </c>
      <c r="M808" s="7" t="n">
        <v>0</v>
      </c>
      <c r="N808" s="7" t="n">
        <v>3.418337600380821</v>
      </c>
    </row>
    <row r="809" ht="18" customHeight="1">
      <c r="A809" s="49" t="inlineStr">
        <is>
          <t>ACE-10808</t>
        </is>
      </c>
      <c r="B809" s="49" t="inlineStr">
        <is>
          <t>2026-05-02 11:39:59</t>
        </is>
      </c>
      <c r="C809" s="49" t="inlineStr">
        <is>
          <t>CUST-59678</t>
        </is>
      </c>
      <c r="D809" s="49" t="inlineStr">
        <is>
          <t>EUR-PKR</t>
        </is>
      </c>
      <c r="E809" s="49" t="inlineStr">
        <is>
          <t>EUR</t>
        </is>
      </c>
      <c r="F809" s="7" t="n">
        <v>180.2147526443993</v>
      </c>
      <c r="G809" s="8" t="n">
        <v>0.85</v>
      </c>
      <c r="H809" s="7" t="n">
        <v>153.1825397477394</v>
      </c>
      <c r="I809" s="7" t="n">
        <v>1.275</v>
      </c>
      <c r="J809" s="9" t="n">
        <v>0.023</v>
      </c>
      <c r="K809" s="49" t="inlineStr">
        <is>
          <t>Success</t>
        </is>
      </c>
      <c r="L809" s="7" t="n">
        <v>0.2297738096216091</v>
      </c>
      <c r="M809" s="7" t="n">
        <v>0.4595476192432182</v>
      </c>
      <c r="N809" s="7" t="n">
        <v>2.29773809621609</v>
      </c>
    </row>
    <row r="810" ht="18" customHeight="1">
      <c r="A810" s="49" t="inlineStr">
        <is>
          <t>ACE-10809</t>
        </is>
      </c>
      <c r="B810" s="49" t="inlineStr">
        <is>
          <t>2026-05-01 13:44:51</t>
        </is>
      </c>
      <c r="C810" s="49" t="inlineStr">
        <is>
          <t>CUST-57292</t>
        </is>
      </c>
      <c r="D810" s="49" t="inlineStr">
        <is>
          <t>EUR-PKR</t>
        </is>
      </c>
      <c r="E810" s="49" t="inlineStr">
        <is>
          <t>EUR</t>
        </is>
      </c>
      <c r="F810" s="7" t="n">
        <v>214.347747552125</v>
      </c>
      <c r="G810" s="8" t="n">
        <v>0.85</v>
      </c>
      <c r="H810" s="7" t="n">
        <v>182.1955854193062</v>
      </c>
      <c r="I810" s="7" t="n">
        <v>1.275</v>
      </c>
      <c r="J810" s="9" t="n">
        <v>0.023</v>
      </c>
      <c r="K810" s="49" t="inlineStr">
        <is>
          <t>Success</t>
        </is>
      </c>
      <c r="L810" s="7" t="n">
        <v>0.2732933781289593</v>
      </c>
      <c r="M810" s="7" t="n">
        <v>0</v>
      </c>
      <c r="N810" s="7" t="n">
        <v>2.732933781289593</v>
      </c>
    </row>
    <row r="811" ht="18" customHeight="1">
      <c r="A811" s="49" t="inlineStr">
        <is>
          <t>ACE-10810</t>
        </is>
      </c>
      <c r="B811" s="49" t="inlineStr">
        <is>
          <t>2026-05-11 11:47:34</t>
        </is>
      </c>
      <c r="C811" s="49" t="inlineStr">
        <is>
          <t>CUST-63885</t>
        </is>
      </c>
      <c r="D811" s="49" t="inlineStr">
        <is>
          <t>EUR-PKR</t>
        </is>
      </c>
      <c r="E811" s="49" t="inlineStr">
        <is>
          <t>EUR</t>
        </is>
      </c>
      <c r="F811" s="7" t="n">
        <v>172.8740581715465</v>
      </c>
      <c r="G811" s="8" t="n">
        <v>0.85</v>
      </c>
      <c r="H811" s="7" t="n">
        <v>146.9429494458145</v>
      </c>
      <c r="I811" s="7" t="n">
        <v>1.275</v>
      </c>
      <c r="J811" s="9" t="n">
        <v>0.023</v>
      </c>
      <c r="K811" s="49" t="inlineStr">
        <is>
          <t>Success</t>
        </is>
      </c>
      <c r="L811" s="7" t="n">
        <v>0.2204144241687218</v>
      </c>
      <c r="M811" s="7" t="n">
        <v>0</v>
      </c>
      <c r="N811" s="7" t="n">
        <v>2.204144241687218</v>
      </c>
    </row>
    <row r="812" ht="18" customHeight="1">
      <c r="A812" s="49" t="inlineStr">
        <is>
          <t>ACE-10811</t>
        </is>
      </c>
      <c r="B812" s="49" t="inlineStr">
        <is>
          <t>2026-05-09 16:30:39</t>
        </is>
      </c>
      <c r="C812" s="49" t="inlineStr">
        <is>
          <t>CUST-97836</t>
        </is>
      </c>
      <c r="D812" s="49" t="inlineStr">
        <is>
          <t>GBP-PKR</t>
        </is>
      </c>
      <c r="E812" s="49" t="inlineStr">
        <is>
          <t>GBP</t>
        </is>
      </c>
      <c r="F812" s="7" t="n">
        <v>273.4455288447569</v>
      </c>
      <c r="G812" s="8" t="n">
        <v>1</v>
      </c>
      <c r="H812" s="7" t="n">
        <v>273.4455288447569</v>
      </c>
      <c r="I812" s="7" t="n">
        <v>1.5</v>
      </c>
      <c r="J812" s="9" t="n">
        <v>0.021</v>
      </c>
      <c r="K812" s="49" t="inlineStr">
        <is>
          <t>Success</t>
        </is>
      </c>
      <c r="L812" s="7" t="n">
        <v>0.4101682932671353</v>
      </c>
      <c r="M812" s="7" t="n">
        <v>0.8203365865342707</v>
      </c>
      <c r="N812" s="7" t="n">
        <v>3.281346346137083</v>
      </c>
    </row>
    <row r="813" ht="18" customHeight="1">
      <c r="A813" s="49" t="inlineStr">
        <is>
          <t>ACE-10812</t>
        </is>
      </c>
      <c r="B813" s="49" t="inlineStr">
        <is>
          <t>2026-05-22 08:24:37</t>
        </is>
      </c>
      <c r="C813" s="49" t="inlineStr">
        <is>
          <t>CUST-93484</t>
        </is>
      </c>
      <c r="D813" s="49" t="inlineStr">
        <is>
          <t>USD-PKR</t>
        </is>
      </c>
      <c r="E813" s="49" t="inlineStr">
        <is>
          <t>USD</t>
        </is>
      </c>
      <c r="F813" s="7" t="n">
        <v>209.485482396629</v>
      </c>
      <c r="G813" s="8" t="n">
        <v>0.8</v>
      </c>
      <c r="H813" s="7" t="n">
        <v>167.5883859173032</v>
      </c>
      <c r="I813" s="7" t="n">
        <v>1.6</v>
      </c>
      <c r="J813" s="9" t="n">
        <v>0.019</v>
      </c>
      <c r="K813" s="49" t="inlineStr">
        <is>
          <t>Success</t>
        </is>
      </c>
      <c r="L813" s="7" t="n">
        <v>0.2513825788759548</v>
      </c>
      <c r="M813" s="7" t="n">
        <v>0</v>
      </c>
      <c r="N813" s="7" t="n">
        <v>2.011060631007638</v>
      </c>
    </row>
    <row r="814" ht="18" customHeight="1">
      <c r="A814" s="49" t="inlineStr">
        <is>
          <t>ACE-10813</t>
        </is>
      </c>
      <c r="B814" s="49" t="inlineStr">
        <is>
          <t>2026-05-02 12:12:50</t>
        </is>
      </c>
      <c r="C814" s="49" t="inlineStr">
        <is>
          <t>CUST-95647</t>
        </is>
      </c>
      <c r="D814" s="49" t="inlineStr">
        <is>
          <t>USD-PKR</t>
        </is>
      </c>
      <c r="E814" s="49" t="inlineStr">
        <is>
          <t>USD</t>
        </is>
      </c>
      <c r="F814" s="7" t="n">
        <v>252.9837695738628</v>
      </c>
      <c r="G814" s="8" t="n">
        <v>0.8</v>
      </c>
      <c r="H814" s="7" t="n">
        <v>202.3870156590902</v>
      </c>
      <c r="I814" s="7" t="n">
        <v>1.6</v>
      </c>
      <c r="J814" s="9" t="n">
        <v>0.019</v>
      </c>
      <c r="K814" s="49" t="inlineStr">
        <is>
          <t>Success</t>
        </is>
      </c>
      <c r="L814" s="7" t="n">
        <v>0.3035805234886353</v>
      </c>
      <c r="M814" s="7" t="n">
        <v>0</v>
      </c>
      <c r="N814" s="7" t="n">
        <v>2.428644187909083</v>
      </c>
    </row>
    <row r="815" ht="18" customHeight="1">
      <c r="A815" s="49" t="inlineStr">
        <is>
          <t>ACE-10814</t>
        </is>
      </c>
      <c r="B815" s="49" t="inlineStr">
        <is>
          <t>2026-05-21 08:04:24</t>
        </is>
      </c>
      <c r="C815" s="49" t="inlineStr">
        <is>
          <t>CUST-93278</t>
        </is>
      </c>
      <c r="D815" s="49" t="inlineStr">
        <is>
          <t>USD-PKR</t>
        </is>
      </c>
      <c r="E815" s="49" t="inlineStr">
        <is>
          <t>USD</t>
        </is>
      </c>
      <c r="F815" s="7" t="n">
        <v>223.247947057562</v>
      </c>
      <c r="G815" s="8" t="n">
        <v>0.8</v>
      </c>
      <c r="H815" s="7" t="n">
        <v>178.5983576460496</v>
      </c>
      <c r="I815" s="7" t="n">
        <v>1.6</v>
      </c>
      <c r="J815" s="9" t="n">
        <v>0.019</v>
      </c>
      <c r="K815" s="49" t="inlineStr">
        <is>
          <t>Success</t>
        </is>
      </c>
      <c r="L815" s="7" t="n">
        <v>0.2678975364690744</v>
      </c>
      <c r="M815" s="7" t="n">
        <v>0.5357950729381489</v>
      </c>
      <c r="N815" s="7" t="n">
        <v>2.143180291752596</v>
      </c>
    </row>
    <row r="816" ht="18" customHeight="1">
      <c r="A816" s="49" t="inlineStr">
        <is>
          <t>ACE-10815</t>
        </is>
      </c>
      <c r="B816" s="49" t="inlineStr">
        <is>
          <t>2026-05-22 13:55:06</t>
        </is>
      </c>
      <c r="C816" s="49" t="inlineStr">
        <is>
          <t>CUST-51250</t>
        </is>
      </c>
      <c r="D816" s="49" t="inlineStr">
        <is>
          <t>EUR-PKR</t>
        </is>
      </c>
      <c r="E816" s="49" t="inlineStr">
        <is>
          <t>EUR</t>
        </is>
      </c>
      <c r="F816" s="7" t="n">
        <v>209.6015874452444</v>
      </c>
      <c r="G816" s="8" t="n">
        <v>0.85</v>
      </c>
      <c r="H816" s="7" t="n">
        <v>178.1613493284578</v>
      </c>
      <c r="I816" s="7" t="n">
        <v>1.275</v>
      </c>
      <c r="J816" s="9" t="n">
        <v>0.023</v>
      </c>
      <c r="K816" s="49" t="inlineStr">
        <is>
          <t>Success</t>
        </is>
      </c>
      <c r="L816" s="7" t="n">
        <v>0.2672420239926867</v>
      </c>
      <c r="M816" s="7" t="n">
        <v>0.5344840479853733</v>
      </c>
      <c r="N816" s="7" t="n">
        <v>2.672420239926866</v>
      </c>
    </row>
    <row r="817" ht="18" customHeight="1">
      <c r="A817" s="49" t="inlineStr">
        <is>
          <t>ACE-10816</t>
        </is>
      </c>
      <c r="B817" s="49" t="inlineStr">
        <is>
          <t>2026-05-13 11:24:32</t>
        </is>
      </c>
      <c r="C817" s="49" t="inlineStr">
        <is>
          <t>CUST-96510</t>
        </is>
      </c>
      <c r="D817" s="49" t="inlineStr">
        <is>
          <t>GBP-PKR</t>
        </is>
      </c>
      <c r="E817" s="49" t="inlineStr">
        <is>
          <t>GBP</t>
        </is>
      </c>
      <c r="F817" s="7" t="n">
        <v>240.1427566460342</v>
      </c>
      <c r="G817" s="8" t="n">
        <v>1</v>
      </c>
      <c r="H817" s="7" t="n">
        <v>240.1427566460342</v>
      </c>
      <c r="I817" s="7" t="n">
        <v>1.5</v>
      </c>
      <c r="J817" s="9" t="n">
        <v>0.021</v>
      </c>
      <c r="K817" s="49" t="inlineStr">
        <is>
          <t>Success</t>
        </is>
      </c>
      <c r="L817" s="7" t="n">
        <v>0.3602141349690512</v>
      </c>
      <c r="M817" s="7" t="n">
        <v>0</v>
      </c>
      <c r="N817" s="7" t="n">
        <v>2.88171307975241</v>
      </c>
    </row>
    <row r="818" ht="18" customHeight="1">
      <c r="A818" s="49" t="inlineStr">
        <is>
          <t>ACE-10817</t>
        </is>
      </c>
      <c r="B818" s="49" t="inlineStr">
        <is>
          <t>2026-05-20 16:05:11</t>
        </is>
      </c>
      <c r="C818" s="49" t="inlineStr">
        <is>
          <t>CUST-63033</t>
        </is>
      </c>
      <c r="D818" s="49" t="inlineStr">
        <is>
          <t>GBP-PKR</t>
        </is>
      </c>
      <c r="E818" s="49" t="inlineStr">
        <is>
          <t>GBP</t>
        </is>
      </c>
      <c r="F818" s="7" t="n">
        <v>286.1438423760931</v>
      </c>
      <c r="G818" s="8" t="n">
        <v>1</v>
      </c>
      <c r="H818" s="7" t="n">
        <v>286.1438423760931</v>
      </c>
      <c r="I818" s="7" t="n">
        <v>1.5</v>
      </c>
      <c r="J818" s="9" t="n">
        <v>0.021</v>
      </c>
      <c r="K818" s="49" t="inlineStr">
        <is>
          <t>Success</t>
        </is>
      </c>
      <c r="L818" s="7" t="n">
        <v>0.4292157635641396</v>
      </c>
      <c r="M818" s="7" t="n">
        <v>0</v>
      </c>
      <c r="N818" s="7" t="n">
        <v>3.433726108513117</v>
      </c>
    </row>
    <row r="819" ht="18" customHeight="1">
      <c r="A819" s="49" t="inlineStr">
        <is>
          <t>ACE-10818</t>
        </is>
      </c>
      <c r="B819" s="49" t="inlineStr">
        <is>
          <t>2026-05-23 08:02:15</t>
        </is>
      </c>
      <c r="C819" s="49" t="inlineStr">
        <is>
          <t>CUST-84695</t>
        </is>
      </c>
      <c r="D819" s="49" t="inlineStr">
        <is>
          <t>USD-PKR</t>
        </is>
      </c>
      <c r="E819" s="49" t="inlineStr">
        <is>
          <t>USD</t>
        </is>
      </c>
      <c r="F819" s="7" t="n">
        <v>239.2695225393736</v>
      </c>
      <c r="G819" s="8" t="n">
        <v>0.8</v>
      </c>
      <c r="H819" s="7" t="n">
        <v>191.4156180314989</v>
      </c>
      <c r="I819" s="7" t="n">
        <v>1.6</v>
      </c>
      <c r="J819" s="9" t="n">
        <v>0.019</v>
      </c>
      <c r="K819" s="49" t="inlineStr">
        <is>
          <t>Success</t>
        </is>
      </c>
      <c r="L819" s="7" t="n">
        <v>0.2871234270472483</v>
      </c>
      <c r="M819" s="7" t="n">
        <v>0</v>
      </c>
      <c r="N819" s="7" t="n">
        <v>2.296987416377986</v>
      </c>
    </row>
    <row r="820" ht="18" customHeight="1">
      <c r="A820" s="49" t="inlineStr">
        <is>
          <t>ACE-10819</t>
        </is>
      </c>
      <c r="B820" s="49" t="inlineStr">
        <is>
          <t>2026-05-24 10:01:22</t>
        </is>
      </c>
      <c r="C820" s="49" t="inlineStr">
        <is>
          <t>CUST-94847</t>
        </is>
      </c>
      <c r="D820" s="49" t="inlineStr">
        <is>
          <t>USD-PKR</t>
        </is>
      </c>
      <c r="E820" s="49" t="inlineStr">
        <is>
          <t>USD</t>
        </is>
      </c>
      <c r="F820" s="7" t="n">
        <v>220.7113954803824</v>
      </c>
      <c r="G820" s="8" t="n">
        <v>0.8</v>
      </c>
      <c r="H820" s="7" t="n">
        <v>176.5691163843059</v>
      </c>
      <c r="I820" s="7" t="n">
        <v>1.6</v>
      </c>
      <c r="J820" s="9" t="n">
        <v>0.019</v>
      </c>
      <c r="K820" s="49" t="inlineStr">
        <is>
          <t>Success</t>
        </is>
      </c>
      <c r="L820" s="7" t="n">
        <v>0.2648536745764589</v>
      </c>
      <c r="M820" s="7" t="n">
        <v>0.5297073491529177</v>
      </c>
      <c r="N820" s="7" t="n">
        <v>2.118829396611671</v>
      </c>
    </row>
    <row r="821" ht="18" customHeight="1">
      <c r="A821" s="49" t="inlineStr">
        <is>
          <t>ACE-10820</t>
        </is>
      </c>
      <c r="B821" s="49" t="inlineStr">
        <is>
          <t>2026-05-08 16:17:51</t>
        </is>
      </c>
      <c r="C821" s="49" t="inlineStr">
        <is>
          <t>CUST-54063</t>
        </is>
      </c>
      <c r="D821" s="49" t="inlineStr">
        <is>
          <t>GBP-PKR</t>
        </is>
      </c>
      <c r="E821" s="49" t="inlineStr">
        <is>
          <t>GBP</t>
        </is>
      </c>
      <c r="F821" s="7" t="n">
        <v>309.9272649251674</v>
      </c>
      <c r="G821" s="8" t="n">
        <v>1</v>
      </c>
      <c r="H821" s="7" t="n">
        <v>309.9272649251674</v>
      </c>
      <c r="I821" s="7" t="n">
        <v>1.5</v>
      </c>
      <c r="J821" s="9" t="n">
        <v>0.021</v>
      </c>
      <c r="K821" s="49" t="inlineStr">
        <is>
          <t>Success</t>
        </is>
      </c>
      <c r="L821" s="7" t="n">
        <v>0.4648908973877512</v>
      </c>
      <c r="M821" s="7" t="n">
        <v>0.9297817947755024</v>
      </c>
      <c r="N821" s="7" t="n">
        <v>3.71912717910201</v>
      </c>
    </row>
    <row r="822" ht="18" customHeight="1">
      <c r="A822" s="49" t="inlineStr">
        <is>
          <t>ACE-10821</t>
        </is>
      </c>
      <c r="B822" s="49" t="inlineStr">
        <is>
          <t>2026-05-01 16:17:14</t>
        </is>
      </c>
      <c r="C822" s="49" t="inlineStr">
        <is>
          <t>CUST-59942</t>
        </is>
      </c>
      <c r="D822" s="49" t="inlineStr">
        <is>
          <t>GBP-PKR</t>
        </is>
      </c>
      <c r="E822" s="49" t="inlineStr">
        <is>
          <t>GBP</t>
        </is>
      </c>
      <c r="F822" s="7" t="n">
        <v>264.5580659373998</v>
      </c>
      <c r="G822" s="8" t="n">
        <v>1</v>
      </c>
      <c r="H822" s="7" t="n">
        <v>264.5580659373998</v>
      </c>
      <c r="I822" s="7" t="n">
        <v>1.5</v>
      </c>
      <c r="J822" s="9" t="n">
        <v>0.021</v>
      </c>
      <c r="K822" s="49" t="inlineStr">
        <is>
          <t>Success</t>
        </is>
      </c>
      <c r="L822" s="7" t="n">
        <v>0.3968370989060996</v>
      </c>
      <c r="M822" s="7" t="n">
        <v>0</v>
      </c>
      <c r="N822" s="7" t="n">
        <v>3.174696791248797</v>
      </c>
    </row>
    <row r="823" ht="18" customHeight="1">
      <c r="A823" s="49" t="inlineStr">
        <is>
          <t>ACE-10822</t>
        </is>
      </c>
      <c r="B823" s="49" t="inlineStr">
        <is>
          <t>2026-05-05 09:46:24</t>
        </is>
      </c>
      <c r="C823" s="49" t="inlineStr">
        <is>
          <t>CUST-84125</t>
        </is>
      </c>
      <c r="D823" s="49" t="inlineStr">
        <is>
          <t>GBP-PKR</t>
        </is>
      </c>
      <c r="E823" s="49" t="inlineStr">
        <is>
          <t>GBP</t>
        </is>
      </c>
      <c r="F823" s="7" t="n">
        <v>320.7699973625768</v>
      </c>
      <c r="G823" s="8" t="n">
        <v>1</v>
      </c>
      <c r="H823" s="7" t="n">
        <v>320.7699973625768</v>
      </c>
      <c r="I823" s="7" t="n">
        <v>1.5</v>
      </c>
      <c r="J823" s="9" t="n">
        <v>0.021</v>
      </c>
      <c r="K823" s="49" t="inlineStr">
        <is>
          <t>Success</t>
        </is>
      </c>
      <c r="L823" s="7" t="n">
        <v>0.4811549960438652</v>
      </c>
      <c r="M823" s="7" t="n">
        <v>0.9623099920877305</v>
      </c>
      <c r="N823" s="7" t="n">
        <v>3.849239968350922</v>
      </c>
    </row>
    <row r="824" ht="18" customHeight="1">
      <c r="A824" s="49" t="inlineStr">
        <is>
          <t>ACE-10823</t>
        </is>
      </c>
      <c r="B824" s="49" t="inlineStr">
        <is>
          <t>2026-05-21 18:14:26</t>
        </is>
      </c>
      <c r="C824" s="49" t="inlineStr">
        <is>
          <t>CUST-65752</t>
        </is>
      </c>
      <c r="D824" s="49" t="inlineStr">
        <is>
          <t>GBP-PKR</t>
        </is>
      </c>
      <c r="E824" s="49" t="inlineStr">
        <is>
          <t>GBP</t>
        </is>
      </c>
      <c r="F824" s="7" t="n">
        <v>350.6117253273048</v>
      </c>
      <c r="G824" s="8" t="n">
        <v>1</v>
      </c>
      <c r="H824" s="7" t="n">
        <v>350.6117253273048</v>
      </c>
      <c r="I824" s="7" t="n">
        <v>1.5</v>
      </c>
      <c r="J824" s="9" t="n">
        <v>0.021</v>
      </c>
      <c r="K824" s="49" t="inlineStr">
        <is>
          <t>Success</t>
        </is>
      </c>
      <c r="L824" s="7" t="n">
        <v>0.5259175879909572</v>
      </c>
      <c r="M824" s="7" t="n">
        <v>0</v>
      </c>
      <c r="N824" s="7" t="n">
        <v>4.207340703927658</v>
      </c>
    </row>
    <row r="825" ht="18" customHeight="1">
      <c r="A825" s="49" t="inlineStr">
        <is>
          <t>ACE-10824</t>
        </is>
      </c>
      <c r="B825" s="49" t="inlineStr">
        <is>
          <t>2026-05-10 17:21:28</t>
        </is>
      </c>
      <c r="C825" s="49" t="inlineStr">
        <is>
          <t>CUST-85535</t>
        </is>
      </c>
      <c r="D825" s="49" t="inlineStr">
        <is>
          <t>GBP-PKR</t>
        </is>
      </c>
      <c r="E825" s="49" t="inlineStr">
        <is>
          <t>GBP</t>
        </is>
      </c>
      <c r="F825" s="7" t="n">
        <v>268.6758802876927</v>
      </c>
      <c r="G825" s="8" t="n">
        <v>1</v>
      </c>
      <c r="H825" s="7" t="n">
        <v>268.6758802876927</v>
      </c>
      <c r="I825" s="7" t="n">
        <v>1.5</v>
      </c>
      <c r="J825" s="9" t="n">
        <v>0.021</v>
      </c>
      <c r="K825" s="49" t="inlineStr">
        <is>
          <t>Success</t>
        </is>
      </c>
      <c r="L825" s="7" t="n">
        <v>0.403013820431539</v>
      </c>
      <c r="M825" s="7" t="n">
        <v>0.8060276408630781</v>
      </c>
      <c r="N825" s="7" t="n">
        <v>3.224110563452312</v>
      </c>
    </row>
    <row r="826" ht="18" customHeight="1">
      <c r="A826" s="49" t="inlineStr">
        <is>
          <t>ACE-10825</t>
        </is>
      </c>
      <c r="B826" s="49" t="inlineStr">
        <is>
          <t>2026-05-19 16:43:51</t>
        </is>
      </c>
      <c r="C826" s="49" t="inlineStr">
        <is>
          <t>CUST-63258</t>
        </is>
      </c>
      <c r="D826" s="49" t="inlineStr">
        <is>
          <t>EUR-PKR</t>
        </is>
      </c>
      <c r="E826" s="49" t="inlineStr">
        <is>
          <t>EUR</t>
        </is>
      </c>
      <c r="F826" s="7" t="n">
        <v>180.8148934822649</v>
      </c>
      <c r="G826" s="8" t="n">
        <v>0.85</v>
      </c>
      <c r="H826" s="7" t="n">
        <v>153.6926594599251</v>
      </c>
      <c r="I826" s="7" t="n">
        <v>1.275</v>
      </c>
      <c r="J826" s="9" t="n">
        <v>0.023</v>
      </c>
      <c r="K826" s="49" t="inlineStr">
        <is>
          <t>Success</t>
        </is>
      </c>
      <c r="L826" s="7" t="n">
        <v>0.2305389891898877</v>
      </c>
      <c r="M826" s="7" t="n">
        <v>0</v>
      </c>
      <c r="N826" s="7" t="n">
        <v>2.305389891898877</v>
      </c>
    </row>
    <row r="827" ht="18" customHeight="1">
      <c r="A827" s="49" t="inlineStr">
        <is>
          <t>ACE-10826</t>
        </is>
      </c>
      <c r="B827" s="49" t="inlineStr">
        <is>
          <t>2026-05-23 16:58:08</t>
        </is>
      </c>
      <c r="C827" s="49" t="inlineStr">
        <is>
          <t>CUST-78184</t>
        </is>
      </c>
      <c r="D827" s="49" t="inlineStr">
        <is>
          <t>GBP-PKR</t>
        </is>
      </c>
      <c r="E827" s="49" t="inlineStr">
        <is>
          <t>GBP</t>
        </is>
      </c>
      <c r="F827" s="7" t="n">
        <v>322.1856882383762</v>
      </c>
      <c r="G827" s="8" t="n">
        <v>1</v>
      </c>
      <c r="H827" s="7" t="n">
        <v>322.1856882383762</v>
      </c>
      <c r="I827" s="7" t="n">
        <v>1.5</v>
      </c>
      <c r="J827" s="9" t="n">
        <v>0.021</v>
      </c>
      <c r="K827" s="49" t="inlineStr">
        <is>
          <t>Success</t>
        </is>
      </c>
      <c r="L827" s="7" t="n">
        <v>0.4832785323575643</v>
      </c>
      <c r="M827" s="7" t="n">
        <v>0.9665570647151286</v>
      </c>
      <c r="N827" s="7" t="n">
        <v>3.866228258860514</v>
      </c>
    </row>
    <row r="828" ht="18" customHeight="1">
      <c r="A828" s="49" t="inlineStr">
        <is>
          <t>ACE-10827</t>
        </is>
      </c>
      <c r="B828" s="49" t="inlineStr">
        <is>
          <t>2026-05-05 18:59:36</t>
        </is>
      </c>
      <c r="C828" s="49" t="inlineStr">
        <is>
          <t>CUST-60357</t>
        </is>
      </c>
      <c r="D828" s="49" t="inlineStr">
        <is>
          <t>GBP-PKR</t>
        </is>
      </c>
      <c r="E828" s="49" t="inlineStr">
        <is>
          <t>GBP</t>
        </is>
      </c>
      <c r="F828" s="7" t="n">
        <v>326.2770339031294</v>
      </c>
      <c r="G828" s="8" t="n">
        <v>1</v>
      </c>
      <c r="H828" s="7" t="n">
        <v>326.2770339031294</v>
      </c>
      <c r="I828" s="7" t="n">
        <v>1.5</v>
      </c>
      <c r="J828" s="9" t="n">
        <v>0.021</v>
      </c>
      <c r="K828" s="49" t="inlineStr">
        <is>
          <t>Success</t>
        </is>
      </c>
      <c r="L828" s="7" t="n">
        <v>0.4894155508546941</v>
      </c>
      <c r="M828" s="7" t="n">
        <v>0</v>
      </c>
      <c r="N828" s="7" t="n">
        <v>3.915324406837553</v>
      </c>
    </row>
    <row r="829" ht="18" customHeight="1">
      <c r="A829" s="49" t="inlineStr">
        <is>
          <t>ACE-10828</t>
        </is>
      </c>
      <c r="B829" s="49" t="inlineStr">
        <is>
          <t>2026-05-24 09:11:20</t>
        </is>
      </c>
      <c r="C829" s="49" t="inlineStr">
        <is>
          <t>CUST-59536</t>
        </is>
      </c>
      <c r="D829" s="49" t="inlineStr">
        <is>
          <t>GBP-PKR</t>
        </is>
      </c>
      <c r="E829" s="49" t="inlineStr">
        <is>
          <t>GBP</t>
        </is>
      </c>
      <c r="F829" s="7" t="n">
        <v>264.4107064275212</v>
      </c>
      <c r="G829" s="8" t="n">
        <v>1</v>
      </c>
      <c r="H829" s="7" t="n">
        <v>264.4107064275212</v>
      </c>
      <c r="I829" s="7" t="n">
        <v>1.5</v>
      </c>
      <c r="J829" s="9" t="n">
        <v>0.021</v>
      </c>
      <c r="K829" s="49" t="inlineStr">
        <is>
          <t>Success</t>
        </is>
      </c>
      <c r="L829" s="7" t="n">
        <v>0.3966160596412818</v>
      </c>
      <c r="M829" s="7" t="n">
        <v>0.7932321192825635</v>
      </c>
      <c r="N829" s="7" t="n">
        <v>3.172928477130254</v>
      </c>
    </row>
    <row r="830" ht="18" customHeight="1">
      <c r="A830" s="49" t="inlineStr">
        <is>
          <t>ACE-10829</t>
        </is>
      </c>
      <c r="B830" s="49" t="inlineStr">
        <is>
          <t>2026-05-14 14:19:28</t>
        </is>
      </c>
      <c r="C830" s="49" t="inlineStr">
        <is>
          <t>CUST-98864</t>
        </is>
      </c>
      <c r="D830" s="49" t="inlineStr">
        <is>
          <t>GBP-PKR</t>
        </is>
      </c>
      <c r="E830" s="49" t="inlineStr">
        <is>
          <t>GBP</t>
        </is>
      </c>
      <c r="F830" s="7" t="n">
        <v>267.1394806564905</v>
      </c>
      <c r="G830" s="8" t="n">
        <v>1</v>
      </c>
      <c r="H830" s="7" t="n">
        <v>267.1394806564905</v>
      </c>
      <c r="I830" s="7" t="n">
        <v>1.5</v>
      </c>
      <c r="J830" s="9" t="n">
        <v>0.021</v>
      </c>
      <c r="K830" s="49" t="inlineStr">
        <is>
          <t>Success</t>
        </is>
      </c>
      <c r="L830" s="7" t="n">
        <v>0.4007092209847358</v>
      </c>
      <c r="M830" s="7" t="n">
        <v>0.8014184419694715</v>
      </c>
      <c r="N830" s="7" t="n">
        <v>3.205673767877886</v>
      </c>
    </row>
    <row r="831" ht="18" customHeight="1">
      <c r="A831" s="49" t="inlineStr">
        <is>
          <t>ACE-10830</t>
        </is>
      </c>
      <c r="B831" s="49" t="inlineStr">
        <is>
          <t>2026-05-24 12:09:49</t>
        </is>
      </c>
      <c r="C831" s="49" t="inlineStr">
        <is>
          <t>CUST-62316</t>
        </is>
      </c>
      <c r="D831" s="49" t="inlineStr">
        <is>
          <t>EUR-PKR</t>
        </is>
      </c>
      <c r="E831" s="49" t="inlineStr">
        <is>
          <t>EUR</t>
        </is>
      </c>
      <c r="F831" s="7" t="n">
        <v>183.7995223692742</v>
      </c>
      <c r="G831" s="8" t="n">
        <v>0.85</v>
      </c>
      <c r="H831" s="7" t="n">
        <v>156.2295940138831</v>
      </c>
      <c r="I831" s="7" t="n">
        <v>1.275</v>
      </c>
      <c r="J831" s="9" t="n">
        <v>0.023</v>
      </c>
      <c r="K831" s="49" t="inlineStr">
        <is>
          <t>Success</t>
        </is>
      </c>
      <c r="L831" s="7" t="n">
        <v>0.2343443910208246</v>
      </c>
      <c r="M831" s="7" t="n">
        <v>0</v>
      </c>
      <c r="N831" s="7" t="n">
        <v>2.343443910208246</v>
      </c>
    </row>
    <row r="832" ht="18" customHeight="1">
      <c r="A832" s="49" t="inlineStr">
        <is>
          <t>ACE-10831</t>
        </is>
      </c>
      <c r="B832" s="49" t="inlineStr">
        <is>
          <t>2026-05-20 17:17:38</t>
        </is>
      </c>
      <c r="C832" s="49" t="inlineStr">
        <is>
          <t>CUST-87161</t>
        </is>
      </c>
      <c r="D832" s="49" t="inlineStr">
        <is>
          <t>GBP-PKR</t>
        </is>
      </c>
      <c r="E832" s="49" t="inlineStr">
        <is>
          <t>GBP</t>
        </is>
      </c>
      <c r="F832" s="7" t="n">
        <v>243.5554292316354</v>
      </c>
      <c r="G832" s="8" t="n">
        <v>1</v>
      </c>
      <c r="H832" s="7" t="n">
        <v>243.5554292316354</v>
      </c>
      <c r="I832" s="7" t="n">
        <v>1.5</v>
      </c>
      <c r="J832" s="9" t="n">
        <v>0.021</v>
      </c>
      <c r="K832" s="49" t="inlineStr">
        <is>
          <t>Success</t>
        </is>
      </c>
      <c r="L832" s="7" t="n">
        <v>0.3653331438474531</v>
      </c>
      <c r="M832" s="7" t="n">
        <v>0</v>
      </c>
      <c r="N832" s="7" t="n">
        <v>2.922665150779625</v>
      </c>
    </row>
    <row r="833" ht="18" customHeight="1">
      <c r="A833" s="49" t="inlineStr">
        <is>
          <t>ACE-10832</t>
        </is>
      </c>
      <c r="B833" s="49" t="inlineStr">
        <is>
          <t>2026-05-08 18:01:22</t>
        </is>
      </c>
      <c r="C833" s="49" t="inlineStr">
        <is>
          <t>CUST-55208</t>
        </is>
      </c>
      <c r="D833" s="49" t="inlineStr">
        <is>
          <t>USD-PKR</t>
        </is>
      </c>
      <c r="E833" s="49" t="inlineStr">
        <is>
          <t>USD</t>
        </is>
      </c>
      <c r="F833" s="7" t="n">
        <v>199.6892387130085</v>
      </c>
      <c r="G833" s="8" t="n">
        <v>0.8</v>
      </c>
      <c r="H833" s="7" t="n">
        <v>159.7513909704068</v>
      </c>
      <c r="I833" s="7" t="n">
        <v>1.6</v>
      </c>
      <c r="J833" s="9" t="n">
        <v>0.019</v>
      </c>
      <c r="K833" s="49" t="inlineStr">
        <is>
          <t>Success</t>
        </is>
      </c>
      <c r="L833" s="7" t="n">
        <v>0.2396270864556103</v>
      </c>
      <c r="M833" s="7" t="n">
        <v>0</v>
      </c>
      <c r="N833" s="7" t="n">
        <v>1.917016691644882</v>
      </c>
    </row>
    <row r="834" ht="18" customHeight="1">
      <c r="A834" s="49" t="inlineStr">
        <is>
          <t>ACE-10833</t>
        </is>
      </c>
      <c r="B834" s="49" t="inlineStr">
        <is>
          <t>2026-05-17 17:30:45</t>
        </is>
      </c>
      <c r="C834" s="49" t="inlineStr">
        <is>
          <t>CUST-92570</t>
        </is>
      </c>
      <c r="D834" s="49" t="inlineStr">
        <is>
          <t>EUR-PKR</t>
        </is>
      </c>
      <c r="E834" s="49" t="inlineStr">
        <is>
          <t>EUR</t>
        </is>
      </c>
      <c r="F834" s="7" t="n">
        <v>170.9908413113046</v>
      </c>
      <c r="G834" s="8" t="n">
        <v>0.85</v>
      </c>
      <c r="H834" s="7" t="n">
        <v>145.3422151146089</v>
      </c>
      <c r="I834" s="7" t="n">
        <v>1.275</v>
      </c>
      <c r="J834" s="9" t="n">
        <v>0.023</v>
      </c>
      <c r="K834" s="49" t="inlineStr">
        <is>
          <t>Success</t>
        </is>
      </c>
      <c r="L834" s="7" t="n">
        <v>0.2180133226719133</v>
      </c>
      <c r="M834" s="7" t="n">
        <v>0.4360266453438266</v>
      </c>
      <c r="N834" s="7" t="n">
        <v>2.180133226719133</v>
      </c>
    </row>
    <row r="835" ht="18" customHeight="1">
      <c r="A835" s="49" t="inlineStr">
        <is>
          <t>ACE-10834</t>
        </is>
      </c>
      <c r="B835" s="49" t="inlineStr">
        <is>
          <t>2026-05-16 15:08:10</t>
        </is>
      </c>
      <c r="C835" s="49" t="inlineStr">
        <is>
          <t>CUST-62665</t>
        </is>
      </c>
      <c r="D835" s="49" t="inlineStr">
        <is>
          <t>GBP-PKR</t>
        </is>
      </c>
      <c r="E835" s="49" t="inlineStr">
        <is>
          <t>GBP</t>
        </is>
      </c>
      <c r="F835" s="7" t="n">
        <v>258.0129678540933</v>
      </c>
      <c r="G835" s="8" t="n">
        <v>1</v>
      </c>
      <c r="H835" s="7" t="n">
        <v>258.0129678540933</v>
      </c>
      <c r="I835" s="7" t="n">
        <v>1.5</v>
      </c>
      <c r="J835" s="9" t="n">
        <v>0.021</v>
      </c>
      <c r="K835" s="49" t="inlineStr">
        <is>
          <t>Success</t>
        </is>
      </c>
      <c r="L835" s="7" t="n">
        <v>0.3870194517811399</v>
      </c>
      <c r="M835" s="7" t="n">
        <v>0</v>
      </c>
      <c r="N835" s="7" t="n">
        <v>3.09615561424912</v>
      </c>
    </row>
    <row r="836" ht="18" customHeight="1">
      <c r="A836" s="49" t="inlineStr">
        <is>
          <t>ACE-10835</t>
        </is>
      </c>
      <c r="B836" s="49" t="inlineStr">
        <is>
          <t>2026-05-01 12:26:14</t>
        </is>
      </c>
      <c r="C836" s="49" t="inlineStr">
        <is>
          <t>CUST-98651</t>
        </is>
      </c>
      <c r="D836" s="49" t="inlineStr">
        <is>
          <t>GBP-PKR</t>
        </is>
      </c>
      <c r="E836" s="49" t="inlineStr">
        <is>
          <t>GBP</t>
        </is>
      </c>
      <c r="F836" s="7" t="n">
        <v>277.6388350136733</v>
      </c>
      <c r="G836" s="8" t="n">
        <v>1</v>
      </c>
      <c r="H836" s="7" t="n">
        <v>277.6388350136733</v>
      </c>
      <c r="I836" s="7" t="n">
        <v>1.5</v>
      </c>
      <c r="J836" s="9" t="n">
        <v>0.021</v>
      </c>
      <c r="K836" s="49" t="inlineStr">
        <is>
          <t>Success</t>
        </is>
      </c>
      <c r="L836" s="7" t="n">
        <v>0.41645825252051</v>
      </c>
      <c r="M836" s="7" t="n">
        <v>0</v>
      </c>
      <c r="N836" s="7" t="n">
        <v>3.33166602016408</v>
      </c>
    </row>
    <row r="837" ht="18" customHeight="1">
      <c r="A837" s="49" t="inlineStr">
        <is>
          <t>ACE-10836</t>
        </is>
      </c>
      <c r="B837" s="49" t="inlineStr">
        <is>
          <t>2026-05-07 09:11:59</t>
        </is>
      </c>
      <c r="C837" s="49" t="inlineStr">
        <is>
          <t>CUST-78788</t>
        </is>
      </c>
      <c r="D837" s="49" t="inlineStr">
        <is>
          <t>GBP-PKR</t>
        </is>
      </c>
      <c r="E837" s="49" t="inlineStr">
        <is>
          <t>GBP</t>
        </is>
      </c>
      <c r="F837" s="7" t="n">
        <v>285.2058146834377</v>
      </c>
      <c r="G837" s="8" t="n">
        <v>1</v>
      </c>
      <c r="H837" s="7" t="n">
        <v>285.2058146834377</v>
      </c>
      <c r="I837" s="7" t="n">
        <v>1.5</v>
      </c>
      <c r="J837" s="9" t="n">
        <v>0.021</v>
      </c>
      <c r="K837" s="49" t="inlineStr">
        <is>
          <t>Success</t>
        </is>
      </c>
      <c r="L837" s="7" t="n">
        <v>0.4278087220251565</v>
      </c>
      <c r="M837" s="7" t="n">
        <v>0</v>
      </c>
      <c r="N837" s="7" t="n">
        <v>3.422469776201252</v>
      </c>
    </row>
    <row r="838" ht="18" customHeight="1">
      <c r="A838" s="49" t="inlineStr">
        <is>
          <t>ACE-10837</t>
        </is>
      </c>
      <c r="B838" s="49" t="inlineStr">
        <is>
          <t>2026-05-11 15:56:15</t>
        </is>
      </c>
      <c r="C838" s="49" t="inlineStr">
        <is>
          <t>CUST-78020</t>
        </is>
      </c>
      <c r="D838" s="49" t="inlineStr">
        <is>
          <t>GBP-PKR</t>
        </is>
      </c>
      <c r="E838" s="49" t="inlineStr">
        <is>
          <t>GBP</t>
        </is>
      </c>
      <c r="F838" s="7" t="n">
        <v>325.3298700826797</v>
      </c>
      <c r="G838" s="8" t="n">
        <v>1</v>
      </c>
      <c r="H838" s="7" t="n">
        <v>325.3298700826797</v>
      </c>
      <c r="I838" s="7" t="n">
        <v>1.5</v>
      </c>
      <c r="J838" s="9" t="n">
        <v>0.021</v>
      </c>
      <c r="K838" s="49" t="inlineStr">
        <is>
          <t>Success</t>
        </is>
      </c>
      <c r="L838" s="7" t="n">
        <v>0.4879948051240195</v>
      </c>
      <c r="M838" s="7" t="n">
        <v>0</v>
      </c>
      <c r="N838" s="7" t="n">
        <v>3.903958440992156</v>
      </c>
    </row>
    <row r="839" ht="18" customHeight="1">
      <c r="A839" s="49" t="inlineStr">
        <is>
          <t>ACE-10838</t>
        </is>
      </c>
      <c r="B839" s="49" t="inlineStr">
        <is>
          <t>2026-05-24 14:46:20</t>
        </is>
      </c>
      <c r="C839" s="49" t="inlineStr">
        <is>
          <t>CUST-75831</t>
        </is>
      </c>
      <c r="D839" s="49" t="inlineStr">
        <is>
          <t>USD-PKR</t>
        </is>
      </c>
      <c r="E839" s="49" t="inlineStr">
        <is>
          <t>USD</t>
        </is>
      </c>
      <c r="F839" s="7" t="n">
        <v>198.1039993968759</v>
      </c>
      <c r="G839" s="8" t="n">
        <v>0.8</v>
      </c>
      <c r="H839" s="7" t="n">
        <v>158.4831995175008</v>
      </c>
      <c r="I839" s="7" t="n">
        <v>1.6</v>
      </c>
      <c r="J839" s="9" t="n">
        <v>0.019</v>
      </c>
      <c r="K839" s="49" t="inlineStr">
        <is>
          <t>Success</t>
        </is>
      </c>
      <c r="L839" s="7" t="n">
        <v>0.2377247992762511</v>
      </c>
      <c r="M839" s="7" t="n">
        <v>0.4754495985525023</v>
      </c>
      <c r="N839" s="7" t="n">
        <v>1.901798394210009</v>
      </c>
    </row>
    <row r="840" ht="18" customHeight="1">
      <c r="A840" s="49" t="inlineStr">
        <is>
          <t>ACE-10839</t>
        </is>
      </c>
      <c r="B840" s="49" t="inlineStr">
        <is>
          <t>2026-05-20 16:33:41</t>
        </is>
      </c>
      <c r="C840" s="49" t="inlineStr">
        <is>
          <t>CUST-96144</t>
        </is>
      </c>
      <c r="D840" s="49" t="inlineStr">
        <is>
          <t>GBP-PKR</t>
        </is>
      </c>
      <c r="E840" s="49" t="inlineStr">
        <is>
          <t>GBP</t>
        </is>
      </c>
      <c r="F840" s="7" t="n">
        <v>307.422137258939</v>
      </c>
      <c r="G840" s="8" t="n">
        <v>1</v>
      </c>
      <c r="H840" s="7" t="n">
        <v>307.422137258939</v>
      </c>
      <c r="I840" s="7" t="n">
        <v>1.5</v>
      </c>
      <c r="J840" s="9" t="n">
        <v>0.021</v>
      </c>
      <c r="K840" s="49" t="inlineStr">
        <is>
          <t>Success</t>
        </is>
      </c>
      <c r="L840" s="7" t="n">
        <v>0.4611332058884086</v>
      </c>
      <c r="M840" s="7" t="n">
        <v>0</v>
      </c>
      <c r="N840" s="7" t="n">
        <v>3.689065647107268</v>
      </c>
    </row>
    <row r="841" ht="18" customHeight="1">
      <c r="A841" s="49" t="inlineStr">
        <is>
          <t>ACE-10840</t>
        </is>
      </c>
      <c r="B841" s="49" t="inlineStr">
        <is>
          <t>2026-05-15 15:52:56</t>
        </is>
      </c>
      <c r="C841" s="49" t="inlineStr">
        <is>
          <t>CUST-52779</t>
        </is>
      </c>
      <c r="D841" s="49" t="inlineStr">
        <is>
          <t>GBP-PKR</t>
        </is>
      </c>
      <c r="E841" s="49" t="inlineStr">
        <is>
          <t>GBP</t>
        </is>
      </c>
      <c r="F841" s="7" t="n">
        <v>272.705025606017</v>
      </c>
      <c r="G841" s="8" t="n">
        <v>1</v>
      </c>
      <c r="H841" s="7" t="n">
        <v>272.705025606017</v>
      </c>
      <c r="I841" s="7" t="n">
        <v>1.5</v>
      </c>
      <c r="J841" s="9" t="n">
        <v>0.021</v>
      </c>
      <c r="K841" s="49" t="inlineStr">
        <is>
          <t>Success</t>
        </is>
      </c>
      <c r="L841" s="7" t="n">
        <v>0.4090575384090255</v>
      </c>
      <c r="M841" s="7" t="n">
        <v>0</v>
      </c>
      <c r="N841" s="7" t="n">
        <v>3.272460307272204</v>
      </c>
    </row>
    <row r="842" ht="18" customHeight="1">
      <c r="A842" s="49" t="inlineStr">
        <is>
          <t>ACE-10841</t>
        </is>
      </c>
      <c r="B842" s="49" t="inlineStr">
        <is>
          <t>2026-05-18 14:47:02</t>
        </is>
      </c>
      <c r="C842" s="49" t="inlineStr">
        <is>
          <t>CUST-86549</t>
        </is>
      </c>
      <c r="D842" s="49" t="inlineStr">
        <is>
          <t>GBP-PKR</t>
        </is>
      </c>
      <c r="E842" s="49" t="inlineStr">
        <is>
          <t>GBP</t>
        </is>
      </c>
      <c r="F842" s="7" t="n">
        <v>277.2288205651627</v>
      </c>
      <c r="G842" s="8" t="n">
        <v>1</v>
      </c>
      <c r="H842" s="7" t="n">
        <v>277.2288205651627</v>
      </c>
      <c r="I842" s="7" t="n">
        <v>1.5</v>
      </c>
      <c r="J842" s="9" t="n">
        <v>0.021</v>
      </c>
      <c r="K842" s="49" t="inlineStr">
        <is>
          <t>Success</t>
        </is>
      </c>
      <c r="L842" s="7" t="n">
        <v>0.415843230847744</v>
      </c>
      <c r="M842" s="7" t="n">
        <v>0.831686461695488</v>
      </c>
      <c r="N842" s="7" t="n">
        <v>3.326745846781952</v>
      </c>
    </row>
    <row r="843" ht="18" customHeight="1">
      <c r="A843" s="49" t="inlineStr">
        <is>
          <t>ACE-10842</t>
        </is>
      </c>
      <c r="B843" s="49" t="inlineStr">
        <is>
          <t>2026-05-02 11:18:28</t>
        </is>
      </c>
      <c r="C843" s="49" t="inlineStr">
        <is>
          <t>CUST-76085</t>
        </is>
      </c>
      <c r="D843" s="49" t="inlineStr">
        <is>
          <t>GBP-PKR</t>
        </is>
      </c>
      <c r="E843" s="49" t="inlineStr">
        <is>
          <t>GBP</t>
        </is>
      </c>
      <c r="F843" s="7" t="n">
        <v>298.0530683570823</v>
      </c>
      <c r="G843" s="8" t="n">
        <v>1</v>
      </c>
      <c r="H843" s="7" t="n">
        <v>298.0530683570823</v>
      </c>
      <c r="I843" s="7" t="n">
        <v>1.5</v>
      </c>
      <c r="J843" s="9" t="n">
        <v>0.021</v>
      </c>
      <c r="K843" s="49" t="inlineStr">
        <is>
          <t>Success</t>
        </is>
      </c>
      <c r="L843" s="7" t="n">
        <v>0.4470796025356235</v>
      </c>
      <c r="M843" s="7" t="n">
        <v>0.894159205071247</v>
      </c>
      <c r="N843" s="7" t="n">
        <v>3.576636820284988</v>
      </c>
    </row>
    <row r="844" ht="18" customHeight="1">
      <c r="A844" s="49" t="inlineStr">
        <is>
          <t>ACE-10843</t>
        </is>
      </c>
      <c r="B844" s="49" t="inlineStr">
        <is>
          <t>2026-05-10 15:10:27</t>
        </is>
      </c>
      <c r="C844" s="49" t="inlineStr">
        <is>
          <t>CUST-69295</t>
        </is>
      </c>
      <c r="D844" s="49" t="inlineStr">
        <is>
          <t>USD-PKR</t>
        </is>
      </c>
      <c r="E844" s="49" t="inlineStr">
        <is>
          <t>USD</t>
        </is>
      </c>
      <c r="F844" s="7" t="n">
        <v>195.6554774040156</v>
      </c>
      <c r="G844" s="8" t="n">
        <v>0.8</v>
      </c>
      <c r="H844" s="7" t="n">
        <v>156.5243819232124</v>
      </c>
      <c r="I844" s="7" t="n">
        <v>1.6</v>
      </c>
      <c r="J844" s="9" t="n">
        <v>0.019</v>
      </c>
      <c r="K844" s="49" t="inlineStr">
        <is>
          <t>Success</t>
        </is>
      </c>
      <c r="L844" s="7" t="n">
        <v>0.2347865728848187</v>
      </c>
      <c r="M844" s="7" t="n">
        <v>0</v>
      </c>
      <c r="N844" s="7" t="n">
        <v>1.878292583078549</v>
      </c>
    </row>
    <row r="845" ht="18" customHeight="1">
      <c r="A845" s="49" t="inlineStr">
        <is>
          <t>ACE-10844</t>
        </is>
      </c>
      <c r="B845" s="49" t="inlineStr">
        <is>
          <t>2026-05-17 10:29:53</t>
        </is>
      </c>
      <c r="C845" s="49" t="inlineStr">
        <is>
          <t>CUST-92342</t>
        </is>
      </c>
      <c r="D845" s="49" t="inlineStr">
        <is>
          <t>EUR-PKR</t>
        </is>
      </c>
      <c r="E845" s="49" t="inlineStr">
        <is>
          <t>EUR</t>
        </is>
      </c>
      <c r="F845" s="7" t="n">
        <v>196.4219294528127</v>
      </c>
      <c r="G845" s="8" t="n">
        <v>0.85</v>
      </c>
      <c r="H845" s="7" t="n">
        <v>166.9586400348908</v>
      </c>
      <c r="I845" s="7" t="n">
        <v>1.275</v>
      </c>
      <c r="J845" s="9" t="n">
        <v>0.023</v>
      </c>
      <c r="K845" s="49" t="inlineStr">
        <is>
          <t>Success</t>
        </is>
      </c>
      <c r="L845" s="7" t="n">
        <v>0.2504379600523363</v>
      </c>
      <c r="M845" s="7" t="n">
        <v>0.5008759201046725</v>
      </c>
      <c r="N845" s="7" t="n">
        <v>2.504379600523362</v>
      </c>
    </row>
    <row r="846" ht="18" customHeight="1">
      <c r="A846" s="49" t="inlineStr">
        <is>
          <t>ACE-10845</t>
        </is>
      </c>
      <c r="B846" s="49" t="inlineStr">
        <is>
          <t>2026-05-04 10:49:37</t>
        </is>
      </c>
      <c r="C846" s="49" t="inlineStr">
        <is>
          <t>CUST-95620</t>
        </is>
      </c>
      <c r="D846" s="49" t="inlineStr">
        <is>
          <t>GBP-PKR</t>
        </is>
      </c>
      <c r="E846" s="49" t="inlineStr">
        <is>
          <t>GBP</t>
        </is>
      </c>
      <c r="F846" s="7" t="n">
        <v>283.2797213055641</v>
      </c>
      <c r="G846" s="8" t="n">
        <v>1</v>
      </c>
      <c r="H846" s="7" t="n">
        <v>283.2797213055641</v>
      </c>
      <c r="I846" s="7" t="n">
        <v>1.5</v>
      </c>
      <c r="J846" s="9" t="n">
        <v>0.021</v>
      </c>
      <c r="K846" s="49" t="inlineStr">
        <is>
          <t>Success</t>
        </is>
      </c>
      <c r="L846" s="7" t="n">
        <v>0.4249195819583461</v>
      </c>
      <c r="M846" s="7" t="n">
        <v>0</v>
      </c>
      <c r="N846" s="7" t="n">
        <v>3.399356655666769</v>
      </c>
    </row>
    <row r="847" ht="18" customHeight="1">
      <c r="A847" s="49" t="inlineStr">
        <is>
          <t>ACE-10846</t>
        </is>
      </c>
      <c r="B847" s="49" t="inlineStr">
        <is>
          <t>2026-05-11 15:01:11</t>
        </is>
      </c>
      <c r="C847" s="49" t="inlineStr">
        <is>
          <t>CUST-79732</t>
        </is>
      </c>
      <c r="D847" s="49" t="inlineStr">
        <is>
          <t>GBP-PKR</t>
        </is>
      </c>
      <c r="E847" s="49" t="inlineStr">
        <is>
          <t>GBP</t>
        </is>
      </c>
      <c r="F847" s="7" t="n">
        <v>292.6667909338545</v>
      </c>
      <c r="G847" s="8" t="n">
        <v>1</v>
      </c>
      <c r="H847" s="7" t="n">
        <v>292.6667909338545</v>
      </c>
      <c r="I847" s="7" t="n">
        <v>1.5</v>
      </c>
      <c r="J847" s="9" t="n">
        <v>0.021</v>
      </c>
      <c r="K847" s="49" t="inlineStr">
        <is>
          <t>Success</t>
        </is>
      </c>
      <c r="L847" s="7" t="n">
        <v>0.4390001864007818</v>
      </c>
      <c r="M847" s="7" t="n">
        <v>0.8780003728015636</v>
      </c>
      <c r="N847" s="7" t="n">
        <v>3.512001491206254</v>
      </c>
    </row>
    <row r="848" ht="18" customHeight="1">
      <c r="A848" s="49" t="inlineStr">
        <is>
          <t>ACE-10847</t>
        </is>
      </c>
      <c r="B848" s="49" t="inlineStr">
        <is>
          <t>2026-05-07 15:05:16</t>
        </is>
      </c>
      <c r="C848" s="49" t="inlineStr">
        <is>
          <t>CUST-71238</t>
        </is>
      </c>
      <c r="D848" s="49" t="inlineStr">
        <is>
          <t>GBP-PKR</t>
        </is>
      </c>
      <c r="E848" s="49" t="inlineStr">
        <is>
          <t>GBP</t>
        </is>
      </c>
      <c r="F848" s="7" t="n">
        <v>286.7774466005779</v>
      </c>
      <c r="G848" s="8" t="n">
        <v>1</v>
      </c>
      <c r="H848" s="7" t="n">
        <v>286.7774466005779</v>
      </c>
      <c r="I848" s="7" t="n">
        <v>1.5</v>
      </c>
      <c r="J848" s="9" t="n">
        <v>0.021</v>
      </c>
      <c r="K848" s="49" t="inlineStr">
        <is>
          <t>Success</t>
        </is>
      </c>
      <c r="L848" s="7" t="n">
        <v>0.4301661699008669</v>
      </c>
      <c r="M848" s="7" t="n">
        <v>0.8603323398017338</v>
      </c>
      <c r="N848" s="7" t="n">
        <v>3.441329359206935</v>
      </c>
    </row>
    <row r="849" ht="18" customHeight="1">
      <c r="A849" s="49" t="inlineStr">
        <is>
          <t>ACE-10848</t>
        </is>
      </c>
      <c r="B849" s="49" t="inlineStr">
        <is>
          <t>2026-05-06 19:46:07</t>
        </is>
      </c>
      <c r="C849" s="49" t="inlineStr">
        <is>
          <t>CUST-55976</t>
        </is>
      </c>
      <c r="D849" s="49" t="inlineStr">
        <is>
          <t>GBP-PKR</t>
        </is>
      </c>
      <c r="E849" s="49" t="inlineStr">
        <is>
          <t>GBP</t>
        </is>
      </c>
      <c r="F849" s="7" t="n">
        <v>356.1384704486435</v>
      </c>
      <c r="G849" s="8" t="n">
        <v>1</v>
      </c>
      <c r="H849" s="7" t="n">
        <v>356.1384704486435</v>
      </c>
      <c r="I849" s="7" t="n">
        <v>1.5</v>
      </c>
      <c r="J849" s="9" t="n">
        <v>0.021</v>
      </c>
      <c r="K849" s="49" t="inlineStr">
        <is>
          <t>Success</t>
        </is>
      </c>
      <c r="L849" s="7" t="n">
        <v>0.5342077056729654</v>
      </c>
      <c r="M849" s="7" t="n">
        <v>0</v>
      </c>
      <c r="N849" s="7" t="n">
        <v>4.273661645383723</v>
      </c>
    </row>
    <row r="850" ht="18" customHeight="1">
      <c r="A850" s="49" t="inlineStr">
        <is>
          <t>ACE-10849</t>
        </is>
      </c>
      <c r="B850" s="49" t="inlineStr">
        <is>
          <t>2026-05-12 09:33:45</t>
        </is>
      </c>
      <c r="C850" s="49" t="inlineStr">
        <is>
          <t>CUST-75171</t>
        </is>
      </c>
      <c r="D850" s="49" t="inlineStr">
        <is>
          <t>USD-PKR</t>
        </is>
      </c>
      <c r="E850" s="49" t="inlineStr">
        <is>
          <t>USD</t>
        </is>
      </c>
      <c r="F850" s="7" t="n">
        <v>205.3782801873422</v>
      </c>
      <c r="G850" s="8" t="n">
        <v>0.8</v>
      </c>
      <c r="H850" s="7" t="n">
        <v>164.3026241498738</v>
      </c>
      <c r="I850" s="7" t="n">
        <v>1.6</v>
      </c>
      <c r="J850" s="9" t="n">
        <v>0.019</v>
      </c>
      <c r="K850" s="49" t="inlineStr">
        <is>
          <t>Success</t>
        </is>
      </c>
      <c r="L850" s="7" t="n">
        <v>0.2464539362248107</v>
      </c>
      <c r="M850" s="7" t="n">
        <v>0.4929078724496213</v>
      </c>
      <c r="N850" s="7" t="n">
        <v>1.971631489798485</v>
      </c>
    </row>
    <row r="851" ht="18" customHeight="1">
      <c r="A851" s="49" t="inlineStr">
        <is>
          <t>ACE-10850</t>
        </is>
      </c>
      <c r="B851" s="49" t="inlineStr">
        <is>
          <t>2026-05-20 10:24:35</t>
        </is>
      </c>
      <c r="C851" s="49" t="inlineStr">
        <is>
          <t>CUST-74943</t>
        </is>
      </c>
      <c r="D851" s="49" t="inlineStr">
        <is>
          <t>GBP-PKR</t>
        </is>
      </c>
      <c r="E851" s="49" t="inlineStr">
        <is>
          <t>GBP</t>
        </is>
      </c>
      <c r="F851" s="7" t="n">
        <v>264.1956448523549</v>
      </c>
      <c r="G851" s="8" t="n">
        <v>1</v>
      </c>
      <c r="H851" s="7" t="n">
        <v>264.1956448523549</v>
      </c>
      <c r="I851" s="7" t="n">
        <v>1.5</v>
      </c>
      <c r="J851" s="9" t="n">
        <v>0.021</v>
      </c>
      <c r="K851" s="49" t="inlineStr">
        <is>
          <t>Success</t>
        </is>
      </c>
      <c r="L851" s="7" t="n">
        <v>0.3962934672785323</v>
      </c>
      <c r="M851" s="7" t="n">
        <v>0</v>
      </c>
      <c r="N851" s="7" t="n">
        <v>3.170347738228259</v>
      </c>
    </row>
    <row r="852" ht="18" customHeight="1">
      <c r="A852" s="49" t="inlineStr">
        <is>
          <t>ACE-10851</t>
        </is>
      </c>
      <c r="B852" s="49" t="inlineStr">
        <is>
          <t>2026-05-11 17:55:42</t>
        </is>
      </c>
      <c r="C852" s="49" t="inlineStr">
        <is>
          <t>CUST-59836</t>
        </is>
      </c>
      <c r="D852" s="49" t="inlineStr">
        <is>
          <t>GBP-PKR</t>
        </is>
      </c>
      <c r="E852" s="49" t="inlineStr">
        <is>
          <t>GBP</t>
        </is>
      </c>
      <c r="F852" s="7" t="n">
        <v>261.7724331394061</v>
      </c>
      <c r="G852" s="8" t="n">
        <v>1</v>
      </c>
      <c r="H852" s="7" t="n">
        <v>261.7724331394061</v>
      </c>
      <c r="I852" s="7" t="n">
        <v>1.5</v>
      </c>
      <c r="J852" s="9" t="n">
        <v>0.021</v>
      </c>
      <c r="K852" s="49" t="inlineStr">
        <is>
          <t>Success</t>
        </is>
      </c>
      <c r="L852" s="7" t="n">
        <v>0.3926586497091091</v>
      </c>
      <c r="M852" s="7" t="n">
        <v>0</v>
      </c>
      <c r="N852" s="7" t="n">
        <v>3.141269197672873</v>
      </c>
    </row>
    <row r="853" ht="18" customHeight="1">
      <c r="A853" s="49" t="inlineStr">
        <is>
          <t>ACE-10852</t>
        </is>
      </c>
      <c r="B853" s="49" t="inlineStr">
        <is>
          <t>2026-05-23 08:26:19</t>
        </is>
      </c>
      <c r="C853" s="49" t="inlineStr">
        <is>
          <t>CUST-70284</t>
        </is>
      </c>
      <c r="D853" s="49" t="inlineStr">
        <is>
          <t>EUR-PKR</t>
        </is>
      </c>
      <c r="E853" s="49" t="inlineStr">
        <is>
          <t>EUR</t>
        </is>
      </c>
      <c r="F853" s="7" t="n">
        <v>178.8372832404987</v>
      </c>
      <c r="G853" s="8" t="n">
        <v>0.85</v>
      </c>
      <c r="H853" s="7" t="n">
        <v>152.0116907544239</v>
      </c>
      <c r="I853" s="7" t="n">
        <v>1.275</v>
      </c>
      <c r="J853" s="9" t="n">
        <v>0.023</v>
      </c>
      <c r="K853" s="49" t="inlineStr">
        <is>
          <t>Success</t>
        </is>
      </c>
      <c r="L853" s="7" t="n">
        <v>0.2280175361316358</v>
      </c>
      <c r="M853" s="7" t="n">
        <v>0.4560350722632716</v>
      </c>
      <c r="N853" s="7" t="n">
        <v>2.280175361316358</v>
      </c>
    </row>
    <row r="854" ht="18" customHeight="1">
      <c r="A854" s="49" t="inlineStr">
        <is>
          <t>ACE-10853</t>
        </is>
      </c>
      <c r="B854" s="49" t="inlineStr">
        <is>
          <t>2026-05-10 18:11:07</t>
        </is>
      </c>
      <c r="C854" s="49" t="inlineStr">
        <is>
          <t>CUST-58622</t>
        </is>
      </c>
      <c r="D854" s="49" t="inlineStr">
        <is>
          <t>USD-PKR</t>
        </is>
      </c>
      <c r="E854" s="49" t="inlineStr">
        <is>
          <t>USD</t>
        </is>
      </c>
      <c r="F854" s="7" t="n">
        <v>205.3855272304473</v>
      </c>
      <c r="G854" s="8" t="n">
        <v>0.8</v>
      </c>
      <c r="H854" s="7" t="n">
        <v>164.3084217843578</v>
      </c>
      <c r="I854" s="7" t="n">
        <v>1.6</v>
      </c>
      <c r="J854" s="9" t="n">
        <v>0.019</v>
      </c>
      <c r="K854" s="49" t="inlineStr">
        <is>
          <t>Success</t>
        </is>
      </c>
      <c r="L854" s="7" t="n">
        <v>0.2464626326765367</v>
      </c>
      <c r="M854" s="7" t="n">
        <v>0</v>
      </c>
      <c r="N854" s="7" t="n">
        <v>1.971701061412294</v>
      </c>
    </row>
    <row r="855" ht="18" customHeight="1">
      <c r="A855" s="49" t="inlineStr">
        <is>
          <t>ACE-10854</t>
        </is>
      </c>
      <c r="B855" s="49" t="inlineStr">
        <is>
          <t>2026-05-09 08:29:31</t>
        </is>
      </c>
      <c r="C855" s="49" t="inlineStr">
        <is>
          <t>CUST-82679</t>
        </is>
      </c>
      <c r="D855" s="49" t="inlineStr">
        <is>
          <t>GBP-PKR</t>
        </is>
      </c>
      <c r="E855" s="49" t="inlineStr">
        <is>
          <t>GBP</t>
        </is>
      </c>
      <c r="F855" s="7" t="n">
        <v>313.7797341892912</v>
      </c>
      <c r="G855" s="8" t="n">
        <v>1</v>
      </c>
      <c r="H855" s="7" t="n">
        <v>313.7797341892912</v>
      </c>
      <c r="I855" s="7" t="n">
        <v>1.5</v>
      </c>
      <c r="J855" s="9" t="n">
        <v>0.021</v>
      </c>
      <c r="K855" s="49" t="inlineStr">
        <is>
          <t>Success</t>
        </is>
      </c>
      <c r="L855" s="7" t="n">
        <v>0.4706696012839368</v>
      </c>
      <c r="M855" s="7" t="n">
        <v>0</v>
      </c>
      <c r="N855" s="7" t="n">
        <v>3.765356810271494</v>
      </c>
    </row>
    <row r="856" ht="18" customHeight="1">
      <c r="A856" s="49" t="inlineStr">
        <is>
          <t>ACE-10855</t>
        </is>
      </c>
      <c r="B856" s="49" t="inlineStr">
        <is>
          <t>2026-05-16 11:13:37</t>
        </is>
      </c>
      <c r="C856" s="49" t="inlineStr">
        <is>
          <t>CUST-93219</t>
        </is>
      </c>
      <c r="D856" s="49" t="inlineStr">
        <is>
          <t>EUR-PKR</t>
        </is>
      </c>
      <c r="E856" s="49" t="inlineStr">
        <is>
          <t>EUR</t>
        </is>
      </c>
      <c r="F856" s="7" t="n">
        <v>217.9083359258833</v>
      </c>
      <c r="G856" s="8" t="n">
        <v>0.85</v>
      </c>
      <c r="H856" s="7" t="n">
        <v>185.2220855370008</v>
      </c>
      <c r="I856" s="7" t="n">
        <v>1.275</v>
      </c>
      <c r="J856" s="9" t="n">
        <v>0.023</v>
      </c>
      <c r="K856" s="49" t="inlineStr">
        <is>
          <t>Success</t>
        </is>
      </c>
      <c r="L856" s="7" t="n">
        <v>0.2778331283055012</v>
      </c>
      <c r="M856" s="7" t="n">
        <v>0</v>
      </c>
      <c r="N856" s="7" t="n">
        <v>2.778331283055012</v>
      </c>
    </row>
    <row r="857" ht="18" customHeight="1">
      <c r="A857" s="49" t="inlineStr">
        <is>
          <t>ACE-10856</t>
        </is>
      </c>
      <c r="B857" s="49" t="inlineStr">
        <is>
          <t>2026-05-03 17:38:00</t>
        </is>
      </c>
      <c r="C857" s="49" t="inlineStr">
        <is>
          <t>CUST-66037</t>
        </is>
      </c>
      <c r="D857" s="49" t="inlineStr">
        <is>
          <t>GBP-PKR</t>
        </is>
      </c>
      <c r="E857" s="49" t="inlineStr">
        <is>
          <t>GBP</t>
        </is>
      </c>
      <c r="F857" s="7" t="n">
        <v>263.1475690300849</v>
      </c>
      <c r="G857" s="8" t="n">
        <v>1</v>
      </c>
      <c r="H857" s="7" t="n">
        <v>263.1475690300849</v>
      </c>
      <c r="I857" s="7" t="n">
        <v>1.5</v>
      </c>
      <c r="J857" s="9" t="n">
        <v>0.021</v>
      </c>
      <c r="K857" s="49" t="inlineStr">
        <is>
          <t>Success</t>
        </is>
      </c>
      <c r="L857" s="7" t="n">
        <v>0.3947213535451274</v>
      </c>
      <c r="M857" s="7" t="n">
        <v>0</v>
      </c>
      <c r="N857" s="7" t="n">
        <v>3.157770828361019</v>
      </c>
    </row>
    <row r="858" ht="18" customHeight="1">
      <c r="A858" s="49" t="inlineStr">
        <is>
          <t>ACE-10857</t>
        </is>
      </c>
      <c r="B858" s="49" t="inlineStr">
        <is>
          <t>2026-05-21 16:52:52</t>
        </is>
      </c>
      <c r="C858" s="49" t="inlineStr">
        <is>
          <t>CUST-63607</t>
        </is>
      </c>
      <c r="D858" s="49" t="inlineStr">
        <is>
          <t>GBP-PKR</t>
        </is>
      </c>
      <c r="E858" s="49" t="inlineStr">
        <is>
          <t>GBP</t>
        </is>
      </c>
      <c r="F858" s="7" t="n">
        <v>256.3526526284483</v>
      </c>
      <c r="G858" s="8" t="n">
        <v>1</v>
      </c>
      <c r="H858" s="7" t="n">
        <v>256.3526526284483</v>
      </c>
      <c r="I858" s="7" t="n">
        <v>1.5</v>
      </c>
      <c r="J858" s="9" t="n">
        <v>0.021</v>
      </c>
      <c r="K858" s="49" t="inlineStr">
        <is>
          <t>Success</t>
        </is>
      </c>
      <c r="L858" s="7" t="n">
        <v>0.3845289789426725</v>
      </c>
      <c r="M858" s="7" t="n">
        <v>0</v>
      </c>
      <c r="N858" s="7" t="n">
        <v>3.07623183154138</v>
      </c>
    </row>
    <row r="859" ht="18" customHeight="1">
      <c r="A859" s="49" t="inlineStr">
        <is>
          <t>ACE-10858</t>
        </is>
      </c>
      <c r="B859" s="49" t="inlineStr">
        <is>
          <t>2026-05-21 13:02:09</t>
        </is>
      </c>
      <c r="C859" s="49" t="inlineStr">
        <is>
          <t>CUST-52125</t>
        </is>
      </c>
      <c r="D859" s="49" t="inlineStr">
        <is>
          <t>GBP-PKR</t>
        </is>
      </c>
      <c r="E859" s="49" t="inlineStr">
        <is>
          <t>GBP</t>
        </is>
      </c>
      <c r="F859" s="7" t="n">
        <v>292.0517927023171</v>
      </c>
      <c r="G859" s="8" t="n">
        <v>1</v>
      </c>
      <c r="H859" s="7" t="n">
        <v>292.0517927023171</v>
      </c>
      <c r="I859" s="7" t="n">
        <v>1.5</v>
      </c>
      <c r="J859" s="9" t="n">
        <v>0.021</v>
      </c>
      <c r="K859" s="49" t="inlineStr">
        <is>
          <t>Success</t>
        </is>
      </c>
      <c r="L859" s="7" t="n">
        <v>0.4380776890534757</v>
      </c>
      <c r="M859" s="7" t="n">
        <v>0.8761553781069514</v>
      </c>
      <c r="N859" s="7" t="n">
        <v>3.504621512427806</v>
      </c>
    </row>
    <row r="860" ht="18" customHeight="1">
      <c r="A860" s="49" t="inlineStr">
        <is>
          <t>ACE-10859</t>
        </is>
      </c>
      <c r="B860" s="49" t="inlineStr">
        <is>
          <t>2026-05-10 13:58:05</t>
        </is>
      </c>
      <c r="C860" s="49" t="inlineStr">
        <is>
          <t>CUST-53213</t>
        </is>
      </c>
      <c r="D860" s="49" t="inlineStr">
        <is>
          <t>GBP-PKR</t>
        </is>
      </c>
      <c r="E860" s="49" t="inlineStr">
        <is>
          <t>GBP</t>
        </is>
      </c>
      <c r="F860" s="7" t="n">
        <v>263.635455559598</v>
      </c>
      <c r="G860" s="8" t="n">
        <v>1</v>
      </c>
      <c r="H860" s="7" t="n">
        <v>263.635455559598</v>
      </c>
      <c r="I860" s="7" t="n">
        <v>1.5</v>
      </c>
      <c r="J860" s="9" t="n">
        <v>0.021</v>
      </c>
      <c r="K860" s="49" t="inlineStr">
        <is>
          <t>Success</t>
        </is>
      </c>
      <c r="L860" s="7" t="n">
        <v>0.3954531833393971</v>
      </c>
      <c r="M860" s="7" t="n">
        <v>0.7909063666787941</v>
      </c>
      <c r="N860" s="7" t="n">
        <v>3.163625466715176</v>
      </c>
    </row>
    <row r="861" ht="18" customHeight="1">
      <c r="A861" s="49" t="inlineStr">
        <is>
          <t>ACE-10860</t>
        </is>
      </c>
      <c r="B861" s="49" t="inlineStr">
        <is>
          <t>2026-05-06 18:18:39</t>
        </is>
      </c>
      <c r="C861" s="49" t="inlineStr">
        <is>
          <t>CUST-93314</t>
        </is>
      </c>
      <c r="D861" s="49" t="inlineStr">
        <is>
          <t>GBP-PKR</t>
        </is>
      </c>
      <c r="E861" s="49" t="inlineStr">
        <is>
          <t>GBP</t>
        </is>
      </c>
      <c r="F861" s="7" t="n">
        <v>296.8072045072269</v>
      </c>
      <c r="G861" s="8" t="n">
        <v>1</v>
      </c>
      <c r="H861" s="7" t="n">
        <v>296.8072045072269</v>
      </c>
      <c r="I861" s="7" t="n">
        <v>1.5</v>
      </c>
      <c r="J861" s="9" t="n">
        <v>0.021</v>
      </c>
      <c r="K861" s="49" t="inlineStr">
        <is>
          <t>Success</t>
        </is>
      </c>
      <c r="L861" s="7" t="n">
        <v>0.4452108067608404</v>
      </c>
      <c r="M861" s="7" t="n">
        <v>0</v>
      </c>
      <c r="N861" s="7" t="n">
        <v>3.561686454086723</v>
      </c>
    </row>
    <row r="862" ht="18" customHeight="1">
      <c r="A862" s="49" t="inlineStr">
        <is>
          <t>ACE-10861</t>
        </is>
      </c>
      <c r="B862" s="49" t="inlineStr">
        <is>
          <t>2026-05-18 10:29:47</t>
        </is>
      </c>
      <c r="C862" s="49" t="inlineStr">
        <is>
          <t>CUST-87943</t>
        </is>
      </c>
      <c r="D862" s="49" t="inlineStr">
        <is>
          <t>GBP-PKR</t>
        </is>
      </c>
      <c r="E862" s="49" t="inlineStr">
        <is>
          <t>GBP</t>
        </is>
      </c>
      <c r="F862" s="7" t="n">
        <v>284.3147517423535</v>
      </c>
      <c r="G862" s="8" t="n">
        <v>1</v>
      </c>
      <c r="H862" s="7" t="n">
        <v>284.3147517423535</v>
      </c>
      <c r="I862" s="7" t="n">
        <v>1.5</v>
      </c>
      <c r="J862" s="9" t="n">
        <v>0.021</v>
      </c>
      <c r="K862" s="49" t="inlineStr">
        <is>
          <t>Success</t>
        </is>
      </c>
      <c r="L862" s="7" t="n">
        <v>0.4264721276135303</v>
      </c>
      <c r="M862" s="7" t="n">
        <v>0</v>
      </c>
      <c r="N862" s="7" t="n">
        <v>3.411777020908242</v>
      </c>
    </row>
    <row r="863" ht="18" customHeight="1">
      <c r="A863" s="49" t="inlineStr">
        <is>
          <t>ACE-10862</t>
        </is>
      </c>
      <c r="B863" s="49" t="inlineStr">
        <is>
          <t>2026-05-10 13:23:57</t>
        </is>
      </c>
      <c r="C863" s="49" t="inlineStr">
        <is>
          <t>CUST-74834</t>
        </is>
      </c>
      <c r="D863" s="49" t="inlineStr">
        <is>
          <t>GBP-PKR</t>
        </is>
      </c>
      <c r="E863" s="49" t="inlineStr">
        <is>
          <t>GBP</t>
        </is>
      </c>
      <c r="F863" s="7" t="n">
        <v>239.4190087664536</v>
      </c>
      <c r="G863" s="8" t="n">
        <v>1</v>
      </c>
      <c r="H863" s="7" t="n">
        <v>239.4190087664536</v>
      </c>
      <c r="I863" s="7" t="n">
        <v>1.5</v>
      </c>
      <c r="J863" s="9" t="n">
        <v>0.021</v>
      </c>
      <c r="K863" s="49" t="inlineStr">
        <is>
          <t>Success</t>
        </is>
      </c>
      <c r="L863" s="7" t="n">
        <v>0.3591285131496805</v>
      </c>
      <c r="M863" s="7" t="n">
        <v>0.7182570262993609</v>
      </c>
      <c r="N863" s="7" t="n">
        <v>2.873028105197444</v>
      </c>
    </row>
    <row r="864" ht="18" customHeight="1">
      <c r="A864" s="49" t="inlineStr">
        <is>
          <t>ACE-10863</t>
        </is>
      </c>
      <c r="B864" s="49" t="inlineStr">
        <is>
          <t>2026-05-18 09:18:30</t>
        </is>
      </c>
      <c r="C864" s="49" t="inlineStr">
        <is>
          <t>CUST-58817</t>
        </is>
      </c>
      <c r="D864" s="49" t="inlineStr">
        <is>
          <t>GBP-PKR</t>
        </is>
      </c>
      <c r="E864" s="49" t="inlineStr">
        <is>
          <t>GBP</t>
        </is>
      </c>
      <c r="F864" s="7" t="n">
        <v>325.2324388962128</v>
      </c>
      <c r="G864" s="8" t="n">
        <v>1</v>
      </c>
      <c r="H864" s="7" t="n">
        <v>325.2324388962128</v>
      </c>
      <c r="I864" s="7" t="n">
        <v>1.5</v>
      </c>
      <c r="J864" s="9" t="n">
        <v>0.021</v>
      </c>
      <c r="K864" s="49" t="inlineStr">
        <is>
          <t>Success</t>
        </is>
      </c>
      <c r="L864" s="7" t="n">
        <v>0.4878486583443192</v>
      </c>
      <c r="M864" s="7" t="n">
        <v>0.9756973166886383</v>
      </c>
      <c r="N864" s="7" t="n">
        <v>3.902789266754553</v>
      </c>
    </row>
    <row r="865" ht="18" customHeight="1">
      <c r="A865" s="49" t="inlineStr">
        <is>
          <t>ACE-10864</t>
        </is>
      </c>
      <c r="B865" s="49" t="inlineStr">
        <is>
          <t>2026-05-11 16:26:33</t>
        </is>
      </c>
      <c r="C865" s="49" t="inlineStr">
        <is>
          <t>CUST-63752</t>
        </is>
      </c>
      <c r="D865" s="49" t="inlineStr">
        <is>
          <t>GBP-PKR</t>
        </is>
      </c>
      <c r="E865" s="49" t="inlineStr">
        <is>
          <t>GBP</t>
        </is>
      </c>
      <c r="F865" s="7" t="n">
        <v>333.4114692113171</v>
      </c>
      <c r="G865" s="8" t="n">
        <v>1</v>
      </c>
      <c r="H865" s="7" t="n">
        <v>333.4114692113171</v>
      </c>
      <c r="I865" s="7" t="n">
        <v>1.5</v>
      </c>
      <c r="J865" s="9" t="n">
        <v>0.021</v>
      </c>
      <c r="K865" s="49" t="inlineStr">
        <is>
          <t>Success</t>
        </is>
      </c>
      <c r="L865" s="7" t="n">
        <v>0.5001172038169757</v>
      </c>
      <c r="M865" s="7" t="n">
        <v>1.000234407633951</v>
      </c>
      <c r="N865" s="7" t="n">
        <v>4.000937630535805</v>
      </c>
    </row>
    <row r="866" ht="18" customHeight="1">
      <c r="A866" s="49" t="inlineStr">
        <is>
          <t>ACE-10865</t>
        </is>
      </c>
      <c r="B866" s="49" t="inlineStr">
        <is>
          <t>2026-05-04 17:46:40</t>
        </is>
      </c>
      <c r="C866" s="49" t="inlineStr">
        <is>
          <t>CUST-84665</t>
        </is>
      </c>
      <c r="D866" s="49" t="inlineStr">
        <is>
          <t>USD-PKR</t>
        </is>
      </c>
      <c r="E866" s="49" t="inlineStr">
        <is>
          <t>USD</t>
        </is>
      </c>
      <c r="F866" s="7" t="n">
        <v>205.8913654083846</v>
      </c>
      <c r="G866" s="8" t="n">
        <v>0.8</v>
      </c>
      <c r="H866" s="7" t="n">
        <v>164.7130923267077</v>
      </c>
      <c r="I866" s="7" t="n">
        <v>1.6</v>
      </c>
      <c r="J866" s="9" t="n">
        <v>0.019</v>
      </c>
      <c r="K866" s="49" t="inlineStr">
        <is>
          <t>Success</t>
        </is>
      </c>
      <c r="L866" s="7" t="n">
        <v>0.2470696384900616</v>
      </c>
      <c r="M866" s="7" t="n">
        <v>0</v>
      </c>
      <c r="N866" s="7" t="n">
        <v>1.976557107920493</v>
      </c>
    </row>
    <row r="867" ht="18" customHeight="1">
      <c r="A867" s="49" t="inlineStr">
        <is>
          <t>ACE-10866</t>
        </is>
      </c>
      <c r="B867" s="49" t="inlineStr">
        <is>
          <t>2026-05-23 17:59:50</t>
        </is>
      </c>
      <c r="C867" s="49" t="inlineStr">
        <is>
          <t>CUST-96321</t>
        </is>
      </c>
      <c r="D867" s="49" t="inlineStr">
        <is>
          <t>GBP-PKR</t>
        </is>
      </c>
      <c r="E867" s="49" t="inlineStr">
        <is>
          <t>GBP</t>
        </is>
      </c>
      <c r="F867" s="7" t="n">
        <v>268.0087012074138</v>
      </c>
      <c r="G867" s="8" t="n">
        <v>1</v>
      </c>
      <c r="H867" s="7" t="n">
        <v>268.0087012074138</v>
      </c>
      <c r="I867" s="7" t="n">
        <v>1.5</v>
      </c>
      <c r="J867" s="9" t="n">
        <v>0.021</v>
      </c>
      <c r="K867" s="49" t="inlineStr">
        <is>
          <t>Success</t>
        </is>
      </c>
      <c r="L867" s="7" t="n">
        <v>0.4020130518111207</v>
      </c>
      <c r="M867" s="7" t="n">
        <v>0.8040261036222415</v>
      </c>
      <c r="N867" s="7" t="n">
        <v>3.216104414488966</v>
      </c>
    </row>
    <row r="868" ht="18" customHeight="1">
      <c r="A868" s="49" t="inlineStr">
        <is>
          <t>ACE-10867</t>
        </is>
      </c>
      <c r="B868" s="49" t="inlineStr">
        <is>
          <t>2026-05-11 12:33:36</t>
        </is>
      </c>
      <c r="C868" s="49" t="inlineStr">
        <is>
          <t>CUST-90844</t>
        </is>
      </c>
      <c r="D868" s="49" t="inlineStr">
        <is>
          <t>GBP-PKR</t>
        </is>
      </c>
      <c r="E868" s="49" t="inlineStr">
        <is>
          <t>GBP</t>
        </is>
      </c>
      <c r="F868" s="7" t="n">
        <v>286.6827323933624</v>
      </c>
      <c r="G868" s="8" t="n">
        <v>1</v>
      </c>
      <c r="H868" s="7" t="n">
        <v>286.6827323933624</v>
      </c>
      <c r="I868" s="7" t="n">
        <v>1.5</v>
      </c>
      <c r="J868" s="9" t="n">
        <v>0.021</v>
      </c>
      <c r="K868" s="49" t="inlineStr">
        <is>
          <t>Success</t>
        </is>
      </c>
      <c r="L868" s="7" t="n">
        <v>0.4300240985900435</v>
      </c>
      <c r="M868" s="7" t="n">
        <v>0</v>
      </c>
      <c r="N868" s="7" t="n">
        <v>3.440192788720348</v>
      </c>
    </row>
    <row r="869" ht="18" customHeight="1">
      <c r="A869" s="49" t="inlineStr">
        <is>
          <t>ACE-10868</t>
        </is>
      </c>
      <c r="B869" s="49" t="inlineStr">
        <is>
          <t>2026-05-19 15:33:46</t>
        </is>
      </c>
      <c r="C869" s="49" t="inlineStr">
        <is>
          <t>CUST-91409</t>
        </is>
      </c>
      <c r="D869" s="49" t="inlineStr">
        <is>
          <t>GBP-PKR</t>
        </is>
      </c>
      <c r="E869" s="49" t="inlineStr">
        <is>
          <t>GBP</t>
        </is>
      </c>
      <c r="F869" s="7" t="n">
        <v>288.0791538605403</v>
      </c>
      <c r="G869" s="8" t="n">
        <v>1</v>
      </c>
      <c r="H869" s="7" t="n">
        <v>288.0791538605403</v>
      </c>
      <c r="I869" s="7" t="n">
        <v>1.5</v>
      </c>
      <c r="J869" s="9" t="n">
        <v>0.021</v>
      </c>
      <c r="K869" s="49" t="inlineStr">
        <is>
          <t>Success</t>
        </is>
      </c>
      <c r="L869" s="7" t="n">
        <v>0.4321187307908105</v>
      </c>
      <c r="M869" s="7" t="n">
        <v>0.864237461581621</v>
      </c>
      <c r="N869" s="7" t="n">
        <v>3.456949846326484</v>
      </c>
    </row>
    <row r="870" ht="18" customHeight="1">
      <c r="A870" s="49" t="inlineStr">
        <is>
          <t>ACE-10869</t>
        </is>
      </c>
      <c r="B870" s="49" t="inlineStr">
        <is>
          <t>2026-05-20 11:45:18</t>
        </is>
      </c>
      <c r="C870" s="49" t="inlineStr">
        <is>
          <t>CUST-62684</t>
        </is>
      </c>
      <c r="D870" s="49" t="inlineStr">
        <is>
          <t>GBP-PKR</t>
        </is>
      </c>
      <c r="E870" s="49" t="inlineStr">
        <is>
          <t>GBP</t>
        </is>
      </c>
      <c r="F870" s="7" t="n">
        <v>297.5683749777976</v>
      </c>
      <c r="G870" s="8" t="n">
        <v>1</v>
      </c>
      <c r="H870" s="7" t="n">
        <v>297.5683749777976</v>
      </c>
      <c r="I870" s="7" t="n">
        <v>1.5</v>
      </c>
      <c r="J870" s="9" t="n">
        <v>0.021</v>
      </c>
      <c r="K870" s="49" t="inlineStr">
        <is>
          <t>Failed</t>
        </is>
      </c>
      <c r="L870" s="7" t="n">
        <v>0</v>
      </c>
      <c r="M870" s="7" t="n">
        <v>0</v>
      </c>
      <c r="N870" s="7" t="n">
        <v>0.5</v>
      </c>
    </row>
    <row r="871" ht="18" customHeight="1">
      <c r="A871" s="49" t="inlineStr">
        <is>
          <t>ACE-10870</t>
        </is>
      </c>
      <c r="B871" s="49" t="inlineStr">
        <is>
          <t>2026-05-01 15:40:50</t>
        </is>
      </c>
      <c r="C871" s="49" t="inlineStr">
        <is>
          <t>CUST-57728</t>
        </is>
      </c>
      <c r="D871" s="49" t="inlineStr">
        <is>
          <t>GBP-PKR</t>
        </is>
      </c>
      <c r="E871" s="49" t="inlineStr">
        <is>
          <t>GBP</t>
        </is>
      </c>
      <c r="F871" s="7" t="n">
        <v>340.63450071841</v>
      </c>
      <c r="G871" s="8" t="n">
        <v>1</v>
      </c>
      <c r="H871" s="7" t="n">
        <v>340.63450071841</v>
      </c>
      <c r="I871" s="7" t="n">
        <v>1.5</v>
      </c>
      <c r="J871" s="9" t="n">
        <v>0.021</v>
      </c>
      <c r="K871" s="49" t="inlineStr">
        <is>
          <t>Success</t>
        </is>
      </c>
      <c r="L871" s="7" t="n">
        <v>0.510951751077615</v>
      </c>
      <c r="M871" s="7" t="n">
        <v>0</v>
      </c>
      <c r="N871" s="7" t="n">
        <v>4.08761400862092</v>
      </c>
    </row>
    <row r="872" ht="18" customHeight="1">
      <c r="A872" s="49" t="inlineStr">
        <is>
          <t>ACE-10871</t>
        </is>
      </c>
      <c r="B872" s="49" t="inlineStr">
        <is>
          <t>2026-05-20 14:26:02</t>
        </is>
      </c>
      <c r="C872" s="49" t="inlineStr">
        <is>
          <t>CUST-71875</t>
        </is>
      </c>
      <c r="D872" s="49" t="inlineStr">
        <is>
          <t>GBP-PKR</t>
        </is>
      </c>
      <c r="E872" s="49" t="inlineStr">
        <is>
          <t>GBP</t>
        </is>
      </c>
      <c r="F872" s="7" t="n">
        <v>273.7170422895061</v>
      </c>
      <c r="G872" s="8" t="n">
        <v>1</v>
      </c>
      <c r="H872" s="7" t="n">
        <v>273.7170422895061</v>
      </c>
      <c r="I872" s="7" t="n">
        <v>1.5</v>
      </c>
      <c r="J872" s="9" t="n">
        <v>0.021</v>
      </c>
      <c r="K872" s="49" t="inlineStr">
        <is>
          <t>Success</t>
        </is>
      </c>
      <c r="L872" s="7" t="n">
        <v>0.4105755634342592</v>
      </c>
      <c r="M872" s="7" t="n">
        <v>0.8211511268685184</v>
      </c>
      <c r="N872" s="7" t="n">
        <v>3.284604507474074</v>
      </c>
    </row>
    <row r="873" ht="18" customHeight="1">
      <c r="A873" s="49" t="inlineStr">
        <is>
          <t>ACE-10872</t>
        </is>
      </c>
      <c r="B873" s="49" t="inlineStr">
        <is>
          <t>2026-05-07 08:40:12</t>
        </is>
      </c>
      <c r="C873" s="49" t="inlineStr">
        <is>
          <t>CUST-95220</t>
        </is>
      </c>
      <c r="D873" s="49" t="inlineStr">
        <is>
          <t>USD-PKR</t>
        </is>
      </c>
      <c r="E873" s="49" t="inlineStr">
        <is>
          <t>USD</t>
        </is>
      </c>
      <c r="F873" s="7" t="n">
        <v>202.1071135377036</v>
      </c>
      <c r="G873" s="8" t="n">
        <v>0.8</v>
      </c>
      <c r="H873" s="7" t="n">
        <v>161.6856908301629</v>
      </c>
      <c r="I873" s="7" t="n">
        <v>1.6</v>
      </c>
      <c r="J873" s="9" t="n">
        <v>0.019</v>
      </c>
      <c r="K873" s="49" t="inlineStr">
        <is>
          <t>Success</t>
        </is>
      </c>
      <c r="L873" s="7" t="n">
        <v>0.2425285362452444</v>
      </c>
      <c r="M873" s="7" t="n">
        <v>0.4850570724904887</v>
      </c>
      <c r="N873" s="7" t="n">
        <v>1.940228289961955</v>
      </c>
    </row>
    <row r="874" ht="18" customHeight="1">
      <c r="A874" s="49" t="inlineStr">
        <is>
          <t>ACE-10873</t>
        </is>
      </c>
      <c r="B874" s="49" t="inlineStr">
        <is>
          <t>2026-05-10 12:32:35</t>
        </is>
      </c>
      <c r="C874" s="49" t="inlineStr">
        <is>
          <t>CUST-71228</t>
        </is>
      </c>
      <c r="D874" s="49" t="inlineStr">
        <is>
          <t>EUR-PKR</t>
        </is>
      </c>
      <c r="E874" s="49" t="inlineStr">
        <is>
          <t>EUR</t>
        </is>
      </c>
      <c r="F874" s="7" t="n">
        <v>164.6944846476438</v>
      </c>
      <c r="G874" s="8" t="n">
        <v>0.85</v>
      </c>
      <c r="H874" s="7" t="n">
        <v>139.9903119504972</v>
      </c>
      <c r="I874" s="7" t="n">
        <v>1.275</v>
      </c>
      <c r="J874" s="9" t="n">
        <v>0.023</v>
      </c>
      <c r="K874" s="49" t="inlineStr">
        <is>
          <t>Success</t>
        </is>
      </c>
      <c r="L874" s="7" t="n">
        <v>0.2099854679257459</v>
      </c>
      <c r="M874" s="7" t="n">
        <v>0</v>
      </c>
      <c r="N874" s="7" t="n">
        <v>2.099854679257458</v>
      </c>
    </row>
    <row r="875" ht="18" customHeight="1">
      <c r="A875" s="49" t="inlineStr">
        <is>
          <t>ACE-10874</t>
        </is>
      </c>
      <c r="B875" s="49" t="inlineStr">
        <is>
          <t>2026-05-11 13:25:46</t>
        </is>
      </c>
      <c r="C875" s="49" t="inlineStr">
        <is>
          <t>CUST-87284</t>
        </is>
      </c>
      <c r="D875" s="49" t="inlineStr">
        <is>
          <t>USD-PKR</t>
        </is>
      </c>
      <c r="E875" s="49" t="inlineStr">
        <is>
          <t>USD</t>
        </is>
      </c>
      <c r="F875" s="7" t="n">
        <v>203.4732491346751</v>
      </c>
      <c r="G875" s="8" t="n">
        <v>0.8</v>
      </c>
      <c r="H875" s="7" t="n">
        <v>162.7785993077401</v>
      </c>
      <c r="I875" s="7" t="n">
        <v>1.6</v>
      </c>
      <c r="J875" s="9" t="n">
        <v>0.019</v>
      </c>
      <c r="K875" s="49" t="inlineStr">
        <is>
          <t>Success</t>
        </is>
      </c>
      <c r="L875" s="7" t="n">
        <v>0.2441678989616102</v>
      </c>
      <c r="M875" s="7" t="n">
        <v>0</v>
      </c>
      <c r="N875" s="7" t="n">
        <v>1.953343191692881</v>
      </c>
    </row>
    <row r="876" ht="18" customHeight="1">
      <c r="A876" s="49" t="inlineStr">
        <is>
          <t>ACE-10875</t>
        </is>
      </c>
      <c r="B876" s="49" t="inlineStr">
        <is>
          <t>2026-05-06 11:21:53</t>
        </is>
      </c>
      <c r="C876" s="49" t="inlineStr">
        <is>
          <t>CUST-72147</t>
        </is>
      </c>
      <c r="D876" s="49" t="inlineStr">
        <is>
          <t>GBP-PKR</t>
        </is>
      </c>
      <c r="E876" s="49" t="inlineStr">
        <is>
          <t>GBP</t>
        </is>
      </c>
      <c r="F876" s="7" t="n">
        <v>277.6820921401745</v>
      </c>
      <c r="G876" s="8" t="n">
        <v>1</v>
      </c>
      <c r="H876" s="7" t="n">
        <v>277.6820921401745</v>
      </c>
      <c r="I876" s="7" t="n">
        <v>1.5</v>
      </c>
      <c r="J876" s="9" t="n">
        <v>0.021</v>
      </c>
      <c r="K876" s="49" t="inlineStr">
        <is>
          <t>Success</t>
        </is>
      </c>
      <c r="L876" s="7" t="n">
        <v>0.4165231382102617</v>
      </c>
      <c r="M876" s="7" t="n">
        <v>0</v>
      </c>
      <c r="N876" s="7" t="n">
        <v>3.332185105682094</v>
      </c>
    </row>
    <row r="877" ht="18" customHeight="1">
      <c r="A877" s="49" t="inlineStr">
        <is>
          <t>ACE-10876</t>
        </is>
      </c>
      <c r="B877" s="49" t="inlineStr">
        <is>
          <t>2026-05-16 20:02:41</t>
        </is>
      </c>
      <c r="C877" s="49" t="inlineStr">
        <is>
          <t>CUST-58896</t>
        </is>
      </c>
      <c r="D877" s="49" t="inlineStr">
        <is>
          <t>GBP-PKR</t>
        </is>
      </c>
      <c r="E877" s="49" t="inlineStr">
        <is>
          <t>GBP</t>
        </is>
      </c>
      <c r="F877" s="7" t="n">
        <v>333.367468149993</v>
      </c>
      <c r="G877" s="8" t="n">
        <v>1</v>
      </c>
      <c r="H877" s="7" t="n">
        <v>333.367468149993</v>
      </c>
      <c r="I877" s="7" t="n">
        <v>1.5</v>
      </c>
      <c r="J877" s="9" t="n">
        <v>0.021</v>
      </c>
      <c r="K877" s="49" t="inlineStr">
        <is>
          <t>Success</t>
        </is>
      </c>
      <c r="L877" s="7" t="n">
        <v>0.5000512022249894</v>
      </c>
      <c r="M877" s="7" t="n">
        <v>1.000102404449979</v>
      </c>
      <c r="N877" s="7" t="n">
        <v>4.000409617799916</v>
      </c>
    </row>
    <row r="878" ht="18" customHeight="1">
      <c r="A878" s="49" t="inlineStr">
        <is>
          <t>ACE-10877</t>
        </is>
      </c>
      <c r="B878" s="49" t="inlineStr">
        <is>
          <t>2026-05-18 13:29:50</t>
        </is>
      </c>
      <c r="C878" s="49" t="inlineStr">
        <is>
          <t>CUST-77128</t>
        </is>
      </c>
      <c r="D878" s="49" t="inlineStr">
        <is>
          <t>USD-PKR</t>
        </is>
      </c>
      <c r="E878" s="49" t="inlineStr">
        <is>
          <t>USD</t>
        </is>
      </c>
      <c r="F878" s="7" t="n">
        <v>207.8603409506408</v>
      </c>
      <c r="G878" s="8" t="n">
        <v>0.8</v>
      </c>
      <c r="H878" s="7" t="n">
        <v>166.2882727605126</v>
      </c>
      <c r="I878" s="7" t="n">
        <v>1.6</v>
      </c>
      <c r="J878" s="9" t="n">
        <v>0.019</v>
      </c>
      <c r="K878" s="49" t="inlineStr">
        <is>
          <t>Success</t>
        </is>
      </c>
      <c r="L878" s="7" t="n">
        <v>0.2494324091407689</v>
      </c>
      <c r="M878" s="7" t="n">
        <v>0</v>
      </c>
      <c r="N878" s="7" t="n">
        <v>1.995459273126152</v>
      </c>
    </row>
    <row r="879" ht="18" customHeight="1">
      <c r="A879" s="49" t="inlineStr">
        <is>
          <t>ACE-10878</t>
        </is>
      </c>
      <c r="B879" s="49" t="inlineStr">
        <is>
          <t>2026-05-17 12:36:46</t>
        </is>
      </c>
      <c r="C879" s="49" t="inlineStr">
        <is>
          <t>CUST-94446</t>
        </is>
      </c>
      <c r="D879" s="49" t="inlineStr">
        <is>
          <t>USD-PKR</t>
        </is>
      </c>
      <c r="E879" s="49" t="inlineStr">
        <is>
          <t>USD</t>
        </is>
      </c>
      <c r="F879" s="7" t="n">
        <v>223.8567507080233</v>
      </c>
      <c r="G879" s="8" t="n">
        <v>0.8</v>
      </c>
      <c r="H879" s="7" t="n">
        <v>179.0854005664186</v>
      </c>
      <c r="I879" s="7" t="n">
        <v>1.6</v>
      </c>
      <c r="J879" s="9" t="n">
        <v>0.019</v>
      </c>
      <c r="K879" s="49" t="inlineStr">
        <is>
          <t>Success</t>
        </is>
      </c>
      <c r="L879" s="7" t="n">
        <v>0.268628100849628</v>
      </c>
      <c r="M879" s="7" t="n">
        <v>0</v>
      </c>
      <c r="N879" s="7" t="n">
        <v>2.149024806797024</v>
      </c>
    </row>
    <row r="880" ht="18" customHeight="1">
      <c r="A880" s="49" t="inlineStr">
        <is>
          <t>ACE-10879</t>
        </is>
      </c>
      <c r="B880" s="49" t="inlineStr">
        <is>
          <t>2026-05-07 17:43:21</t>
        </is>
      </c>
      <c r="C880" s="49" t="inlineStr">
        <is>
          <t>CUST-73173</t>
        </is>
      </c>
      <c r="D880" s="49" t="inlineStr">
        <is>
          <t>USD-PKR</t>
        </is>
      </c>
      <c r="E880" s="49" t="inlineStr">
        <is>
          <t>USD</t>
        </is>
      </c>
      <c r="F880" s="7" t="n">
        <v>218.5435387599984</v>
      </c>
      <c r="G880" s="8" t="n">
        <v>0.8</v>
      </c>
      <c r="H880" s="7" t="n">
        <v>174.8348310079987</v>
      </c>
      <c r="I880" s="7" t="n">
        <v>1.6</v>
      </c>
      <c r="J880" s="9" t="n">
        <v>0.019</v>
      </c>
      <c r="K880" s="49" t="inlineStr">
        <is>
          <t>Success</t>
        </is>
      </c>
      <c r="L880" s="7" t="n">
        <v>0.2622522465119981</v>
      </c>
      <c r="M880" s="7" t="n">
        <v>0</v>
      </c>
      <c r="N880" s="7" t="n">
        <v>2.098017972095985</v>
      </c>
    </row>
    <row r="881" ht="18" customHeight="1">
      <c r="A881" s="49" t="inlineStr">
        <is>
          <t>ACE-10880</t>
        </is>
      </c>
      <c r="B881" s="49" t="inlineStr">
        <is>
          <t>2026-05-01 13:24:40</t>
        </is>
      </c>
      <c r="C881" s="49" t="inlineStr">
        <is>
          <t>CUST-85014</t>
        </is>
      </c>
      <c r="D881" s="49" t="inlineStr">
        <is>
          <t>GBP-PKR</t>
        </is>
      </c>
      <c r="E881" s="49" t="inlineStr">
        <is>
          <t>GBP</t>
        </is>
      </c>
      <c r="F881" s="7" t="n">
        <v>313.7601782364456</v>
      </c>
      <c r="G881" s="8" t="n">
        <v>1</v>
      </c>
      <c r="H881" s="7" t="n">
        <v>313.7601782364456</v>
      </c>
      <c r="I881" s="7" t="n">
        <v>1.5</v>
      </c>
      <c r="J881" s="9" t="n">
        <v>0.021</v>
      </c>
      <c r="K881" s="49" t="inlineStr">
        <is>
          <t>Success</t>
        </is>
      </c>
      <c r="L881" s="7" t="n">
        <v>0.4706402673546684</v>
      </c>
      <c r="M881" s="7" t="n">
        <v>0</v>
      </c>
      <c r="N881" s="7" t="n">
        <v>3.765122138837347</v>
      </c>
    </row>
    <row r="882" ht="18" customHeight="1">
      <c r="A882" s="49" t="inlineStr">
        <is>
          <t>ACE-10881</t>
        </is>
      </c>
      <c r="B882" s="49" t="inlineStr">
        <is>
          <t>2026-05-13 10:38:07</t>
        </is>
      </c>
      <c r="C882" s="49" t="inlineStr">
        <is>
          <t>CUST-99252</t>
        </is>
      </c>
      <c r="D882" s="49" t="inlineStr">
        <is>
          <t>USD-PKR</t>
        </is>
      </c>
      <c r="E882" s="49" t="inlineStr">
        <is>
          <t>USD</t>
        </is>
      </c>
      <c r="F882" s="7" t="n">
        <v>281.8347169324322</v>
      </c>
      <c r="G882" s="8" t="n">
        <v>0.8</v>
      </c>
      <c r="H882" s="7" t="n">
        <v>225.4677735459458</v>
      </c>
      <c r="I882" s="7" t="n">
        <v>1.6</v>
      </c>
      <c r="J882" s="9" t="n">
        <v>0.019</v>
      </c>
      <c r="K882" s="49" t="inlineStr">
        <is>
          <t>Success</t>
        </is>
      </c>
      <c r="L882" s="7" t="n">
        <v>0.3382016603189187</v>
      </c>
      <c r="M882" s="7" t="n">
        <v>0.6764033206378374</v>
      </c>
      <c r="N882" s="7" t="n">
        <v>2.705613282551349</v>
      </c>
    </row>
    <row r="883" ht="18" customHeight="1">
      <c r="A883" s="49" t="inlineStr">
        <is>
          <t>ACE-10882</t>
        </is>
      </c>
      <c r="B883" s="49" t="inlineStr">
        <is>
          <t>2026-05-23 08:17:26</t>
        </is>
      </c>
      <c r="C883" s="49" t="inlineStr">
        <is>
          <t>CUST-55688</t>
        </is>
      </c>
      <c r="D883" s="49" t="inlineStr">
        <is>
          <t>GBP-PKR</t>
        </is>
      </c>
      <c r="E883" s="49" t="inlineStr">
        <is>
          <t>GBP</t>
        </is>
      </c>
      <c r="F883" s="7" t="n">
        <v>264.1990313888273</v>
      </c>
      <c r="G883" s="8" t="n">
        <v>1</v>
      </c>
      <c r="H883" s="7" t="n">
        <v>264.1990313888273</v>
      </c>
      <c r="I883" s="7" t="n">
        <v>1.5</v>
      </c>
      <c r="J883" s="9" t="n">
        <v>0.021</v>
      </c>
      <c r="K883" s="49" t="inlineStr">
        <is>
          <t>Success</t>
        </is>
      </c>
      <c r="L883" s="7" t="n">
        <v>0.3962985470832409</v>
      </c>
      <c r="M883" s="7" t="n">
        <v>0</v>
      </c>
      <c r="N883" s="7" t="n">
        <v>3.170388376665927</v>
      </c>
    </row>
    <row r="884" ht="18" customHeight="1">
      <c r="A884" s="49" t="inlineStr">
        <is>
          <t>ACE-10883</t>
        </is>
      </c>
      <c r="B884" s="49" t="inlineStr">
        <is>
          <t>2026-05-15 12:13:33</t>
        </is>
      </c>
      <c r="C884" s="49" t="inlineStr">
        <is>
          <t>CUST-69812</t>
        </is>
      </c>
      <c r="D884" s="49" t="inlineStr">
        <is>
          <t>GBP-PKR</t>
        </is>
      </c>
      <c r="E884" s="49" t="inlineStr">
        <is>
          <t>GBP</t>
        </is>
      </c>
      <c r="F884" s="7" t="n">
        <v>265.2958607616622</v>
      </c>
      <c r="G884" s="8" t="n">
        <v>1</v>
      </c>
      <c r="H884" s="7" t="n">
        <v>265.2958607616622</v>
      </c>
      <c r="I884" s="7" t="n">
        <v>1.5</v>
      </c>
      <c r="J884" s="9" t="n">
        <v>0.021</v>
      </c>
      <c r="K884" s="49" t="inlineStr">
        <is>
          <t>Success</t>
        </is>
      </c>
      <c r="L884" s="7" t="n">
        <v>0.3979437911424933</v>
      </c>
      <c r="M884" s="7" t="n">
        <v>0</v>
      </c>
      <c r="N884" s="7" t="n">
        <v>3.183550329139946</v>
      </c>
    </row>
    <row r="885" ht="18" customHeight="1">
      <c r="A885" s="49" t="inlineStr">
        <is>
          <t>ACE-10884</t>
        </is>
      </c>
      <c r="B885" s="49" t="inlineStr">
        <is>
          <t>2026-05-02 20:12:58</t>
        </is>
      </c>
      <c r="C885" s="49" t="inlineStr">
        <is>
          <t>CUST-56068</t>
        </is>
      </c>
      <c r="D885" s="49" t="inlineStr">
        <is>
          <t>USD-PKR</t>
        </is>
      </c>
      <c r="E885" s="49" t="inlineStr">
        <is>
          <t>USD</t>
        </is>
      </c>
      <c r="F885" s="7" t="n">
        <v>242.9956723831851</v>
      </c>
      <c r="G885" s="8" t="n">
        <v>0.8</v>
      </c>
      <c r="H885" s="7" t="n">
        <v>194.3965379065481</v>
      </c>
      <c r="I885" s="7" t="n">
        <v>1.6</v>
      </c>
      <c r="J885" s="9" t="n">
        <v>0.019</v>
      </c>
      <c r="K885" s="49" t="inlineStr">
        <is>
          <t>Success</t>
        </is>
      </c>
      <c r="L885" s="7" t="n">
        <v>0.2915948068598222</v>
      </c>
      <c r="M885" s="7" t="n">
        <v>0</v>
      </c>
      <c r="N885" s="7" t="n">
        <v>2.332758454878578</v>
      </c>
    </row>
    <row r="886" ht="18" customHeight="1">
      <c r="A886" s="49" t="inlineStr">
        <is>
          <t>ACE-10885</t>
        </is>
      </c>
      <c r="B886" s="49" t="inlineStr">
        <is>
          <t>2026-05-16 16:09:12</t>
        </is>
      </c>
      <c r="C886" s="49" t="inlineStr">
        <is>
          <t>CUST-72289</t>
        </is>
      </c>
      <c r="D886" s="49" t="inlineStr">
        <is>
          <t>GBP-PKR</t>
        </is>
      </c>
      <c r="E886" s="49" t="inlineStr">
        <is>
          <t>GBP</t>
        </is>
      </c>
      <c r="F886" s="7" t="n">
        <v>298.2639259617443</v>
      </c>
      <c r="G886" s="8" t="n">
        <v>1</v>
      </c>
      <c r="H886" s="7" t="n">
        <v>298.2639259617443</v>
      </c>
      <c r="I886" s="7" t="n">
        <v>1.5</v>
      </c>
      <c r="J886" s="9" t="n">
        <v>0.021</v>
      </c>
      <c r="K886" s="49" t="inlineStr">
        <is>
          <t>Success</t>
        </is>
      </c>
      <c r="L886" s="7" t="n">
        <v>0.4473958889426164</v>
      </c>
      <c r="M886" s="7" t="n">
        <v>0.8947917778852329</v>
      </c>
      <c r="N886" s="7" t="n">
        <v>3.579167111540932</v>
      </c>
    </row>
    <row r="887" ht="18" customHeight="1">
      <c r="A887" s="49" t="inlineStr">
        <is>
          <t>ACE-10886</t>
        </is>
      </c>
      <c r="B887" s="49" t="inlineStr">
        <is>
          <t>2026-05-17 12:49:20</t>
        </is>
      </c>
      <c r="C887" s="49" t="inlineStr">
        <is>
          <t>CUST-59390</t>
        </is>
      </c>
      <c r="D887" s="49" t="inlineStr">
        <is>
          <t>GBP-PKR</t>
        </is>
      </c>
      <c r="E887" s="49" t="inlineStr">
        <is>
          <t>GBP</t>
        </is>
      </c>
      <c r="F887" s="7" t="n">
        <v>335.110502533541</v>
      </c>
      <c r="G887" s="8" t="n">
        <v>1</v>
      </c>
      <c r="H887" s="7" t="n">
        <v>335.110502533541</v>
      </c>
      <c r="I887" s="7" t="n">
        <v>1.5</v>
      </c>
      <c r="J887" s="9" t="n">
        <v>0.021</v>
      </c>
      <c r="K887" s="49" t="inlineStr">
        <is>
          <t>Success</t>
        </is>
      </c>
      <c r="L887" s="7" t="n">
        <v>0.5026657538003114</v>
      </c>
      <c r="M887" s="7" t="n">
        <v>0</v>
      </c>
      <c r="N887" s="7" t="n">
        <v>4.021326030402491</v>
      </c>
    </row>
    <row r="888" ht="18" customHeight="1">
      <c r="A888" s="49" t="inlineStr">
        <is>
          <t>ACE-10887</t>
        </is>
      </c>
      <c r="B888" s="49" t="inlineStr">
        <is>
          <t>2026-05-17 18:08:13</t>
        </is>
      </c>
      <c r="C888" s="49" t="inlineStr">
        <is>
          <t>CUST-97485</t>
        </is>
      </c>
      <c r="D888" s="49" t="inlineStr">
        <is>
          <t>GBP-PKR</t>
        </is>
      </c>
      <c r="E888" s="49" t="inlineStr">
        <is>
          <t>GBP</t>
        </is>
      </c>
      <c r="F888" s="7" t="n">
        <v>295.3562992767947</v>
      </c>
      <c r="G888" s="8" t="n">
        <v>1</v>
      </c>
      <c r="H888" s="7" t="n">
        <v>295.3562992767947</v>
      </c>
      <c r="I888" s="7" t="n">
        <v>1.5</v>
      </c>
      <c r="J888" s="9" t="n">
        <v>0.021</v>
      </c>
      <c r="K888" s="49" t="inlineStr">
        <is>
          <t>Success</t>
        </is>
      </c>
      <c r="L888" s="7" t="n">
        <v>0.4430344489151921</v>
      </c>
      <c r="M888" s="7" t="n">
        <v>0</v>
      </c>
      <c r="N888" s="7" t="n">
        <v>3.544275591321536</v>
      </c>
    </row>
    <row r="889" ht="18" customHeight="1">
      <c r="A889" s="49" t="inlineStr">
        <is>
          <t>ACE-10888</t>
        </is>
      </c>
      <c r="B889" s="49" t="inlineStr">
        <is>
          <t>2026-05-17 09:00:19</t>
        </is>
      </c>
      <c r="C889" s="49" t="inlineStr">
        <is>
          <t>CUST-52885</t>
        </is>
      </c>
      <c r="D889" s="49" t="inlineStr">
        <is>
          <t>GBP-PKR</t>
        </is>
      </c>
      <c r="E889" s="49" t="inlineStr">
        <is>
          <t>GBP</t>
        </is>
      </c>
      <c r="F889" s="7" t="n">
        <v>268.771182271556</v>
      </c>
      <c r="G889" s="8" t="n">
        <v>1</v>
      </c>
      <c r="H889" s="7" t="n">
        <v>268.771182271556</v>
      </c>
      <c r="I889" s="7" t="n">
        <v>1.5</v>
      </c>
      <c r="J889" s="9" t="n">
        <v>0.021</v>
      </c>
      <c r="K889" s="49" t="inlineStr">
        <is>
          <t>Success</t>
        </is>
      </c>
      <c r="L889" s="7" t="n">
        <v>0.4031567734073341</v>
      </c>
      <c r="M889" s="7" t="n">
        <v>0</v>
      </c>
      <c r="N889" s="7" t="n">
        <v>3.225254187258673</v>
      </c>
    </row>
    <row r="890" ht="18" customHeight="1">
      <c r="A890" s="49" t="inlineStr">
        <is>
          <t>ACE-10889</t>
        </is>
      </c>
      <c r="B890" s="49" t="inlineStr">
        <is>
          <t>2026-05-03 13:29:56</t>
        </is>
      </c>
      <c r="C890" s="49" t="inlineStr">
        <is>
          <t>CUST-53023</t>
        </is>
      </c>
      <c r="D890" s="49" t="inlineStr">
        <is>
          <t>GBP-PKR</t>
        </is>
      </c>
      <c r="E890" s="49" t="inlineStr">
        <is>
          <t>GBP</t>
        </is>
      </c>
      <c r="F890" s="7" t="n">
        <v>295.5550418210266</v>
      </c>
      <c r="G890" s="8" t="n">
        <v>1</v>
      </c>
      <c r="H890" s="7" t="n">
        <v>295.5550418210266</v>
      </c>
      <c r="I890" s="7" t="n">
        <v>1.5</v>
      </c>
      <c r="J890" s="9" t="n">
        <v>0.021</v>
      </c>
      <c r="K890" s="49" t="inlineStr">
        <is>
          <t>Success</t>
        </is>
      </c>
      <c r="L890" s="7" t="n">
        <v>0.4433325627315399</v>
      </c>
      <c r="M890" s="7" t="n">
        <v>0.8866651254630797</v>
      </c>
      <c r="N890" s="7" t="n">
        <v>3.546660501852319</v>
      </c>
    </row>
    <row r="891" ht="18" customHeight="1">
      <c r="A891" s="49" t="inlineStr">
        <is>
          <t>ACE-10890</t>
        </is>
      </c>
      <c r="B891" s="49" t="inlineStr">
        <is>
          <t>2026-05-24 12:01:36</t>
        </is>
      </c>
      <c r="C891" s="49" t="inlineStr">
        <is>
          <t>CUST-99708</t>
        </is>
      </c>
      <c r="D891" s="49" t="inlineStr">
        <is>
          <t>EUR-PKR</t>
        </is>
      </c>
      <c r="E891" s="49" t="inlineStr">
        <is>
          <t>EUR</t>
        </is>
      </c>
      <c r="F891" s="7" t="n">
        <v>211.2187719494628</v>
      </c>
      <c r="G891" s="8" t="n">
        <v>0.85</v>
      </c>
      <c r="H891" s="7" t="n">
        <v>179.5359561570434</v>
      </c>
      <c r="I891" s="7" t="n">
        <v>1.275</v>
      </c>
      <c r="J891" s="9" t="n">
        <v>0.023</v>
      </c>
      <c r="K891" s="49" t="inlineStr">
        <is>
          <t>Success</t>
        </is>
      </c>
      <c r="L891" s="7" t="n">
        <v>0.269303934235565</v>
      </c>
      <c r="M891" s="7" t="n">
        <v>0.5386078684711301</v>
      </c>
      <c r="N891" s="7" t="n">
        <v>2.69303934235565</v>
      </c>
    </row>
    <row r="892" ht="18" customHeight="1">
      <c r="A892" s="49" t="inlineStr">
        <is>
          <t>ACE-10891</t>
        </is>
      </c>
      <c r="B892" s="49" t="inlineStr">
        <is>
          <t>2026-05-11 11:12:18</t>
        </is>
      </c>
      <c r="C892" s="49" t="inlineStr">
        <is>
          <t>CUST-68130</t>
        </is>
      </c>
      <c r="D892" s="49" t="inlineStr">
        <is>
          <t>USD-PKR</t>
        </is>
      </c>
      <c r="E892" s="49" t="inlineStr">
        <is>
          <t>USD</t>
        </is>
      </c>
      <c r="F892" s="7" t="n">
        <v>237.6207141541911</v>
      </c>
      <c r="G892" s="8" t="n">
        <v>0.8</v>
      </c>
      <c r="H892" s="7" t="n">
        <v>190.0965713233529</v>
      </c>
      <c r="I892" s="7" t="n">
        <v>1.6</v>
      </c>
      <c r="J892" s="9" t="n">
        <v>0.019</v>
      </c>
      <c r="K892" s="49" t="inlineStr">
        <is>
          <t>Success</t>
        </is>
      </c>
      <c r="L892" s="7" t="n">
        <v>0.2851448569850294</v>
      </c>
      <c r="M892" s="7" t="n">
        <v>0.5702897139700588</v>
      </c>
      <c r="N892" s="7" t="n">
        <v>2.281158855880235</v>
      </c>
    </row>
    <row r="893" ht="18" customHeight="1">
      <c r="A893" s="49" t="inlineStr">
        <is>
          <t>ACE-10892</t>
        </is>
      </c>
      <c r="B893" s="49" t="inlineStr">
        <is>
          <t>2026-05-22 09:17:09</t>
        </is>
      </c>
      <c r="C893" s="49" t="inlineStr">
        <is>
          <t>CUST-60321</t>
        </is>
      </c>
      <c r="D893" s="49" t="inlineStr">
        <is>
          <t>GBP-PKR</t>
        </is>
      </c>
      <c r="E893" s="49" t="inlineStr">
        <is>
          <t>GBP</t>
        </is>
      </c>
      <c r="F893" s="7" t="n">
        <v>293.1009257763162</v>
      </c>
      <c r="G893" s="8" t="n">
        <v>1</v>
      </c>
      <c r="H893" s="7" t="n">
        <v>293.1009257763162</v>
      </c>
      <c r="I893" s="7" t="n">
        <v>1.5</v>
      </c>
      <c r="J893" s="9" t="n">
        <v>0.021</v>
      </c>
      <c r="K893" s="49" t="inlineStr">
        <is>
          <t>Success</t>
        </is>
      </c>
      <c r="L893" s="7" t="n">
        <v>0.4396513886644743</v>
      </c>
      <c r="M893" s="7" t="n">
        <v>0</v>
      </c>
      <c r="N893" s="7" t="n">
        <v>3.517211109315795</v>
      </c>
    </row>
    <row r="894" ht="18" customHeight="1">
      <c r="A894" s="49" t="inlineStr">
        <is>
          <t>ACE-10893</t>
        </is>
      </c>
      <c r="B894" s="49" t="inlineStr">
        <is>
          <t>2026-05-20 16:32:06</t>
        </is>
      </c>
      <c r="C894" s="49" t="inlineStr">
        <is>
          <t>CUST-63538</t>
        </is>
      </c>
      <c r="D894" s="49" t="inlineStr">
        <is>
          <t>GBP-PKR</t>
        </is>
      </c>
      <c r="E894" s="49" t="inlineStr">
        <is>
          <t>GBP</t>
        </is>
      </c>
      <c r="F894" s="7" t="n">
        <v>309.9642821990191</v>
      </c>
      <c r="G894" s="8" t="n">
        <v>1</v>
      </c>
      <c r="H894" s="7" t="n">
        <v>309.9642821990191</v>
      </c>
      <c r="I894" s="7" t="n">
        <v>1.5</v>
      </c>
      <c r="J894" s="9" t="n">
        <v>0.021</v>
      </c>
      <c r="K894" s="49" t="inlineStr">
        <is>
          <t>Success</t>
        </is>
      </c>
      <c r="L894" s="7" t="n">
        <v>0.4649464232985286</v>
      </c>
      <c r="M894" s="7" t="n">
        <v>0</v>
      </c>
      <c r="N894" s="7" t="n">
        <v>3.719571386388229</v>
      </c>
    </row>
    <row r="895" ht="18" customHeight="1">
      <c r="A895" s="49" t="inlineStr">
        <is>
          <t>ACE-10894</t>
        </is>
      </c>
      <c r="B895" s="49" t="inlineStr">
        <is>
          <t>2026-05-09 10:45:51</t>
        </is>
      </c>
      <c r="C895" s="49" t="inlineStr">
        <is>
          <t>CUST-68564</t>
        </is>
      </c>
      <c r="D895" s="49" t="inlineStr">
        <is>
          <t>EUR-PKR</t>
        </is>
      </c>
      <c r="E895" s="49" t="inlineStr">
        <is>
          <t>EUR</t>
        </is>
      </c>
      <c r="F895" s="7" t="n">
        <v>212.5024741180265</v>
      </c>
      <c r="G895" s="8" t="n">
        <v>0.85</v>
      </c>
      <c r="H895" s="7" t="n">
        <v>180.6271030003225</v>
      </c>
      <c r="I895" s="7" t="n">
        <v>1.275</v>
      </c>
      <c r="J895" s="9" t="n">
        <v>0.023</v>
      </c>
      <c r="K895" s="49" t="inlineStr">
        <is>
          <t>Success</t>
        </is>
      </c>
      <c r="L895" s="7" t="n">
        <v>0.2709406545004838</v>
      </c>
      <c r="M895" s="7" t="n">
        <v>0</v>
      </c>
      <c r="N895" s="7" t="n">
        <v>2.709406545004838</v>
      </c>
    </row>
    <row r="896" ht="18" customHeight="1">
      <c r="A896" s="49" t="inlineStr">
        <is>
          <t>ACE-10895</t>
        </is>
      </c>
      <c r="B896" s="49" t="inlineStr">
        <is>
          <t>2026-05-10 17:57:21</t>
        </is>
      </c>
      <c r="C896" s="49" t="inlineStr">
        <is>
          <t>CUST-85427</t>
        </is>
      </c>
      <c r="D896" s="49" t="inlineStr">
        <is>
          <t>GBP-PKR</t>
        </is>
      </c>
      <c r="E896" s="49" t="inlineStr">
        <is>
          <t>GBP</t>
        </is>
      </c>
      <c r="F896" s="7" t="n">
        <v>319.8990579974648</v>
      </c>
      <c r="G896" s="8" t="n">
        <v>1</v>
      </c>
      <c r="H896" s="7" t="n">
        <v>319.8990579974648</v>
      </c>
      <c r="I896" s="7" t="n">
        <v>1.5</v>
      </c>
      <c r="J896" s="9" t="n">
        <v>0.021</v>
      </c>
      <c r="K896" s="49" t="inlineStr">
        <is>
          <t>Success</t>
        </is>
      </c>
      <c r="L896" s="7" t="n">
        <v>0.4798485869961972</v>
      </c>
      <c r="M896" s="7" t="n">
        <v>0</v>
      </c>
      <c r="N896" s="7" t="n">
        <v>3.838788695969578</v>
      </c>
    </row>
    <row r="897" ht="18" customHeight="1">
      <c r="A897" s="49" t="inlineStr">
        <is>
          <t>ACE-10896</t>
        </is>
      </c>
      <c r="B897" s="49" t="inlineStr">
        <is>
          <t>2026-05-16 18:03:06</t>
        </is>
      </c>
      <c r="C897" s="49" t="inlineStr">
        <is>
          <t>CUST-75139</t>
        </is>
      </c>
      <c r="D897" s="49" t="inlineStr">
        <is>
          <t>GBP-PKR</t>
        </is>
      </c>
      <c r="E897" s="49" t="inlineStr">
        <is>
          <t>GBP</t>
        </is>
      </c>
      <c r="F897" s="7" t="n">
        <v>297.2758786286474</v>
      </c>
      <c r="G897" s="8" t="n">
        <v>1</v>
      </c>
      <c r="H897" s="7" t="n">
        <v>297.2758786286474</v>
      </c>
      <c r="I897" s="7" t="n">
        <v>1.5</v>
      </c>
      <c r="J897" s="9" t="n">
        <v>0.021</v>
      </c>
      <c r="K897" s="49" t="inlineStr">
        <is>
          <t>Success</t>
        </is>
      </c>
      <c r="L897" s="7" t="n">
        <v>0.4459138179429711</v>
      </c>
      <c r="M897" s="7" t="n">
        <v>0</v>
      </c>
      <c r="N897" s="7" t="n">
        <v>3.567310543543769</v>
      </c>
    </row>
    <row r="898" ht="18" customHeight="1">
      <c r="A898" s="49" t="inlineStr">
        <is>
          <t>ACE-10897</t>
        </is>
      </c>
      <c r="B898" s="49" t="inlineStr">
        <is>
          <t>2026-05-06 19:38:57</t>
        </is>
      </c>
      <c r="C898" s="49" t="inlineStr">
        <is>
          <t>CUST-88846</t>
        </is>
      </c>
      <c r="D898" s="49" t="inlineStr">
        <is>
          <t>GBP-PKR</t>
        </is>
      </c>
      <c r="E898" s="49" t="inlineStr">
        <is>
          <t>GBP</t>
        </is>
      </c>
      <c r="F898" s="7" t="n">
        <v>273.986215064133</v>
      </c>
      <c r="G898" s="8" t="n">
        <v>1</v>
      </c>
      <c r="H898" s="7" t="n">
        <v>273.986215064133</v>
      </c>
      <c r="I898" s="7" t="n">
        <v>1.5</v>
      </c>
      <c r="J898" s="9" t="n">
        <v>0.021</v>
      </c>
      <c r="K898" s="49" t="inlineStr">
        <is>
          <t>Success</t>
        </is>
      </c>
      <c r="L898" s="7" t="n">
        <v>0.4109793225961995</v>
      </c>
      <c r="M898" s="7" t="n">
        <v>0.8219586451923989</v>
      </c>
      <c r="N898" s="7" t="n">
        <v>3.287834580769596</v>
      </c>
    </row>
    <row r="899" ht="18" customHeight="1">
      <c r="A899" s="49" t="inlineStr">
        <is>
          <t>ACE-10898</t>
        </is>
      </c>
      <c r="B899" s="49" t="inlineStr">
        <is>
          <t>2026-05-15 17:22:19</t>
        </is>
      </c>
      <c r="C899" s="49" t="inlineStr">
        <is>
          <t>CUST-71779</t>
        </is>
      </c>
      <c r="D899" s="49" t="inlineStr">
        <is>
          <t>GBP-PKR</t>
        </is>
      </c>
      <c r="E899" s="49" t="inlineStr">
        <is>
          <t>GBP</t>
        </is>
      </c>
      <c r="F899" s="7" t="n">
        <v>282.7211204897712</v>
      </c>
      <c r="G899" s="8" t="n">
        <v>1</v>
      </c>
      <c r="H899" s="7" t="n">
        <v>282.7211204897712</v>
      </c>
      <c r="I899" s="7" t="n">
        <v>1.5</v>
      </c>
      <c r="J899" s="9" t="n">
        <v>0.021</v>
      </c>
      <c r="K899" s="49" t="inlineStr">
        <is>
          <t>Success</t>
        </is>
      </c>
      <c r="L899" s="7" t="n">
        <v>0.4240816807346569</v>
      </c>
      <c r="M899" s="7" t="n">
        <v>0.8481633614693137</v>
      </c>
      <c r="N899" s="7" t="n">
        <v>3.392653445877255</v>
      </c>
    </row>
    <row r="900" ht="18" customHeight="1">
      <c r="A900" s="49" t="inlineStr">
        <is>
          <t>ACE-10899</t>
        </is>
      </c>
      <c r="B900" s="49" t="inlineStr">
        <is>
          <t>2026-05-22 20:34:05</t>
        </is>
      </c>
      <c r="C900" s="49" t="inlineStr">
        <is>
          <t>CUST-99528</t>
        </is>
      </c>
      <c r="D900" s="49" t="inlineStr">
        <is>
          <t>EUR-PKR</t>
        </is>
      </c>
      <c r="E900" s="49" t="inlineStr">
        <is>
          <t>EUR</t>
        </is>
      </c>
      <c r="F900" s="7" t="n">
        <v>213.2947407979833</v>
      </c>
      <c r="G900" s="8" t="n">
        <v>0.85</v>
      </c>
      <c r="H900" s="7" t="n">
        <v>181.3005296782858</v>
      </c>
      <c r="I900" s="7" t="n">
        <v>1.275</v>
      </c>
      <c r="J900" s="9" t="n">
        <v>0.023</v>
      </c>
      <c r="K900" s="49" t="inlineStr">
        <is>
          <t>Success</t>
        </is>
      </c>
      <c r="L900" s="7" t="n">
        <v>0.2719507945174287</v>
      </c>
      <c r="M900" s="7" t="n">
        <v>0</v>
      </c>
      <c r="N900" s="7" t="n">
        <v>2.719507945174287</v>
      </c>
    </row>
    <row r="901" ht="18" customHeight="1">
      <c r="A901" s="49" t="inlineStr">
        <is>
          <t>ACE-10900</t>
        </is>
      </c>
      <c r="B901" s="49" t="inlineStr">
        <is>
          <t>2026-05-03 20:58:44</t>
        </is>
      </c>
      <c r="C901" s="49" t="inlineStr">
        <is>
          <t>CUST-80688</t>
        </is>
      </c>
      <c r="D901" s="49" t="inlineStr">
        <is>
          <t>GBP-PKR</t>
        </is>
      </c>
      <c r="E901" s="49" t="inlineStr">
        <is>
          <t>GBP</t>
        </is>
      </c>
      <c r="F901" s="7" t="n">
        <v>256.7482508354403</v>
      </c>
      <c r="G901" s="8" t="n">
        <v>1</v>
      </c>
      <c r="H901" s="7" t="n">
        <v>256.7482508354403</v>
      </c>
      <c r="I901" s="7" t="n">
        <v>1.5</v>
      </c>
      <c r="J901" s="9" t="n">
        <v>0.021</v>
      </c>
      <c r="K901" s="49" t="inlineStr">
        <is>
          <t>Success</t>
        </is>
      </c>
      <c r="L901" s="7" t="n">
        <v>0.3851223762531604</v>
      </c>
      <c r="M901" s="7" t="n">
        <v>0</v>
      </c>
      <c r="N901" s="7" t="n">
        <v>3.080979010025283</v>
      </c>
    </row>
    <row r="902" ht="18" customHeight="1">
      <c r="A902" s="49" t="inlineStr">
        <is>
          <t>ACE-10901</t>
        </is>
      </c>
      <c r="B902" s="49" t="inlineStr">
        <is>
          <t>2026-05-21 19:49:29</t>
        </is>
      </c>
      <c r="C902" s="49" t="inlineStr">
        <is>
          <t>CUST-80837</t>
        </is>
      </c>
      <c r="D902" s="49" t="inlineStr">
        <is>
          <t>GBP-PKR</t>
        </is>
      </c>
      <c r="E902" s="49" t="inlineStr">
        <is>
          <t>GBP</t>
        </is>
      </c>
      <c r="F902" s="7" t="n">
        <v>289.0665487388416</v>
      </c>
      <c r="G902" s="8" t="n">
        <v>1</v>
      </c>
      <c r="H902" s="7" t="n">
        <v>289.0665487388416</v>
      </c>
      <c r="I902" s="7" t="n">
        <v>1.5</v>
      </c>
      <c r="J902" s="9" t="n">
        <v>0.021</v>
      </c>
      <c r="K902" s="49" t="inlineStr">
        <is>
          <t>Success</t>
        </is>
      </c>
      <c r="L902" s="7" t="n">
        <v>0.4335998231082623</v>
      </c>
      <c r="M902" s="7" t="n">
        <v>0</v>
      </c>
      <c r="N902" s="7" t="n">
        <v>3.468798584866099</v>
      </c>
    </row>
    <row r="903" ht="18" customHeight="1">
      <c r="A903" s="49" t="inlineStr">
        <is>
          <t>ACE-10902</t>
        </is>
      </c>
      <c r="B903" s="49" t="inlineStr">
        <is>
          <t>2026-05-20 12:58:23</t>
        </is>
      </c>
      <c r="C903" s="49" t="inlineStr">
        <is>
          <t>CUST-75695</t>
        </is>
      </c>
      <c r="D903" s="49" t="inlineStr">
        <is>
          <t>GBP-PKR</t>
        </is>
      </c>
      <c r="E903" s="49" t="inlineStr">
        <is>
          <t>GBP</t>
        </is>
      </c>
      <c r="F903" s="7" t="n">
        <v>267.8576605149598</v>
      </c>
      <c r="G903" s="8" t="n">
        <v>1</v>
      </c>
      <c r="H903" s="7" t="n">
        <v>267.8576605149598</v>
      </c>
      <c r="I903" s="7" t="n">
        <v>1.5</v>
      </c>
      <c r="J903" s="9" t="n">
        <v>0.021</v>
      </c>
      <c r="K903" s="49" t="inlineStr">
        <is>
          <t>Success</t>
        </is>
      </c>
      <c r="L903" s="7" t="n">
        <v>0.4017864907724397</v>
      </c>
      <c r="M903" s="7" t="n">
        <v>0.8035729815448793</v>
      </c>
      <c r="N903" s="7" t="n">
        <v>3.214291926179517</v>
      </c>
    </row>
    <row r="904" ht="18" customHeight="1">
      <c r="A904" s="49" t="inlineStr">
        <is>
          <t>ACE-10903</t>
        </is>
      </c>
      <c r="B904" s="49" t="inlineStr">
        <is>
          <t>2026-05-11 20:55:56</t>
        </is>
      </c>
      <c r="C904" s="49" t="inlineStr">
        <is>
          <t>CUST-71283</t>
        </is>
      </c>
      <c r="D904" s="49" t="inlineStr">
        <is>
          <t>GBP-PKR</t>
        </is>
      </c>
      <c r="E904" s="49" t="inlineStr">
        <is>
          <t>GBP</t>
        </is>
      </c>
      <c r="F904" s="7" t="n">
        <v>279.4054870898589</v>
      </c>
      <c r="G904" s="8" t="n">
        <v>1</v>
      </c>
      <c r="H904" s="7" t="n">
        <v>279.4054870898589</v>
      </c>
      <c r="I904" s="7" t="n">
        <v>1.5</v>
      </c>
      <c r="J904" s="9" t="n">
        <v>0.021</v>
      </c>
      <c r="K904" s="49" t="inlineStr">
        <is>
          <t>Success</t>
        </is>
      </c>
      <c r="L904" s="7" t="n">
        <v>0.4191082306347884</v>
      </c>
      <c r="M904" s="7" t="n">
        <v>0</v>
      </c>
      <c r="N904" s="7" t="n">
        <v>3.352865845078307</v>
      </c>
    </row>
    <row r="905" ht="18" customHeight="1">
      <c r="A905" s="49" t="inlineStr">
        <is>
          <t>ACE-10904</t>
        </is>
      </c>
      <c r="B905" s="49" t="inlineStr">
        <is>
          <t>2026-05-16 09:22:30</t>
        </is>
      </c>
      <c r="C905" s="49" t="inlineStr">
        <is>
          <t>CUST-80227</t>
        </is>
      </c>
      <c r="D905" s="49" t="inlineStr">
        <is>
          <t>GBP-PKR</t>
        </is>
      </c>
      <c r="E905" s="49" t="inlineStr">
        <is>
          <t>GBP</t>
        </is>
      </c>
      <c r="F905" s="7" t="n">
        <v>316.5986202548457</v>
      </c>
      <c r="G905" s="8" t="n">
        <v>1</v>
      </c>
      <c r="H905" s="7" t="n">
        <v>316.5986202548457</v>
      </c>
      <c r="I905" s="7" t="n">
        <v>1.5</v>
      </c>
      <c r="J905" s="9" t="n">
        <v>0.021</v>
      </c>
      <c r="K905" s="49" t="inlineStr">
        <is>
          <t>Success</t>
        </is>
      </c>
      <c r="L905" s="7" t="n">
        <v>0.4748979303822686</v>
      </c>
      <c r="M905" s="7" t="n">
        <v>0</v>
      </c>
      <c r="N905" s="7" t="n">
        <v>3.799183443058149</v>
      </c>
    </row>
    <row r="906" ht="18" customHeight="1">
      <c r="A906" s="49" t="inlineStr">
        <is>
          <t>ACE-10905</t>
        </is>
      </c>
      <c r="B906" s="49" t="inlineStr">
        <is>
          <t>2026-05-12 17:36:08</t>
        </is>
      </c>
      <c r="C906" s="49" t="inlineStr">
        <is>
          <t>CUST-83288</t>
        </is>
      </c>
      <c r="D906" s="49" t="inlineStr">
        <is>
          <t>GBP-PKR</t>
        </is>
      </c>
      <c r="E906" s="49" t="inlineStr">
        <is>
          <t>GBP</t>
        </is>
      </c>
      <c r="F906" s="7" t="n">
        <v>283.9787779870007</v>
      </c>
      <c r="G906" s="8" t="n">
        <v>1</v>
      </c>
      <c r="H906" s="7" t="n">
        <v>283.9787779870007</v>
      </c>
      <c r="I906" s="7" t="n">
        <v>1.5</v>
      </c>
      <c r="J906" s="9" t="n">
        <v>0.021</v>
      </c>
      <c r="K906" s="49" t="inlineStr">
        <is>
          <t>Success</t>
        </is>
      </c>
      <c r="L906" s="7" t="n">
        <v>0.4259681669805011</v>
      </c>
      <c r="M906" s="7" t="n">
        <v>0.8519363339610021</v>
      </c>
      <c r="N906" s="7" t="n">
        <v>3.407745335844008</v>
      </c>
    </row>
    <row r="907" ht="18" customHeight="1">
      <c r="A907" s="49" t="inlineStr">
        <is>
          <t>ACE-10906</t>
        </is>
      </c>
      <c r="B907" s="49" t="inlineStr">
        <is>
          <t>2026-05-04 13:35:41</t>
        </is>
      </c>
      <c r="C907" s="49" t="inlineStr">
        <is>
          <t>CUST-54648</t>
        </is>
      </c>
      <c r="D907" s="49" t="inlineStr">
        <is>
          <t>GBP-PKR</t>
        </is>
      </c>
      <c r="E907" s="49" t="inlineStr">
        <is>
          <t>GBP</t>
        </is>
      </c>
      <c r="F907" s="7" t="n">
        <v>279.9002411237253</v>
      </c>
      <c r="G907" s="8" t="n">
        <v>1</v>
      </c>
      <c r="H907" s="7" t="n">
        <v>279.9002411237253</v>
      </c>
      <c r="I907" s="7" t="n">
        <v>1.5</v>
      </c>
      <c r="J907" s="9" t="n">
        <v>0.021</v>
      </c>
      <c r="K907" s="49" t="inlineStr">
        <is>
          <t>Success</t>
        </is>
      </c>
      <c r="L907" s="7" t="n">
        <v>0.4198503616855879</v>
      </c>
      <c r="M907" s="7" t="n">
        <v>0</v>
      </c>
      <c r="N907" s="7" t="n">
        <v>3.358802893484703</v>
      </c>
    </row>
    <row r="908" ht="18" customHeight="1">
      <c r="A908" s="49" t="inlineStr">
        <is>
          <t>ACE-10907</t>
        </is>
      </c>
      <c r="B908" s="49" t="inlineStr">
        <is>
          <t>2026-05-13 17:26:15</t>
        </is>
      </c>
      <c r="C908" s="49" t="inlineStr">
        <is>
          <t>CUST-90689</t>
        </is>
      </c>
      <c r="D908" s="49" t="inlineStr">
        <is>
          <t>USD-PKR</t>
        </is>
      </c>
      <c r="E908" s="49" t="inlineStr">
        <is>
          <t>USD</t>
        </is>
      </c>
      <c r="F908" s="7" t="n">
        <v>191.0703972737276</v>
      </c>
      <c r="G908" s="8" t="n">
        <v>0.8</v>
      </c>
      <c r="H908" s="7" t="n">
        <v>152.8563178189821</v>
      </c>
      <c r="I908" s="7" t="n">
        <v>1.6</v>
      </c>
      <c r="J908" s="9" t="n">
        <v>0.019</v>
      </c>
      <c r="K908" s="49" t="inlineStr">
        <is>
          <t>Success</t>
        </is>
      </c>
      <c r="L908" s="7" t="n">
        <v>0.2292844767284731</v>
      </c>
      <c r="M908" s="7" t="n">
        <v>0</v>
      </c>
      <c r="N908" s="7" t="n">
        <v>1.834275813827785</v>
      </c>
    </row>
    <row r="909" ht="18" customHeight="1">
      <c r="A909" s="49" t="inlineStr">
        <is>
          <t>ACE-10908</t>
        </is>
      </c>
      <c r="B909" s="49" t="inlineStr">
        <is>
          <t>2026-05-16 14:04:21</t>
        </is>
      </c>
      <c r="C909" s="49" t="inlineStr">
        <is>
          <t>CUST-63647</t>
        </is>
      </c>
      <c r="D909" s="49" t="inlineStr">
        <is>
          <t>GBP-PKR</t>
        </is>
      </c>
      <c r="E909" s="49" t="inlineStr">
        <is>
          <t>GBP</t>
        </is>
      </c>
      <c r="F909" s="7" t="n">
        <v>300.1898055529971</v>
      </c>
      <c r="G909" s="8" t="n">
        <v>1</v>
      </c>
      <c r="H909" s="7" t="n">
        <v>300.1898055529971</v>
      </c>
      <c r="I909" s="7" t="n">
        <v>1.5</v>
      </c>
      <c r="J909" s="9" t="n">
        <v>0.021</v>
      </c>
      <c r="K909" s="49" t="inlineStr">
        <is>
          <t>Success</t>
        </is>
      </c>
      <c r="L909" s="7" t="n">
        <v>0.4502847083294957</v>
      </c>
      <c r="M909" s="7" t="n">
        <v>0</v>
      </c>
      <c r="N909" s="7" t="n">
        <v>3.602277666635966</v>
      </c>
    </row>
    <row r="910" ht="18" customHeight="1">
      <c r="A910" s="49" t="inlineStr">
        <is>
          <t>ACE-10909</t>
        </is>
      </c>
      <c r="B910" s="49" t="inlineStr">
        <is>
          <t>2026-05-14 17:50:21</t>
        </is>
      </c>
      <c r="C910" s="49" t="inlineStr">
        <is>
          <t>CUST-85686</t>
        </is>
      </c>
      <c r="D910" s="49" t="inlineStr">
        <is>
          <t>GBP-PKR</t>
        </is>
      </c>
      <c r="E910" s="49" t="inlineStr">
        <is>
          <t>GBP</t>
        </is>
      </c>
      <c r="F910" s="7" t="n">
        <v>297.180001621163</v>
      </c>
      <c r="G910" s="8" t="n">
        <v>1</v>
      </c>
      <c r="H910" s="7" t="n">
        <v>297.180001621163</v>
      </c>
      <c r="I910" s="7" t="n">
        <v>1.5</v>
      </c>
      <c r="J910" s="9" t="n">
        <v>0.021</v>
      </c>
      <c r="K910" s="49" t="inlineStr">
        <is>
          <t>Success</t>
        </is>
      </c>
      <c r="L910" s="7" t="n">
        <v>0.4457700024317445</v>
      </c>
      <c r="M910" s="7" t="n">
        <v>0</v>
      </c>
      <c r="N910" s="7" t="n">
        <v>3.566160019453956</v>
      </c>
    </row>
    <row r="911" ht="18" customHeight="1">
      <c r="A911" s="49" t="inlineStr">
        <is>
          <t>ACE-10910</t>
        </is>
      </c>
      <c r="B911" s="49" t="inlineStr">
        <is>
          <t>2026-05-22 09:47:59</t>
        </is>
      </c>
      <c r="C911" s="49" t="inlineStr">
        <is>
          <t>CUST-96655</t>
        </is>
      </c>
      <c r="D911" s="49" t="inlineStr">
        <is>
          <t>EUR-PKR</t>
        </is>
      </c>
      <c r="E911" s="49" t="inlineStr">
        <is>
          <t>EUR</t>
        </is>
      </c>
      <c r="F911" s="7" t="n">
        <v>234.7097265530532</v>
      </c>
      <c r="G911" s="8" t="n">
        <v>0.85</v>
      </c>
      <c r="H911" s="7" t="n">
        <v>199.5032675700952</v>
      </c>
      <c r="I911" s="7" t="n">
        <v>1.275</v>
      </c>
      <c r="J911" s="9" t="n">
        <v>0.023</v>
      </c>
      <c r="K911" s="49" t="inlineStr">
        <is>
          <t>Success</t>
        </is>
      </c>
      <c r="L911" s="7" t="n">
        <v>0.2992549013551429</v>
      </c>
      <c r="M911" s="7" t="n">
        <v>0</v>
      </c>
      <c r="N911" s="7" t="n">
        <v>2.992549013551428</v>
      </c>
    </row>
    <row r="912" ht="18" customHeight="1">
      <c r="A912" s="49" t="inlineStr">
        <is>
          <t>ACE-10911</t>
        </is>
      </c>
      <c r="B912" s="49" t="inlineStr">
        <is>
          <t>2026-05-19 17:29:20</t>
        </is>
      </c>
      <c r="C912" s="49" t="inlineStr">
        <is>
          <t>CUST-86378</t>
        </is>
      </c>
      <c r="D912" s="49" t="inlineStr">
        <is>
          <t>EUR-PKR</t>
        </is>
      </c>
      <c r="E912" s="49" t="inlineStr">
        <is>
          <t>EUR</t>
        </is>
      </c>
      <c r="F912" s="7" t="n">
        <v>183.3223811633924</v>
      </c>
      <c r="G912" s="8" t="n">
        <v>0.85</v>
      </c>
      <c r="H912" s="7" t="n">
        <v>155.8240239888835</v>
      </c>
      <c r="I912" s="7" t="n">
        <v>1.275</v>
      </c>
      <c r="J912" s="9" t="n">
        <v>0.023</v>
      </c>
      <c r="K912" s="49" t="inlineStr">
        <is>
          <t>Success</t>
        </is>
      </c>
      <c r="L912" s="7" t="n">
        <v>0.2337360359833252</v>
      </c>
      <c r="M912" s="7" t="n">
        <v>0</v>
      </c>
      <c r="N912" s="7" t="n">
        <v>2.337360359833252</v>
      </c>
    </row>
    <row r="913" ht="18" customHeight="1">
      <c r="A913" s="49" t="inlineStr">
        <is>
          <t>ACE-10912</t>
        </is>
      </c>
      <c r="B913" s="49" t="inlineStr">
        <is>
          <t>2026-05-10 14:04:38</t>
        </is>
      </c>
      <c r="C913" s="49" t="inlineStr">
        <is>
          <t>CUST-57126</t>
        </is>
      </c>
      <c r="D913" s="49" t="inlineStr">
        <is>
          <t>GBP-PKR</t>
        </is>
      </c>
      <c r="E913" s="49" t="inlineStr">
        <is>
          <t>GBP</t>
        </is>
      </c>
      <c r="F913" s="7" t="n">
        <v>284.776492552308</v>
      </c>
      <c r="G913" s="8" t="n">
        <v>1</v>
      </c>
      <c r="H913" s="7" t="n">
        <v>284.776492552308</v>
      </c>
      <c r="I913" s="7" t="n">
        <v>1.5</v>
      </c>
      <c r="J913" s="9" t="n">
        <v>0.021</v>
      </c>
      <c r="K913" s="49" t="inlineStr">
        <is>
          <t>Success</t>
        </is>
      </c>
      <c r="L913" s="7" t="n">
        <v>0.427164738828462</v>
      </c>
      <c r="M913" s="7" t="n">
        <v>0</v>
      </c>
      <c r="N913" s="7" t="n">
        <v>3.417317910627696</v>
      </c>
    </row>
    <row r="914" ht="18" customHeight="1">
      <c r="A914" s="49" t="inlineStr">
        <is>
          <t>ACE-10913</t>
        </is>
      </c>
      <c r="B914" s="49" t="inlineStr">
        <is>
          <t>2026-05-13 13:31:41</t>
        </is>
      </c>
      <c r="C914" s="49" t="inlineStr">
        <is>
          <t>CUST-93264</t>
        </is>
      </c>
      <c r="D914" s="49" t="inlineStr">
        <is>
          <t>USD-PKR</t>
        </is>
      </c>
      <c r="E914" s="49" t="inlineStr">
        <is>
          <t>USD</t>
        </is>
      </c>
      <c r="F914" s="7" t="n">
        <v>224.430462364657</v>
      </c>
      <c r="G914" s="8" t="n">
        <v>0.8</v>
      </c>
      <c r="H914" s="7" t="n">
        <v>179.5443698917256</v>
      </c>
      <c r="I914" s="7" t="n">
        <v>1.6</v>
      </c>
      <c r="J914" s="9" t="n">
        <v>0.019</v>
      </c>
      <c r="K914" s="49" t="inlineStr">
        <is>
          <t>Success</t>
        </is>
      </c>
      <c r="L914" s="7" t="n">
        <v>0.2693165548375885</v>
      </c>
      <c r="M914" s="7" t="n">
        <v>0</v>
      </c>
      <c r="N914" s="7" t="n">
        <v>2.154532438700708</v>
      </c>
    </row>
    <row r="915" ht="18" customHeight="1">
      <c r="A915" s="49" t="inlineStr">
        <is>
          <t>ACE-10914</t>
        </is>
      </c>
      <c r="B915" s="49" t="inlineStr">
        <is>
          <t>2026-05-05 17:57:48</t>
        </is>
      </c>
      <c r="C915" s="49" t="inlineStr">
        <is>
          <t>CUST-91689</t>
        </is>
      </c>
      <c r="D915" s="49" t="inlineStr">
        <is>
          <t>EUR-PKR</t>
        </is>
      </c>
      <c r="E915" s="49" t="inlineStr">
        <is>
          <t>EUR</t>
        </is>
      </c>
      <c r="F915" s="7" t="n">
        <v>221.3553658012405</v>
      </c>
      <c r="G915" s="8" t="n">
        <v>0.85</v>
      </c>
      <c r="H915" s="7" t="n">
        <v>188.1520609310544</v>
      </c>
      <c r="I915" s="7" t="n">
        <v>1.275</v>
      </c>
      <c r="J915" s="9" t="n">
        <v>0.023</v>
      </c>
      <c r="K915" s="49" t="inlineStr">
        <is>
          <t>Success</t>
        </is>
      </c>
      <c r="L915" s="7" t="n">
        <v>0.2822280913965816</v>
      </c>
      <c r="M915" s="7" t="n">
        <v>0.5644561827931632</v>
      </c>
      <c r="N915" s="7" t="n">
        <v>2.822280913965816</v>
      </c>
    </row>
    <row r="916" ht="18" customHeight="1">
      <c r="A916" s="49" t="inlineStr">
        <is>
          <t>ACE-10915</t>
        </is>
      </c>
      <c r="B916" s="49" t="inlineStr">
        <is>
          <t>2026-05-22 10:28:34</t>
        </is>
      </c>
      <c r="C916" s="49" t="inlineStr">
        <is>
          <t>CUST-69103</t>
        </is>
      </c>
      <c r="D916" s="49" t="inlineStr">
        <is>
          <t>USD-PKR</t>
        </is>
      </c>
      <c r="E916" s="49" t="inlineStr">
        <is>
          <t>USD</t>
        </is>
      </c>
      <c r="F916" s="7" t="n">
        <v>216.8266080979311</v>
      </c>
      <c r="G916" s="8" t="n">
        <v>0.8</v>
      </c>
      <c r="H916" s="7" t="n">
        <v>173.4612864783449</v>
      </c>
      <c r="I916" s="7" t="n">
        <v>1.6</v>
      </c>
      <c r="J916" s="9" t="n">
        <v>0.019</v>
      </c>
      <c r="K916" s="49" t="inlineStr">
        <is>
          <t>Success</t>
        </is>
      </c>
      <c r="L916" s="7" t="n">
        <v>0.2601919297175174</v>
      </c>
      <c r="M916" s="7" t="n">
        <v>0</v>
      </c>
      <c r="N916" s="7" t="n">
        <v>2.081535437740139</v>
      </c>
    </row>
    <row r="917" ht="18" customHeight="1">
      <c r="A917" s="49" t="inlineStr">
        <is>
          <t>ACE-10916</t>
        </is>
      </c>
      <c r="B917" s="49" t="inlineStr">
        <is>
          <t>2026-05-07 11:43:56</t>
        </is>
      </c>
      <c r="C917" s="49" t="inlineStr">
        <is>
          <t>CUST-70748</t>
        </is>
      </c>
      <c r="D917" s="49" t="inlineStr">
        <is>
          <t>GBP-PKR</t>
        </is>
      </c>
      <c r="E917" s="49" t="inlineStr">
        <is>
          <t>GBP</t>
        </is>
      </c>
      <c r="F917" s="7" t="n">
        <v>286.486597726446</v>
      </c>
      <c r="G917" s="8" t="n">
        <v>1</v>
      </c>
      <c r="H917" s="7" t="n">
        <v>286.486597726446</v>
      </c>
      <c r="I917" s="7" t="n">
        <v>1.5</v>
      </c>
      <c r="J917" s="9" t="n">
        <v>0.021</v>
      </c>
      <c r="K917" s="49" t="inlineStr">
        <is>
          <t>Success</t>
        </is>
      </c>
      <c r="L917" s="7" t="n">
        <v>0.4297298965896689</v>
      </c>
      <c r="M917" s="7" t="n">
        <v>0.8594597931793378</v>
      </c>
      <c r="N917" s="7" t="n">
        <v>3.437839172717351</v>
      </c>
    </row>
    <row r="918" ht="18" customHeight="1">
      <c r="A918" s="49" t="inlineStr">
        <is>
          <t>ACE-10917</t>
        </is>
      </c>
      <c r="B918" s="49" t="inlineStr">
        <is>
          <t>2026-05-22 12:58:59</t>
        </is>
      </c>
      <c r="C918" s="49" t="inlineStr">
        <is>
          <t>CUST-78490</t>
        </is>
      </c>
      <c r="D918" s="49" t="inlineStr">
        <is>
          <t>GBP-PKR</t>
        </is>
      </c>
      <c r="E918" s="49" t="inlineStr">
        <is>
          <t>GBP</t>
        </is>
      </c>
      <c r="F918" s="7" t="n">
        <v>296.0650678964795</v>
      </c>
      <c r="G918" s="8" t="n">
        <v>1</v>
      </c>
      <c r="H918" s="7" t="n">
        <v>296.0650678964795</v>
      </c>
      <c r="I918" s="7" t="n">
        <v>1.5</v>
      </c>
      <c r="J918" s="9" t="n">
        <v>0.021</v>
      </c>
      <c r="K918" s="49" t="inlineStr">
        <is>
          <t>Success</t>
        </is>
      </c>
      <c r="L918" s="7" t="n">
        <v>0.4440976018447192</v>
      </c>
      <c r="M918" s="7" t="n">
        <v>0.8881952036894385</v>
      </c>
      <c r="N918" s="7" t="n">
        <v>3.552780814757754</v>
      </c>
    </row>
    <row r="919" ht="18" customHeight="1">
      <c r="A919" s="49" t="inlineStr">
        <is>
          <t>ACE-10918</t>
        </is>
      </c>
      <c r="B919" s="49" t="inlineStr">
        <is>
          <t>2026-05-03 17:00:39</t>
        </is>
      </c>
      <c r="C919" s="49" t="inlineStr">
        <is>
          <t>CUST-83451</t>
        </is>
      </c>
      <c r="D919" s="49" t="inlineStr">
        <is>
          <t>USD-PKR</t>
        </is>
      </c>
      <c r="E919" s="49" t="inlineStr">
        <is>
          <t>USD</t>
        </is>
      </c>
      <c r="F919" s="7" t="n">
        <v>223.0260227655895</v>
      </c>
      <c r="G919" s="8" t="n">
        <v>0.8</v>
      </c>
      <c r="H919" s="7" t="n">
        <v>178.4208182124716</v>
      </c>
      <c r="I919" s="7" t="n">
        <v>1.6</v>
      </c>
      <c r="J919" s="9" t="n">
        <v>0.019</v>
      </c>
      <c r="K919" s="49" t="inlineStr">
        <is>
          <t>Success</t>
        </is>
      </c>
      <c r="L919" s="7" t="n">
        <v>0.2676312273187074</v>
      </c>
      <c r="M919" s="7" t="n">
        <v>0</v>
      </c>
      <c r="N919" s="7" t="n">
        <v>2.141049818549659</v>
      </c>
    </row>
    <row r="920" ht="18" customHeight="1">
      <c r="A920" s="49" t="inlineStr">
        <is>
          <t>ACE-10919</t>
        </is>
      </c>
      <c r="B920" s="49" t="inlineStr">
        <is>
          <t>2026-05-10 08:23:57</t>
        </is>
      </c>
      <c r="C920" s="49" t="inlineStr">
        <is>
          <t>CUST-85971</t>
        </is>
      </c>
      <c r="D920" s="49" t="inlineStr">
        <is>
          <t>GBP-PKR</t>
        </is>
      </c>
      <c r="E920" s="49" t="inlineStr">
        <is>
          <t>GBP</t>
        </is>
      </c>
      <c r="F920" s="7" t="n">
        <v>266.4392444223176</v>
      </c>
      <c r="G920" s="8" t="n">
        <v>1</v>
      </c>
      <c r="H920" s="7" t="n">
        <v>266.4392444223176</v>
      </c>
      <c r="I920" s="7" t="n">
        <v>1.5</v>
      </c>
      <c r="J920" s="9" t="n">
        <v>0.021</v>
      </c>
      <c r="K920" s="49" t="inlineStr">
        <is>
          <t>Success</t>
        </is>
      </c>
      <c r="L920" s="7" t="n">
        <v>0.3996588666334765</v>
      </c>
      <c r="M920" s="7" t="n">
        <v>0</v>
      </c>
      <c r="N920" s="7" t="n">
        <v>3.197270933067812</v>
      </c>
    </row>
    <row r="921" ht="18" customHeight="1">
      <c r="A921" s="49" t="inlineStr">
        <is>
          <t>ACE-10920</t>
        </is>
      </c>
      <c r="B921" s="49" t="inlineStr">
        <is>
          <t>2026-05-18 13:07:55</t>
        </is>
      </c>
      <c r="C921" s="49" t="inlineStr">
        <is>
          <t>CUST-68494</t>
        </is>
      </c>
      <c r="D921" s="49" t="inlineStr">
        <is>
          <t>GBP-PKR</t>
        </is>
      </c>
      <c r="E921" s="49" t="inlineStr">
        <is>
          <t>GBP</t>
        </is>
      </c>
      <c r="F921" s="7" t="n">
        <v>284.0637266093169</v>
      </c>
      <c r="G921" s="8" t="n">
        <v>1</v>
      </c>
      <c r="H921" s="7" t="n">
        <v>284.0637266093169</v>
      </c>
      <c r="I921" s="7" t="n">
        <v>1.5</v>
      </c>
      <c r="J921" s="9" t="n">
        <v>0.021</v>
      </c>
      <c r="K921" s="49" t="inlineStr">
        <is>
          <t>Success</t>
        </is>
      </c>
      <c r="L921" s="7" t="n">
        <v>0.4260955899139753</v>
      </c>
      <c r="M921" s="7" t="n">
        <v>0</v>
      </c>
      <c r="N921" s="7" t="n">
        <v>3.408764719311802</v>
      </c>
    </row>
    <row r="922" ht="18" customHeight="1">
      <c r="A922" s="49" t="inlineStr">
        <is>
          <t>ACE-10921</t>
        </is>
      </c>
      <c r="B922" s="49" t="inlineStr">
        <is>
          <t>2026-05-23 17:25:40</t>
        </is>
      </c>
      <c r="C922" s="49" t="inlineStr">
        <is>
          <t>CUST-70848</t>
        </is>
      </c>
      <c r="D922" s="49" t="inlineStr">
        <is>
          <t>GBP-PKR</t>
        </is>
      </c>
      <c r="E922" s="49" t="inlineStr">
        <is>
          <t>GBP</t>
        </is>
      </c>
      <c r="F922" s="7" t="n">
        <v>310.1800012481394</v>
      </c>
      <c r="G922" s="8" t="n">
        <v>1</v>
      </c>
      <c r="H922" s="7" t="n">
        <v>310.1800012481394</v>
      </c>
      <c r="I922" s="7" t="n">
        <v>1.5</v>
      </c>
      <c r="J922" s="9" t="n">
        <v>0.021</v>
      </c>
      <c r="K922" s="49" t="inlineStr">
        <is>
          <t>Success</t>
        </is>
      </c>
      <c r="L922" s="7" t="n">
        <v>0.4652700018722092</v>
      </c>
      <c r="M922" s="7" t="n">
        <v>0</v>
      </c>
      <c r="N922" s="7" t="n">
        <v>3.722160014977673</v>
      </c>
    </row>
    <row r="923" ht="18" customHeight="1">
      <c r="A923" s="49" t="inlineStr">
        <is>
          <t>ACE-10922</t>
        </is>
      </c>
      <c r="B923" s="49" t="inlineStr">
        <is>
          <t>2026-05-14 16:13:42</t>
        </is>
      </c>
      <c r="C923" s="49" t="inlineStr">
        <is>
          <t>CUST-61364</t>
        </is>
      </c>
      <c r="D923" s="49" t="inlineStr">
        <is>
          <t>GBP-PKR</t>
        </is>
      </c>
      <c r="E923" s="49" t="inlineStr">
        <is>
          <t>GBP</t>
        </is>
      </c>
      <c r="F923" s="7" t="n">
        <v>251.4233252379068</v>
      </c>
      <c r="G923" s="8" t="n">
        <v>1</v>
      </c>
      <c r="H923" s="7" t="n">
        <v>251.4233252379068</v>
      </c>
      <c r="I923" s="7" t="n">
        <v>1.5</v>
      </c>
      <c r="J923" s="9" t="n">
        <v>0.021</v>
      </c>
      <c r="K923" s="49" t="inlineStr">
        <is>
          <t>Success</t>
        </is>
      </c>
      <c r="L923" s="7" t="n">
        <v>0.3771349878568602</v>
      </c>
      <c r="M923" s="7" t="n">
        <v>0</v>
      </c>
      <c r="N923" s="7" t="n">
        <v>3.017079902854882</v>
      </c>
    </row>
    <row r="924" ht="18" customHeight="1">
      <c r="A924" s="49" t="inlineStr">
        <is>
          <t>ACE-10923</t>
        </is>
      </c>
      <c r="B924" s="49" t="inlineStr">
        <is>
          <t>2026-05-13 13:53:26</t>
        </is>
      </c>
      <c r="C924" s="49" t="inlineStr">
        <is>
          <t>CUST-60110</t>
        </is>
      </c>
      <c r="D924" s="49" t="inlineStr">
        <is>
          <t>USD-PKR</t>
        </is>
      </c>
      <c r="E924" s="49" t="inlineStr">
        <is>
          <t>USD</t>
        </is>
      </c>
      <c r="F924" s="7" t="n">
        <v>221.8329261808054</v>
      </c>
      <c r="G924" s="8" t="n">
        <v>0.8</v>
      </c>
      <c r="H924" s="7" t="n">
        <v>177.4663409446443</v>
      </c>
      <c r="I924" s="7" t="n">
        <v>1.6</v>
      </c>
      <c r="J924" s="9" t="n">
        <v>0.019</v>
      </c>
      <c r="K924" s="49" t="inlineStr">
        <is>
          <t>Success</t>
        </is>
      </c>
      <c r="L924" s="7" t="n">
        <v>0.2661995114169665</v>
      </c>
      <c r="M924" s="7" t="n">
        <v>0.532399022833933</v>
      </c>
      <c r="N924" s="7" t="n">
        <v>2.129596091335732</v>
      </c>
    </row>
    <row r="925" ht="18" customHeight="1">
      <c r="A925" s="49" t="inlineStr">
        <is>
          <t>ACE-10924</t>
        </is>
      </c>
      <c r="B925" s="49" t="inlineStr">
        <is>
          <t>2026-05-05 10:00:04</t>
        </is>
      </c>
      <c r="C925" s="49" t="inlineStr">
        <is>
          <t>CUST-92492</t>
        </is>
      </c>
      <c r="D925" s="49" t="inlineStr">
        <is>
          <t>GBP-PKR</t>
        </is>
      </c>
      <c r="E925" s="49" t="inlineStr">
        <is>
          <t>GBP</t>
        </is>
      </c>
      <c r="F925" s="7" t="n">
        <v>259.7650378033125</v>
      </c>
      <c r="G925" s="8" t="n">
        <v>1</v>
      </c>
      <c r="H925" s="7" t="n">
        <v>259.7650378033125</v>
      </c>
      <c r="I925" s="7" t="n">
        <v>1.5</v>
      </c>
      <c r="J925" s="9" t="n">
        <v>0.021</v>
      </c>
      <c r="K925" s="49" t="inlineStr">
        <is>
          <t>Failed</t>
        </is>
      </c>
      <c r="L925" s="7" t="n">
        <v>0</v>
      </c>
      <c r="M925" s="7" t="n">
        <v>0</v>
      </c>
      <c r="N925" s="7" t="n">
        <v>0.5</v>
      </c>
    </row>
    <row r="926" ht="18" customHeight="1">
      <c r="A926" s="49" t="inlineStr">
        <is>
          <t>ACE-10925</t>
        </is>
      </c>
      <c r="B926" s="49" t="inlineStr">
        <is>
          <t>2026-05-24 15:42:27</t>
        </is>
      </c>
      <c r="C926" s="49" t="inlineStr">
        <is>
          <t>CUST-58898</t>
        </is>
      </c>
      <c r="D926" s="49" t="inlineStr">
        <is>
          <t>GBP-PKR</t>
        </is>
      </c>
      <c r="E926" s="49" t="inlineStr">
        <is>
          <t>GBP</t>
        </is>
      </c>
      <c r="F926" s="7" t="n">
        <v>313.9690034982029</v>
      </c>
      <c r="G926" s="8" t="n">
        <v>1</v>
      </c>
      <c r="H926" s="7" t="n">
        <v>313.9690034982029</v>
      </c>
      <c r="I926" s="7" t="n">
        <v>1.5</v>
      </c>
      <c r="J926" s="9" t="n">
        <v>0.021</v>
      </c>
      <c r="K926" s="49" t="inlineStr">
        <is>
          <t>Success</t>
        </is>
      </c>
      <c r="L926" s="7" t="n">
        <v>0.4709535052473043</v>
      </c>
      <c r="M926" s="7" t="n">
        <v>0.9419070104946087</v>
      </c>
      <c r="N926" s="7" t="n">
        <v>3.767628041978435</v>
      </c>
    </row>
    <row r="927" ht="18" customHeight="1">
      <c r="A927" s="49" t="inlineStr">
        <is>
          <t>ACE-10926</t>
        </is>
      </c>
      <c r="B927" s="49" t="inlineStr">
        <is>
          <t>2026-05-14 15:57:50</t>
        </is>
      </c>
      <c r="C927" s="49" t="inlineStr">
        <is>
          <t>CUST-95573</t>
        </is>
      </c>
      <c r="D927" s="49" t="inlineStr">
        <is>
          <t>GBP-PKR</t>
        </is>
      </c>
      <c r="E927" s="49" t="inlineStr">
        <is>
          <t>GBP</t>
        </is>
      </c>
      <c r="F927" s="7" t="n">
        <v>239.240880527913</v>
      </c>
      <c r="G927" s="8" t="n">
        <v>1</v>
      </c>
      <c r="H927" s="7" t="n">
        <v>239.240880527913</v>
      </c>
      <c r="I927" s="7" t="n">
        <v>1.5</v>
      </c>
      <c r="J927" s="9" t="n">
        <v>0.021</v>
      </c>
      <c r="K927" s="49" t="inlineStr">
        <is>
          <t>Success</t>
        </is>
      </c>
      <c r="L927" s="7" t="n">
        <v>0.3588613207918696</v>
      </c>
      <c r="M927" s="7" t="n">
        <v>0</v>
      </c>
      <c r="N927" s="7" t="n">
        <v>2.870890566334956</v>
      </c>
    </row>
    <row r="928" ht="18" customHeight="1">
      <c r="A928" s="49" t="inlineStr">
        <is>
          <t>ACE-10927</t>
        </is>
      </c>
      <c r="B928" s="49" t="inlineStr">
        <is>
          <t>2026-05-06 15:32:27</t>
        </is>
      </c>
      <c r="C928" s="49" t="inlineStr">
        <is>
          <t>CUST-86179</t>
        </is>
      </c>
      <c r="D928" s="49" t="inlineStr">
        <is>
          <t>USD-PKR</t>
        </is>
      </c>
      <c r="E928" s="49" t="inlineStr">
        <is>
          <t>USD</t>
        </is>
      </c>
      <c r="F928" s="7" t="n">
        <v>207.0034296788976</v>
      </c>
      <c r="G928" s="8" t="n">
        <v>0.8</v>
      </c>
      <c r="H928" s="7" t="n">
        <v>165.6027437431181</v>
      </c>
      <c r="I928" s="7" t="n">
        <v>1.6</v>
      </c>
      <c r="J928" s="9" t="n">
        <v>0.019</v>
      </c>
      <c r="K928" s="49" t="inlineStr">
        <is>
          <t>Success</t>
        </is>
      </c>
      <c r="L928" s="7" t="n">
        <v>0.2484041156146772</v>
      </c>
      <c r="M928" s="7" t="n">
        <v>0</v>
      </c>
      <c r="N928" s="7" t="n">
        <v>1.987232924917418</v>
      </c>
    </row>
    <row r="929" ht="18" customHeight="1">
      <c r="A929" s="49" t="inlineStr">
        <is>
          <t>ACE-10928</t>
        </is>
      </c>
      <c r="B929" s="49" t="inlineStr">
        <is>
          <t>2026-05-08 10:27:38</t>
        </is>
      </c>
      <c r="C929" s="49" t="inlineStr">
        <is>
          <t>CUST-50486</t>
        </is>
      </c>
      <c r="D929" s="49" t="inlineStr">
        <is>
          <t>EUR-PKR</t>
        </is>
      </c>
      <c r="E929" s="49" t="inlineStr">
        <is>
          <t>EUR</t>
        </is>
      </c>
      <c r="F929" s="7" t="n">
        <v>196.3198583952866</v>
      </c>
      <c r="G929" s="8" t="n">
        <v>0.85</v>
      </c>
      <c r="H929" s="7" t="n">
        <v>166.8718796359936</v>
      </c>
      <c r="I929" s="7" t="n">
        <v>1.275</v>
      </c>
      <c r="J929" s="9" t="n">
        <v>0.023</v>
      </c>
      <c r="K929" s="49" t="inlineStr">
        <is>
          <t>Success</t>
        </is>
      </c>
      <c r="L929" s="7" t="n">
        <v>0.2503078194539904</v>
      </c>
      <c r="M929" s="7" t="n">
        <v>0.5006156389079808</v>
      </c>
      <c r="N929" s="7" t="n">
        <v>2.503078194539904</v>
      </c>
    </row>
    <row r="930" ht="18" customHeight="1">
      <c r="A930" s="49" t="inlineStr">
        <is>
          <t>ACE-10929</t>
        </is>
      </c>
      <c r="B930" s="49" t="inlineStr">
        <is>
          <t>2026-05-08 19:32:17</t>
        </is>
      </c>
      <c r="C930" s="49" t="inlineStr">
        <is>
          <t>CUST-76924</t>
        </is>
      </c>
      <c r="D930" s="49" t="inlineStr">
        <is>
          <t>GBP-PKR</t>
        </is>
      </c>
      <c r="E930" s="49" t="inlineStr">
        <is>
          <t>GBP</t>
        </is>
      </c>
      <c r="F930" s="7" t="n">
        <v>325.8189979273582</v>
      </c>
      <c r="G930" s="8" t="n">
        <v>1</v>
      </c>
      <c r="H930" s="7" t="n">
        <v>325.8189979273582</v>
      </c>
      <c r="I930" s="7" t="n">
        <v>1.5</v>
      </c>
      <c r="J930" s="9" t="n">
        <v>0.021</v>
      </c>
      <c r="K930" s="49" t="inlineStr">
        <is>
          <t>Success</t>
        </is>
      </c>
      <c r="L930" s="7" t="n">
        <v>0.4887284968910374</v>
      </c>
      <c r="M930" s="7" t="n">
        <v>0</v>
      </c>
      <c r="N930" s="7" t="n">
        <v>3.909827975128299</v>
      </c>
    </row>
    <row r="931" ht="18" customHeight="1">
      <c r="A931" s="49" t="inlineStr">
        <is>
          <t>ACE-10930</t>
        </is>
      </c>
      <c r="B931" s="49" t="inlineStr">
        <is>
          <t>2026-05-02 08:36:30</t>
        </is>
      </c>
      <c r="C931" s="49" t="inlineStr">
        <is>
          <t>CUST-96195</t>
        </is>
      </c>
      <c r="D931" s="49" t="inlineStr">
        <is>
          <t>GBP-PKR</t>
        </is>
      </c>
      <c r="E931" s="49" t="inlineStr">
        <is>
          <t>GBP</t>
        </is>
      </c>
      <c r="F931" s="7" t="n">
        <v>276.7776778986568</v>
      </c>
      <c r="G931" s="8" t="n">
        <v>1</v>
      </c>
      <c r="H931" s="7" t="n">
        <v>276.7776778986568</v>
      </c>
      <c r="I931" s="7" t="n">
        <v>1.5</v>
      </c>
      <c r="J931" s="9" t="n">
        <v>0.021</v>
      </c>
      <c r="K931" s="49" t="inlineStr">
        <is>
          <t>Success</t>
        </is>
      </c>
      <c r="L931" s="7" t="n">
        <v>0.4151665168479852</v>
      </c>
      <c r="M931" s="7" t="n">
        <v>0</v>
      </c>
      <c r="N931" s="7" t="n">
        <v>3.321332134783882</v>
      </c>
    </row>
    <row r="932" ht="18" customHeight="1">
      <c r="A932" s="49" t="inlineStr">
        <is>
          <t>ACE-10931</t>
        </is>
      </c>
      <c r="B932" s="49" t="inlineStr">
        <is>
          <t>2026-05-23 09:09:46</t>
        </is>
      </c>
      <c r="C932" s="49" t="inlineStr">
        <is>
          <t>CUST-97926</t>
        </is>
      </c>
      <c r="D932" s="49" t="inlineStr">
        <is>
          <t>USD-PKR</t>
        </is>
      </c>
      <c r="E932" s="49" t="inlineStr">
        <is>
          <t>USD</t>
        </is>
      </c>
      <c r="F932" s="7" t="n">
        <v>207.0804973341429</v>
      </c>
      <c r="G932" s="8" t="n">
        <v>0.8</v>
      </c>
      <c r="H932" s="7" t="n">
        <v>165.6643978673143</v>
      </c>
      <c r="I932" s="7" t="n">
        <v>1.6</v>
      </c>
      <c r="J932" s="9" t="n">
        <v>0.019</v>
      </c>
      <c r="K932" s="49" t="inlineStr">
        <is>
          <t>Success</t>
        </is>
      </c>
      <c r="L932" s="7" t="n">
        <v>0.2484965968009715</v>
      </c>
      <c r="M932" s="7" t="n">
        <v>0.496993193601943</v>
      </c>
      <c r="N932" s="7" t="n">
        <v>1.987972774407772</v>
      </c>
    </row>
    <row r="933" ht="18" customHeight="1">
      <c r="A933" s="49" t="inlineStr">
        <is>
          <t>ACE-10932</t>
        </is>
      </c>
      <c r="B933" s="49" t="inlineStr">
        <is>
          <t>2026-05-09 15:33:05</t>
        </is>
      </c>
      <c r="C933" s="49" t="inlineStr">
        <is>
          <t>CUST-84298</t>
        </is>
      </c>
      <c r="D933" s="49" t="inlineStr">
        <is>
          <t>GBP-PKR</t>
        </is>
      </c>
      <c r="E933" s="49" t="inlineStr">
        <is>
          <t>GBP</t>
        </is>
      </c>
      <c r="F933" s="7" t="n">
        <v>336.2669404317975</v>
      </c>
      <c r="G933" s="8" t="n">
        <v>1</v>
      </c>
      <c r="H933" s="7" t="n">
        <v>336.2669404317975</v>
      </c>
      <c r="I933" s="7" t="n">
        <v>1.5</v>
      </c>
      <c r="J933" s="9" t="n">
        <v>0.021</v>
      </c>
      <c r="K933" s="49" t="inlineStr">
        <is>
          <t>Success</t>
        </is>
      </c>
      <c r="L933" s="7" t="n">
        <v>0.5044004106476963</v>
      </c>
      <c r="M933" s="7" t="n">
        <v>0</v>
      </c>
      <c r="N933" s="7" t="n">
        <v>4.03520328518157</v>
      </c>
    </row>
    <row r="934" ht="18" customHeight="1">
      <c r="A934" s="49" t="inlineStr">
        <is>
          <t>ACE-10933</t>
        </is>
      </c>
      <c r="B934" s="49" t="inlineStr">
        <is>
          <t>2026-05-16 18:47:42</t>
        </is>
      </c>
      <c r="C934" s="49" t="inlineStr">
        <is>
          <t>CUST-93825</t>
        </is>
      </c>
      <c r="D934" s="49" t="inlineStr">
        <is>
          <t>GBP-PKR</t>
        </is>
      </c>
      <c r="E934" s="49" t="inlineStr">
        <is>
          <t>GBP</t>
        </is>
      </c>
      <c r="F934" s="7" t="n">
        <v>241.0461028016329</v>
      </c>
      <c r="G934" s="8" t="n">
        <v>1</v>
      </c>
      <c r="H934" s="7" t="n">
        <v>241.0461028016329</v>
      </c>
      <c r="I934" s="7" t="n">
        <v>1.5</v>
      </c>
      <c r="J934" s="9" t="n">
        <v>0.021</v>
      </c>
      <c r="K934" s="49" t="inlineStr">
        <is>
          <t>Success</t>
        </is>
      </c>
      <c r="L934" s="7" t="n">
        <v>0.3615691542024493</v>
      </c>
      <c r="M934" s="7" t="n">
        <v>0.7231383084048986</v>
      </c>
      <c r="N934" s="7" t="n">
        <v>2.892553233619594</v>
      </c>
    </row>
    <row r="935" ht="18" customHeight="1">
      <c r="A935" s="49" t="inlineStr">
        <is>
          <t>ACE-10934</t>
        </is>
      </c>
      <c r="B935" s="49" t="inlineStr">
        <is>
          <t>2026-05-19 12:39:03</t>
        </is>
      </c>
      <c r="C935" s="49" t="inlineStr">
        <is>
          <t>CUST-72514</t>
        </is>
      </c>
      <c r="D935" s="49" t="inlineStr">
        <is>
          <t>GBP-PKR</t>
        </is>
      </c>
      <c r="E935" s="49" t="inlineStr">
        <is>
          <t>GBP</t>
        </is>
      </c>
      <c r="F935" s="7" t="n">
        <v>223.611239810689</v>
      </c>
      <c r="G935" s="8" t="n">
        <v>1</v>
      </c>
      <c r="H935" s="7" t="n">
        <v>223.611239810689</v>
      </c>
      <c r="I935" s="7" t="n">
        <v>1.5</v>
      </c>
      <c r="J935" s="9" t="n">
        <v>0.021</v>
      </c>
      <c r="K935" s="49" t="inlineStr">
        <is>
          <t>Success</t>
        </is>
      </c>
      <c r="L935" s="7" t="n">
        <v>0.3354168597160335</v>
      </c>
      <c r="M935" s="7" t="n">
        <v>0</v>
      </c>
      <c r="N935" s="7" t="n">
        <v>2.683334877728268</v>
      </c>
    </row>
    <row r="936" ht="18" customHeight="1">
      <c r="A936" s="49" t="inlineStr">
        <is>
          <t>ACE-10935</t>
        </is>
      </c>
      <c r="B936" s="49" t="inlineStr">
        <is>
          <t>2026-05-15 16:57:30</t>
        </is>
      </c>
      <c r="C936" s="49" t="inlineStr">
        <is>
          <t>CUST-87615</t>
        </is>
      </c>
      <c r="D936" s="49" t="inlineStr">
        <is>
          <t>GBP-PKR</t>
        </is>
      </c>
      <c r="E936" s="49" t="inlineStr">
        <is>
          <t>GBP</t>
        </is>
      </c>
      <c r="F936" s="7" t="n">
        <v>291.1361561150386</v>
      </c>
      <c r="G936" s="8" t="n">
        <v>1</v>
      </c>
      <c r="H936" s="7" t="n">
        <v>291.1361561150386</v>
      </c>
      <c r="I936" s="7" t="n">
        <v>1.5</v>
      </c>
      <c r="J936" s="9" t="n">
        <v>0.021</v>
      </c>
      <c r="K936" s="49" t="inlineStr">
        <is>
          <t>Success</t>
        </is>
      </c>
      <c r="L936" s="7" t="n">
        <v>0.4367042341725579</v>
      </c>
      <c r="M936" s="7" t="n">
        <v>0</v>
      </c>
      <c r="N936" s="7" t="n">
        <v>3.493633873380463</v>
      </c>
    </row>
    <row r="937" ht="18" customHeight="1">
      <c r="A937" s="49" t="inlineStr">
        <is>
          <t>ACE-10936</t>
        </is>
      </c>
      <c r="B937" s="49" t="inlineStr">
        <is>
          <t>2026-05-10 12:10:02</t>
        </is>
      </c>
      <c r="C937" s="49" t="inlineStr">
        <is>
          <t>CUST-95550</t>
        </is>
      </c>
      <c r="D937" s="49" t="inlineStr">
        <is>
          <t>GBP-PKR</t>
        </is>
      </c>
      <c r="E937" s="49" t="inlineStr">
        <is>
          <t>GBP</t>
        </is>
      </c>
      <c r="F937" s="7" t="n">
        <v>264.961406818683</v>
      </c>
      <c r="G937" s="8" t="n">
        <v>1</v>
      </c>
      <c r="H937" s="7" t="n">
        <v>264.961406818683</v>
      </c>
      <c r="I937" s="7" t="n">
        <v>1.5</v>
      </c>
      <c r="J937" s="9" t="n">
        <v>0.021</v>
      </c>
      <c r="K937" s="49" t="inlineStr">
        <is>
          <t>Success</t>
        </is>
      </c>
      <c r="L937" s="7" t="n">
        <v>0.3974421102280246</v>
      </c>
      <c r="M937" s="7" t="n">
        <v>0.7948842204560491</v>
      </c>
      <c r="N937" s="7" t="n">
        <v>3.179536881824196</v>
      </c>
    </row>
    <row r="938" ht="18" customHeight="1">
      <c r="A938" s="49" t="inlineStr">
        <is>
          <t>ACE-10937</t>
        </is>
      </c>
      <c r="B938" s="49" t="inlineStr">
        <is>
          <t>2026-05-24 20:36:16</t>
        </is>
      </c>
      <c r="C938" s="49" t="inlineStr">
        <is>
          <t>CUST-54025</t>
        </is>
      </c>
      <c r="D938" s="49" t="inlineStr">
        <is>
          <t>GBP-PKR</t>
        </is>
      </c>
      <c r="E938" s="49" t="inlineStr">
        <is>
          <t>GBP</t>
        </is>
      </c>
      <c r="F938" s="7" t="n">
        <v>251.5561742494885</v>
      </c>
      <c r="G938" s="8" t="n">
        <v>1</v>
      </c>
      <c r="H938" s="7" t="n">
        <v>251.5561742494885</v>
      </c>
      <c r="I938" s="7" t="n">
        <v>1.5</v>
      </c>
      <c r="J938" s="9" t="n">
        <v>0.021</v>
      </c>
      <c r="K938" s="49" t="inlineStr">
        <is>
          <t>Success</t>
        </is>
      </c>
      <c r="L938" s="7" t="n">
        <v>0.3773342613742328</v>
      </c>
      <c r="M938" s="7" t="n">
        <v>0</v>
      </c>
      <c r="N938" s="7" t="n">
        <v>3.018674090993863</v>
      </c>
    </row>
    <row r="939" ht="18" customHeight="1">
      <c r="A939" s="49" t="inlineStr">
        <is>
          <t>ACE-10938</t>
        </is>
      </c>
      <c r="B939" s="49" t="inlineStr">
        <is>
          <t>2026-05-19 08:42:18</t>
        </is>
      </c>
      <c r="C939" s="49" t="inlineStr">
        <is>
          <t>CUST-98324</t>
        </is>
      </c>
      <c r="D939" s="49" t="inlineStr">
        <is>
          <t>GBP-PKR</t>
        </is>
      </c>
      <c r="E939" s="49" t="inlineStr">
        <is>
          <t>GBP</t>
        </is>
      </c>
      <c r="F939" s="7" t="n">
        <v>299.0543256126809</v>
      </c>
      <c r="G939" s="8" t="n">
        <v>1</v>
      </c>
      <c r="H939" s="7" t="n">
        <v>299.0543256126809</v>
      </c>
      <c r="I939" s="7" t="n">
        <v>1.5</v>
      </c>
      <c r="J939" s="9" t="n">
        <v>0.021</v>
      </c>
      <c r="K939" s="49" t="inlineStr">
        <is>
          <t>Success</t>
        </is>
      </c>
      <c r="L939" s="7" t="n">
        <v>0.4485814884190214</v>
      </c>
      <c r="M939" s="7" t="n">
        <v>0</v>
      </c>
      <c r="N939" s="7" t="n">
        <v>3.588651907352171</v>
      </c>
    </row>
    <row r="940" ht="18" customHeight="1">
      <c r="A940" s="49" t="inlineStr">
        <is>
          <t>ACE-10939</t>
        </is>
      </c>
      <c r="B940" s="49" t="inlineStr">
        <is>
          <t>2026-05-03 10:32:04</t>
        </is>
      </c>
      <c r="C940" s="49" t="inlineStr">
        <is>
          <t>CUST-68209</t>
        </is>
      </c>
      <c r="D940" s="49" t="inlineStr">
        <is>
          <t>USD-PKR</t>
        </is>
      </c>
      <c r="E940" s="49" t="inlineStr">
        <is>
          <t>USD</t>
        </is>
      </c>
      <c r="F940" s="7" t="n">
        <v>224.3051984826449</v>
      </c>
      <c r="G940" s="8" t="n">
        <v>0.8</v>
      </c>
      <c r="H940" s="7" t="n">
        <v>179.4441587861159</v>
      </c>
      <c r="I940" s="7" t="n">
        <v>1.6</v>
      </c>
      <c r="J940" s="9" t="n">
        <v>0.019</v>
      </c>
      <c r="K940" s="49" t="inlineStr">
        <is>
          <t>Success</t>
        </is>
      </c>
      <c r="L940" s="7" t="n">
        <v>0.2691662381791738</v>
      </c>
      <c r="M940" s="7" t="n">
        <v>0.5383324763583477</v>
      </c>
      <c r="N940" s="7" t="n">
        <v>2.153329905433391</v>
      </c>
    </row>
    <row r="941" ht="18" customHeight="1">
      <c r="A941" s="49" t="inlineStr">
        <is>
          <t>ACE-10940</t>
        </is>
      </c>
      <c r="B941" s="49" t="inlineStr">
        <is>
          <t>2026-05-09 12:00:47</t>
        </is>
      </c>
      <c r="C941" s="49" t="inlineStr">
        <is>
          <t>CUST-57310</t>
        </is>
      </c>
      <c r="D941" s="49" t="inlineStr">
        <is>
          <t>GBP-PKR</t>
        </is>
      </c>
      <c r="E941" s="49" t="inlineStr">
        <is>
          <t>GBP</t>
        </is>
      </c>
      <c r="F941" s="7" t="n">
        <v>263.3230854690974</v>
      </c>
      <c r="G941" s="8" t="n">
        <v>1</v>
      </c>
      <c r="H941" s="7" t="n">
        <v>263.3230854690974</v>
      </c>
      <c r="I941" s="7" t="n">
        <v>1.5</v>
      </c>
      <c r="J941" s="9" t="n">
        <v>0.021</v>
      </c>
      <c r="K941" s="49" t="inlineStr">
        <is>
          <t>Success</t>
        </is>
      </c>
      <c r="L941" s="7" t="n">
        <v>0.3949846282036461</v>
      </c>
      <c r="M941" s="7" t="n">
        <v>0.7899692564072922</v>
      </c>
      <c r="N941" s="7" t="n">
        <v>3.159877025629169</v>
      </c>
    </row>
    <row r="942" ht="18" customHeight="1">
      <c r="A942" s="49" t="inlineStr">
        <is>
          <t>ACE-10941</t>
        </is>
      </c>
      <c r="B942" s="49" t="inlineStr">
        <is>
          <t>2026-05-24 10:42:28</t>
        </is>
      </c>
      <c r="C942" s="49" t="inlineStr">
        <is>
          <t>CUST-74233</t>
        </is>
      </c>
      <c r="D942" s="49" t="inlineStr">
        <is>
          <t>USD-PKR</t>
        </is>
      </c>
      <c r="E942" s="49" t="inlineStr">
        <is>
          <t>USD</t>
        </is>
      </c>
      <c r="F942" s="7" t="n">
        <v>192.5964575641302</v>
      </c>
      <c r="G942" s="8" t="n">
        <v>0.8</v>
      </c>
      <c r="H942" s="7" t="n">
        <v>154.0771660513042</v>
      </c>
      <c r="I942" s="7" t="n">
        <v>1.6</v>
      </c>
      <c r="J942" s="9" t="n">
        <v>0.019</v>
      </c>
      <c r="K942" s="49" t="inlineStr">
        <is>
          <t>Success</t>
        </is>
      </c>
      <c r="L942" s="7" t="n">
        <v>0.2311157490769563</v>
      </c>
      <c r="M942" s="7" t="n">
        <v>0</v>
      </c>
      <c r="N942" s="7" t="n">
        <v>1.84892599261565</v>
      </c>
    </row>
    <row r="943" ht="18" customHeight="1">
      <c r="A943" s="49" t="inlineStr">
        <is>
          <t>ACE-10942</t>
        </is>
      </c>
      <c r="B943" s="49" t="inlineStr">
        <is>
          <t>2026-05-23 11:31:11</t>
        </is>
      </c>
      <c r="C943" s="49" t="inlineStr">
        <is>
          <t>CUST-84562</t>
        </is>
      </c>
      <c r="D943" s="49" t="inlineStr">
        <is>
          <t>GBP-PKR</t>
        </is>
      </c>
      <c r="E943" s="49" t="inlineStr">
        <is>
          <t>GBP</t>
        </is>
      </c>
      <c r="F943" s="7" t="n">
        <v>304.0023209245365</v>
      </c>
      <c r="G943" s="8" t="n">
        <v>1</v>
      </c>
      <c r="H943" s="7" t="n">
        <v>304.0023209245365</v>
      </c>
      <c r="I943" s="7" t="n">
        <v>1.5</v>
      </c>
      <c r="J943" s="9" t="n">
        <v>0.021</v>
      </c>
      <c r="K943" s="49" t="inlineStr">
        <is>
          <t>Success</t>
        </is>
      </c>
      <c r="L943" s="7" t="n">
        <v>0.4560034813868047</v>
      </c>
      <c r="M943" s="7" t="n">
        <v>0</v>
      </c>
      <c r="N943" s="7" t="n">
        <v>3.648027851094438</v>
      </c>
    </row>
    <row r="944" ht="18" customHeight="1">
      <c r="A944" s="49" t="inlineStr">
        <is>
          <t>ACE-10943</t>
        </is>
      </c>
      <c r="B944" s="49" t="inlineStr">
        <is>
          <t>2026-05-03 10:38:59</t>
        </is>
      </c>
      <c r="C944" s="49" t="inlineStr">
        <is>
          <t>CUST-60102</t>
        </is>
      </c>
      <c r="D944" s="49" t="inlineStr">
        <is>
          <t>GBP-PKR</t>
        </is>
      </c>
      <c r="E944" s="49" t="inlineStr">
        <is>
          <t>GBP</t>
        </is>
      </c>
      <c r="F944" s="7" t="n">
        <v>297.3202143999146</v>
      </c>
      <c r="G944" s="8" t="n">
        <v>1</v>
      </c>
      <c r="H944" s="7" t="n">
        <v>297.3202143999146</v>
      </c>
      <c r="I944" s="7" t="n">
        <v>1.5</v>
      </c>
      <c r="J944" s="9" t="n">
        <v>0.021</v>
      </c>
      <c r="K944" s="49" t="inlineStr">
        <is>
          <t>Success</t>
        </is>
      </c>
      <c r="L944" s="7" t="n">
        <v>0.4459803215998719</v>
      </c>
      <c r="M944" s="7" t="n">
        <v>0.8919606431997439</v>
      </c>
      <c r="N944" s="7" t="n">
        <v>3.567842572798976</v>
      </c>
    </row>
    <row r="945" ht="18" customHeight="1">
      <c r="A945" s="49" t="inlineStr">
        <is>
          <t>ACE-10944</t>
        </is>
      </c>
      <c r="B945" s="49" t="inlineStr">
        <is>
          <t>2026-05-14 20:24:15</t>
        </is>
      </c>
      <c r="C945" s="49" t="inlineStr">
        <is>
          <t>CUST-93297</t>
        </is>
      </c>
      <c r="D945" s="49" t="inlineStr">
        <is>
          <t>GBP-PKR</t>
        </is>
      </c>
      <c r="E945" s="49" t="inlineStr">
        <is>
          <t>GBP</t>
        </is>
      </c>
      <c r="F945" s="7" t="n">
        <v>275.8540762856694</v>
      </c>
      <c r="G945" s="8" t="n">
        <v>1</v>
      </c>
      <c r="H945" s="7" t="n">
        <v>275.8540762856694</v>
      </c>
      <c r="I945" s="7" t="n">
        <v>1.5</v>
      </c>
      <c r="J945" s="9" t="n">
        <v>0.021</v>
      </c>
      <c r="K945" s="49" t="inlineStr">
        <is>
          <t>Success</t>
        </is>
      </c>
      <c r="L945" s="7" t="n">
        <v>0.413781114428504</v>
      </c>
      <c r="M945" s="7" t="n">
        <v>0.827562228857008</v>
      </c>
      <c r="N945" s="7" t="n">
        <v>3.310248915428032</v>
      </c>
    </row>
    <row r="946" ht="18" customHeight="1">
      <c r="A946" s="49" t="inlineStr">
        <is>
          <t>ACE-10945</t>
        </is>
      </c>
      <c r="B946" s="49" t="inlineStr">
        <is>
          <t>2026-05-07 17:46:53</t>
        </is>
      </c>
      <c r="C946" s="49" t="inlineStr">
        <is>
          <t>CUST-72614</t>
        </is>
      </c>
      <c r="D946" s="49" t="inlineStr">
        <is>
          <t>USD-PKR</t>
        </is>
      </c>
      <c r="E946" s="49" t="inlineStr">
        <is>
          <t>USD</t>
        </is>
      </c>
      <c r="F946" s="7" t="n">
        <v>263.2992573515133</v>
      </c>
      <c r="G946" s="8" t="n">
        <v>0.8</v>
      </c>
      <c r="H946" s="7" t="n">
        <v>210.6394058812106</v>
      </c>
      <c r="I946" s="7" t="n">
        <v>1.6</v>
      </c>
      <c r="J946" s="9" t="n">
        <v>0.019</v>
      </c>
      <c r="K946" s="49" t="inlineStr">
        <is>
          <t>Success</t>
        </is>
      </c>
      <c r="L946" s="7" t="n">
        <v>0.315959108821816</v>
      </c>
      <c r="M946" s="7" t="n">
        <v>0</v>
      </c>
      <c r="N946" s="7" t="n">
        <v>2.527672870574528</v>
      </c>
    </row>
    <row r="947" ht="18" customHeight="1">
      <c r="A947" s="49" t="inlineStr">
        <is>
          <t>ACE-10946</t>
        </is>
      </c>
      <c r="B947" s="49" t="inlineStr">
        <is>
          <t>2026-05-04 08:10:29</t>
        </is>
      </c>
      <c r="C947" s="49" t="inlineStr">
        <is>
          <t>CUST-76132</t>
        </is>
      </c>
      <c r="D947" s="49" t="inlineStr">
        <is>
          <t>GBP-PKR</t>
        </is>
      </c>
      <c r="E947" s="49" t="inlineStr">
        <is>
          <t>GBP</t>
        </is>
      </c>
      <c r="F947" s="7" t="n">
        <v>250.3302701333739</v>
      </c>
      <c r="G947" s="8" t="n">
        <v>1</v>
      </c>
      <c r="H947" s="7" t="n">
        <v>250.3302701333739</v>
      </c>
      <c r="I947" s="7" t="n">
        <v>1.5</v>
      </c>
      <c r="J947" s="9" t="n">
        <v>0.021</v>
      </c>
      <c r="K947" s="49" t="inlineStr">
        <is>
          <t>Success</t>
        </is>
      </c>
      <c r="L947" s="7" t="n">
        <v>0.3754954052000609</v>
      </c>
      <c r="M947" s="7" t="n">
        <v>0</v>
      </c>
      <c r="N947" s="7" t="n">
        <v>3.003963241600487</v>
      </c>
    </row>
    <row r="948" ht="18" customHeight="1">
      <c r="A948" s="49" t="inlineStr">
        <is>
          <t>ACE-10947</t>
        </is>
      </c>
      <c r="B948" s="49" t="inlineStr">
        <is>
          <t>2026-05-18 11:24:43</t>
        </is>
      </c>
      <c r="C948" s="49" t="inlineStr">
        <is>
          <t>CUST-96242</t>
        </is>
      </c>
      <c r="D948" s="49" t="inlineStr">
        <is>
          <t>GBP-PKR</t>
        </is>
      </c>
      <c r="E948" s="49" t="inlineStr">
        <is>
          <t>GBP</t>
        </is>
      </c>
      <c r="F948" s="7" t="n">
        <v>239.18494618259</v>
      </c>
      <c r="G948" s="8" t="n">
        <v>1</v>
      </c>
      <c r="H948" s="7" t="n">
        <v>239.18494618259</v>
      </c>
      <c r="I948" s="7" t="n">
        <v>1.5</v>
      </c>
      <c r="J948" s="9" t="n">
        <v>0.021</v>
      </c>
      <c r="K948" s="49" t="inlineStr">
        <is>
          <t>Success</t>
        </is>
      </c>
      <c r="L948" s="7" t="n">
        <v>0.358777419273885</v>
      </c>
      <c r="M948" s="7" t="n">
        <v>0</v>
      </c>
      <c r="N948" s="7" t="n">
        <v>2.87021935419108</v>
      </c>
    </row>
    <row r="949" ht="18" customHeight="1">
      <c r="A949" s="49" t="inlineStr">
        <is>
          <t>ACE-10948</t>
        </is>
      </c>
      <c r="B949" s="49" t="inlineStr">
        <is>
          <t>2026-05-17 14:00:18</t>
        </is>
      </c>
      <c r="C949" s="49" t="inlineStr">
        <is>
          <t>CUST-79413</t>
        </is>
      </c>
      <c r="D949" s="49" t="inlineStr">
        <is>
          <t>GBP-PKR</t>
        </is>
      </c>
      <c r="E949" s="49" t="inlineStr">
        <is>
          <t>GBP</t>
        </is>
      </c>
      <c r="F949" s="7" t="n">
        <v>259.97846383504</v>
      </c>
      <c r="G949" s="8" t="n">
        <v>1</v>
      </c>
      <c r="H949" s="7" t="n">
        <v>259.97846383504</v>
      </c>
      <c r="I949" s="7" t="n">
        <v>1.5</v>
      </c>
      <c r="J949" s="9" t="n">
        <v>0.021</v>
      </c>
      <c r="K949" s="49" t="inlineStr">
        <is>
          <t>Success</t>
        </is>
      </c>
      <c r="L949" s="7" t="n">
        <v>0.38996769575256</v>
      </c>
      <c r="M949" s="7" t="n">
        <v>0</v>
      </c>
      <c r="N949" s="7" t="n">
        <v>3.11974156602048</v>
      </c>
    </row>
    <row r="950" ht="18" customHeight="1">
      <c r="A950" s="49" t="inlineStr">
        <is>
          <t>ACE-10949</t>
        </is>
      </c>
      <c r="B950" s="49" t="inlineStr">
        <is>
          <t>2026-05-17 18:02:06</t>
        </is>
      </c>
      <c r="C950" s="49" t="inlineStr">
        <is>
          <t>CUST-84818</t>
        </is>
      </c>
      <c r="D950" s="49" t="inlineStr">
        <is>
          <t>GBP-PKR</t>
        </is>
      </c>
      <c r="E950" s="49" t="inlineStr">
        <is>
          <t>GBP</t>
        </is>
      </c>
      <c r="F950" s="7" t="n">
        <v>277.3363422445423</v>
      </c>
      <c r="G950" s="8" t="n">
        <v>1</v>
      </c>
      <c r="H950" s="7" t="n">
        <v>277.3363422445423</v>
      </c>
      <c r="I950" s="7" t="n">
        <v>1.5</v>
      </c>
      <c r="J950" s="9" t="n">
        <v>0.021</v>
      </c>
      <c r="K950" s="49" t="inlineStr">
        <is>
          <t>Success</t>
        </is>
      </c>
      <c r="L950" s="7" t="n">
        <v>0.4160045133668135</v>
      </c>
      <c r="M950" s="7" t="n">
        <v>0.832009026733627</v>
      </c>
      <c r="N950" s="7" t="n">
        <v>3.328036106934508</v>
      </c>
    </row>
    <row r="951" ht="18" customHeight="1">
      <c r="A951" s="49" t="inlineStr">
        <is>
          <t>ACE-10950</t>
        </is>
      </c>
      <c r="B951" s="49" t="inlineStr">
        <is>
          <t>2026-05-14 17:58:41</t>
        </is>
      </c>
      <c r="C951" s="49" t="inlineStr">
        <is>
          <t>CUST-67864</t>
        </is>
      </c>
      <c r="D951" s="49" t="inlineStr">
        <is>
          <t>EUR-PKR</t>
        </is>
      </c>
      <c r="E951" s="49" t="inlineStr">
        <is>
          <t>EUR</t>
        </is>
      </c>
      <c r="F951" s="7" t="n">
        <v>193.7091906399092</v>
      </c>
      <c r="G951" s="8" t="n">
        <v>0.85</v>
      </c>
      <c r="H951" s="7" t="n">
        <v>164.6528120439228</v>
      </c>
      <c r="I951" s="7" t="n">
        <v>1.275</v>
      </c>
      <c r="J951" s="9" t="n">
        <v>0.023</v>
      </c>
      <c r="K951" s="49" t="inlineStr">
        <is>
          <t>Success</t>
        </is>
      </c>
      <c r="L951" s="7" t="n">
        <v>0.2469792180658842</v>
      </c>
      <c r="M951" s="7" t="n">
        <v>0</v>
      </c>
      <c r="N951" s="7" t="n">
        <v>2.469792180658842</v>
      </c>
    </row>
    <row r="952" ht="18" customHeight="1">
      <c r="A952" s="49" t="inlineStr">
        <is>
          <t>ACE-10951</t>
        </is>
      </c>
      <c r="B952" s="49" t="inlineStr">
        <is>
          <t>2026-05-04 12:41:37</t>
        </is>
      </c>
      <c r="C952" s="49" t="inlineStr">
        <is>
          <t>CUST-75634</t>
        </is>
      </c>
      <c r="D952" s="49" t="inlineStr">
        <is>
          <t>GBP-PKR</t>
        </is>
      </c>
      <c r="E952" s="49" t="inlineStr">
        <is>
          <t>GBP</t>
        </is>
      </c>
      <c r="F952" s="7" t="n">
        <v>271.9629917737241</v>
      </c>
      <c r="G952" s="8" t="n">
        <v>1</v>
      </c>
      <c r="H952" s="7" t="n">
        <v>271.9629917737241</v>
      </c>
      <c r="I952" s="7" t="n">
        <v>1.5</v>
      </c>
      <c r="J952" s="9" t="n">
        <v>0.021</v>
      </c>
      <c r="K952" s="49" t="inlineStr">
        <is>
          <t>Success</t>
        </is>
      </c>
      <c r="L952" s="7" t="n">
        <v>0.4079444876605862</v>
      </c>
      <c r="M952" s="7" t="n">
        <v>0.8158889753211724</v>
      </c>
      <c r="N952" s="7" t="n">
        <v>3.26355590128469</v>
      </c>
    </row>
    <row r="953" ht="18" customHeight="1">
      <c r="A953" s="49" t="inlineStr">
        <is>
          <t>ACE-10952</t>
        </is>
      </c>
      <c r="B953" s="49" t="inlineStr">
        <is>
          <t>2026-05-08 19:43:37</t>
        </is>
      </c>
      <c r="C953" s="49" t="inlineStr">
        <is>
          <t>CUST-62774</t>
        </is>
      </c>
      <c r="D953" s="49" t="inlineStr">
        <is>
          <t>USD-PKR</t>
        </is>
      </c>
      <c r="E953" s="49" t="inlineStr">
        <is>
          <t>USD</t>
        </is>
      </c>
      <c r="F953" s="7" t="n">
        <v>226.7465980972072</v>
      </c>
      <c r="G953" s="8" t="n">
        <v>0.8</v>
      </c>
      <c r="H953" s="7" t="n">
        <v>181.3972784777658</v>
      </c>
      <c r="I953" s="7" t="n">
        <v>1.6</v>
      </c>
      <c r="J953" s="9" t="n">
        <v>0.019</v>
      </c>
      <c r="K953" s="49" t="inlineStr">
        <is>
          <t>Success</t>
        </is>
      </c>
      <c r="L953" s="7" t="n">
        <v>0.2720959177166486</v>
      </c>
      <c r="M953" s="7" t="n">
        <v>0.5441918354332973</v>
      </c>
      <c r="N953" s="7" t="n">
        <v>2.176767341733189</v>
      </c>
    </row>
    <row r="954" ht="18" customHeight="1">
      <c r="A954" s="49" t="inlineStr">
        <is>
          <t>ACE-10953</t>
        </is>
      </c>
      <c r="B954" s="49" t="inlineStr">
        <is>
          <t>2026-05-06 13:35:00</t>
        </is>
      </c>
      <c r="C954" s="49" t="inlineStr">
        <is>
          <t>CUST-94092</t>
        </is>
      </c>
      <c r="D954" s="49" t="inlineStr">
        <is>
          <t>GBP-PKR</t>
        </is>
      </c>
      <c r="E954" s="49" t="inlineStr">
        <is>
          <t>GBP</t>
        </is>
      </c>
      <c r="F954" s="7" t="n">
        <v>245.8288742531749</v>
      </c>
      <c r="G954" s="8" t="n">
        <v>1</v>
      </c>
      <c r="H954" s="7" t="n">
        <v>245.8288742531749</v>
      </c>
      <c r="I954" s="7" t="n">
        <v>1.5</v>
      </c>
      <c r="J954" s="9" t="n">
        <v>0.021</v>
      </c>
      <c r="K954" s="49" t="inlineStr">
        <is>
          <t>Failed</t>
        </is>
      </c>
      <c r="L954" s="7" t="n">
        <v>0</v>
      </c>
      <c r="M954" s="7" t="n">
        <v>0</v>
      </c>
      <c r="N954" s="7" t="n">
        <v>0.5</v>
      </c>
    </row>
    <row r="955" ht="18" customHeight="1">
      <c r="A955" s="49" t="inlineStr">
        <is>
          <t>ACE-10954</t>
        </is>
      </c>
      <c r="B955" s="49" t="inlineStr">
        <is>
          <t>2026-05-03 08:26:06</t>
        </is>
      </c>
      <c r="C955" s="49" t="inlineStr">
        <is>
          <t>CUST-84423</t>
        </is>
      </c>
      <c r="D955" s="49" t="inlineStr">
        <is>
          <t>GBP-PKR</t>
        </is>
      </c>
      <c r="E955" s="49" t="inlineStr">
        <is>
          <t>GBP</t>
        </is>
      </c>
      <c r="F955" s="7" t="n">
        <v>321.8758987272959</v>
      </c>
      <c r="G955" s="8" t="n">
        <v>1</v>
      </c>
      <c r="H955" s="7" t="n">
        <v>321.8758987272959</v>
      </c>
      <c r="I955" s="7" t="n">
        <v>1.5</v>
      </c>
      <c r="J955" s="9" t="n">
        <v>0.021</v>
      </c>
      <c r="K955" s="49" t="inlineStr">
        <is>
          <t>Success</t>
        </is>
      </c>
      <c r="L955" s="7" t="n">
        <v>0.4828138480909439</v>
      </c>
      <c r="M955" s="7" t="n">
        <v>0</v>
      </c>
      <c r="N955" s="7" t="n">
        <v>3.862510784727551</v>
      </c>
    </row>
    <row r="956" ht="18" customHeight="1">
      <c r="A956" s="49" t="inlineStr">
        <is>
          <t>ACE-10955</t>
        </is>
      </c>
      <c r="B956" s="49" t="inlineStr">
        <is>
          <t>2026-05-08 19:18:16</t>
        </is>
      </c>
      <c r="C956" s="49" t="inlineStr">
        <is>
          <t>CUST-62653</t>
        </is>
      </c>
      <c r="D956" s="49" t="inlineStr">
        <is>
          <t>EUR-PKR</t>
        </is>
      </c>
      <c r="E956" s="49" t="inlineStr">
        <is>
          <t>EUR</t>
        </is>
      </c>
      <c r="F956" s="7" t="n">
        <v>187.5056455057579</v>
      </c>
      <c r="G956" s="8" t="n">
        <v>0.85</v>
      </c>
      <c r="H956" s="7" t="n">
        <v>159.3797986798942</v>
      </c>
      <c r="I956" s="7" t="n">
        <v>1.275</v>
      </c>
      <c r="J956" s="9" t="n">
        <v>0.023</v>
      </c>
      <c r="K956" s="49" t="inlineStr">
        <is>
          <t>Success</t>
        </is>
      </c>
      <c r="L956" s="7" t="n">
        <v>0.2390696980198413</v>
      </c>
      <c r="M956" s="7" t="n">
        <v>0.4781393960396826</v>
      </c>
      <c r="N956" s="7" t="n">
        <v>2.390696980198413</v>
      </c>
    </row>
    <row r="957" ht="18" customHeight="1">
      <c r="A957" s="49" t="inlineStr">
        <is>
          <t>ACE-10956</t>
        </is>
      </c>
      <c r="B957" s="49" t="inlineStr">
        <is>
          <t>2026-05-02 17:42:57</t>
        </is>
      </c>
      <c r="C957" s="49" t="inlineStr">
        <is>
          <t>CUST-64209</t>
        </is>
      </c>
      <c r="D957" s="49" t="inlineStr">
        <is>
          <t>GBP-PKR</t>
        </is>
      </c>
      <c r="E957" s="49" t="inlineStr">
        <is>
          <t>GBP</t>
        </is>
      </c>
      <c r="F957" s="7" t="n">
        <v>311.5373349205378</v>
      </c>
      <c r="G957" s="8" t="n">
        <v>1</v>
      </c>
      <c r="H957" s="7" t="n">
        <v>311.5373349205378</v>
      </c>
      <c r="I957" s="7" t="n">
        <v>1.5</v>
      </c>
      <c r="J957" s="9" t="n">
        <v>0.021</v>
      </c>
      <c r="K957" s="49" t="inlineStr">
        <is>
          <t>Success</t>
        </is>
      </c>
      <c r="L957" s="7" t="n">
        <v>0.4673060023808067</v>
      </c>
      <c r="M957" s="7" t="n">
        <v>0.9346120047616133</v>
      </c>
      <c r="N957" s="7" t="n">
        <v>3.738448019046453</v>
      </c>
    </row>
    <row r="958" ht="18" customHeight="1">
      <c r="A958" s="49" t="inlineStr">
        <is>
          <t>ACE-10957</t>
        </is>
      </c>
      <c r="B958" s="49" t="inlineStr">
        <is>
          <t>2026-05-23 09:05:54</t>
        </is>
      </c>
      <c r="C958" s="49" t="inlineStr">
        <is>
          <t>CUST-89628</t>
        </is>
      </c>
      <c r="D958" s="49" t="inlineStr">
        <is>
          <t>EUR-PKR</t>
        </is>
      </c>
      <c r="E958" s="49" t="inlineStr">
        <is>
          <t>EUR</t>
        </is>
      </c>
      <c r="F958" s="7" t="n">
        <v>195.6439854478997</v>
      </c>
      <c r="G958" s="8" t="n">
        <v>0.85</v>
      </c>
      <c r="H958" s="7" t="n">
        <v>166.2973876307148</v>
      </c>
      <c r="I958" s="7" t="n">
        <v>1.275</v>
      </c>
      <c r="J958" s="9" t="n">
        <v>0.023</v>
      </c>
      <c r="K958" s="49" t="inlineStr">
        <is>
          <t>Success</t>
        </is>
      </c>
      <c r="L958" s="7" t="n">
        <v>0.2494460814460721</v>
      </c>
      <c r="M958" s="7" t="n">
        <v>0.4988921628921443</v>
      </c>
      <c r="N958" s="7" t="n">
        <v>2.494460814460721</v>
      </c>
    </row>
    <row r="959" ht="18" customHeight="1">
      <c r="A959" s="49" t="inlineStr">
        <is>
          <t>ACE-10958</t>
        </is>
      </c>
      <c r="B959" s="49" t="inlineStr">
        <is>
          <t>2026-05-21 17:51:11</t>
        </is>
      </c>
      <c r="C959" s="49" t="inlineStr">
        <is>
          <t>CUST-57264</t>
        </is>
      </c>
      <c r="D959" s="49" t="inlineStr">
        <is>
          <t>USD-PKR</t>
        </is>
      </c>
      <c r="E959" s="49" t="inlineStr">
        <is>
          <t>USD</t>
        </is>
      </c>
      <c r="F959" s="7" t="n">
        <v>229.1330566596097</v>
      </c>
      <c r="G959" s="8" t="n">
        <v>0.8</v>
      </c>
      <c r="H959" s="7" t="n">
        <v>183.3064453276878</v>
      </c>
      <c r="I959" s="7" t="n">
        <v>1.6</v>
      </c>
      <c r="J959" s="9" t="n">
        <v>0.019</v>
      </c>
      <c r="K959" s="49" t="inlineStr">
        <is>
          <t>Success</t>
        </is>
      </c>
      <c r="L959" s="7" t="n">
        <v>0.2749596679915317</v>
      </c>
      <c r="M959" s="7" t="n">
        <v>0</v>
      </c>
      <c r="N959" s="7" t="n">
        <v>2.199677343932253</v>
      </c>
    </row>
    <row r="960" ht="18" customHeight="1">
      <c r="A960" s="49" t="inlineStr">
        <is>
          <t>ACE-10959</t>
        </is>
      </c>
      <c r="B960" s="49" t="inlineStr">
        <is>
          <t>2026-05-15 18:59:04</t>
        </is>
      </c>
      <c r="C960" s="49" t="inlineStr">
        <is>
          <t>CUST-91863</t>
        </is>
      </c>
      <c r="D960" s="49" t="inlineStr">
        <is>
          <t>GBP-PKR</t>
        </is>
      </c>
      <c r="E960" s="49" t="inlineStr">
        <is>
          <t>GBP</t>
        </is>
      </c>
      <c r="F960" s="7" t="n">
        <v>294.9383440255807</v>
      </c>
      <c r="G960" s="8" t="n">
        <v>1</v>
      </c>
      <c r="H960" s="7" t="n">
        <v>294.9383440255807</v>
      </c>
      <c r="I960" s="7" t="n">
        <v>1.5</v>
      </c>
      <c r="J960" s="9" t="n">
        <v>0.021</v>
      </c>
      <c r="K960" s="49" t="inlineStr">
        <is>
          <t>Success</t>
        </is>
      </c>
      <c r="L960" s="7" t="n">
        <v>0.4424075160383711</v>
      </c>
      <c r="M960" s="7" t="n">
        <v>0.8848150320767422</v>
      </c>
      <c r="N960" s="7" t="n">
        <v>3.539260128306969</v>
      </c>
    </row>
    <row r="961" ht="18" customHeight="1">
      <c r="A961" s="49" t="inlineStr">
        <is>
          <t>ACE-10960</t>
        </is>
      </c>
      <c r="B961" s="49" t="inlineStr">
        <is>
          <t>2026-05-14 19:57:42</t>
        </is>
      </c>
      <c r="C961" s="49" t="inlineStr">
        <is>
          <t>CUST-71194</t>
        </is>
      </c>
      <c r="D961" s="49" t="inlineStr">
        <is>
          <t>USD-PKR</t>
        </is>
      </c>
      <c r="E961" s="49" t="inlineStr">
        <is>
          <t>USD</t>
        </is>
      </c>
      <c r="F961" s="7" t="n">
        <v>228.9259073140542</v>
      </c>
      <c r="G961" s="8" t="n">
        <v>0.8</v>
      </c>
      <c r="H961" s="7" t="n">
        <v>183.1407258512434</v>
      </c>
      <c r="I961" s="7" t="n">
        <v>1.6</v>
      </c>
      <c r="J961" s="9" t="n">
        <v>0.019</v>
      </c>
      <c r="K961" s="49" t="inlineStr">
        <is>
          <t>Success</t>
        </is>
      </c>
      <c r="L961" s="7" t="n">
        <v>0.2747110887768651</v>
      </c>
      <c r="M961" s="7" t="n">
        <v>0.5494221775537301</v>
      </c>
      <c r="N961" s="7" t="n">
        <v>2.197688710214921</v>
      </c>
    </row>
    <row r="962" ht="18" customHeight="1">
      <c r="A962" s="49" t="inlineStr">
        <is>
          <t>ACE-10961</t>
        </is>
      </c>
      <c r="B962" s="49" t="inlineStr">
        <is>
          <t>2026-05-09 20:03:24</t>
        </is>
      </c>
      <c r="C962" s="49" t="inlineStr">
        <is>
          <t>CUST-75466</t>
        </is>
      </c>
      <c r="D962" s="49" t="inlineStr">
        <is>
          <t>USD-PKR</t>
        </is>
      </c>
      <c r="E962" s="49" t="inlineStr">
        <is>
          <t>USD</t>
        </is>
      </c>
      <c r="F962" s="7" t="n">
        <v>233.4341028115787</v>
      </c>
      <c r="G962" s="8" t="n">
        <v>0.8</v>
      </c>
      <c r="H962" s="7" t="n">
        <v>186.747282249263</v>
      </c>
      <c r="I962" s="7" t="n">
        <v>1.6</v>
      </c>
      <c r="J962" s="9" t="n">
        <v>0.019</v>
      </c>
      <c r="K962" s="49" t="inlineStr">
        <is>
          <t>Success</t>
        </is>
      </c>
      <c r="L962" s="7" t="n">
        <v>0.2801209233738945</v>
      </c>
      <c r="M962" s="7" t="n">
        <v>0</v>
      </c>
      <c r="N962" s="7" t="n">
        <v>2.240967386991156</v>
      </c>
    </row>
    <row r="963" ht="18" customHeight="1">
      <c r="A963" s="49" t="inlineStr">
        <is>
          <t>ACE-10962</t>
        </is>
      </c>
      <c r="B963" s="49" t="inlineStr">
        <is>
          <t>2026-05-09 10:28:04</t>
        </is>
      </c>
      <c r="C963" s="49" t="inlineStr">
        <is>
          <t>CUST-82225</t>
        </is>
      </c>
      <c r="D963" s="49" t="inlineStr">
        <is>
          <t>GBP-PKR</t>
        </is>
      </c>
      <c r="E963" s="49" t="inlineStr">
        <is>
          <t>GBP</t>
        </is>
      </c>
      <c r="F963" s="7" t="n">
        <v>318.2078724540989</v>
      </c>
      <c r="G963" s="8" t="n">
        <v>1</v>
      </c>
      <c r="H963" s="7" t="n">
        <v>318.2078724540989</v>
      </c>
      <c r="I963" s="7" t="n">
        <v>1.5</v>
      </c>
      <c r="J963" s="9" t="n">
        <v>0.021</v>
      </c>
      <c r="K963" s="49" t="inlineStr">
        <is>
          <t>Success</t>
        </is>
      </c>
      <c r="L963" s="7" t="n">
        <v>0.4773118086811484</v>
      </c>
      <c r="M963" s="7" t="n">
        <v>0</v>
      </c>
      <c r="N963" s="7" t="n">
        <v>3.818494469449187</v>
      </c>
    </row>
    <row r="964" ht="18" customHeight="1">
      <c r="A964" s="49" t="inlineStr">
        <is>
          <t>ACE-10963</t>
        </is>
      </c>
      <c r="B964" s="49" t="inlineStr">
        <is>
          <t>2026-05-13 10:41:31</t>
        </is>
      </c>
      <c r="C964" s="49" t="inlineStr">
        <is>
          <t>CUST-57106</t>
        </is>
      </c>
      <c r="D964" s="49" t="inlineStr">
        <is>
          <t>USD-PKR</t>
        </is>
      </c>
      <c r="E964" s="49" t="inlineStr">
        <is>
          <t>USD</t>
        </is>
      </c>
      <c r="F964" s="7" t="n">
        <v>223.2471967936865</v>
      </c>
      <c r="G964" s="8" t="n">
        <v>0.8</v>
      </c>
      <c r="H964" s="7" t="n">
        <v>178.5977574349492</v>
      </c>
      <c r="I964" s="7" t="n">
        <v>1.6</v>
      </c>
      <c r="J964" s="9" t="n">
        <v>0.019</v>
      </c>
      <c r="K964" s="49" t="inlineStr">
        <is>
          <t>Success</t>
        </is>
      </c>
      <c r="L964" s="7" t="n">
        <v>0.2678966361524239</v>
      </c>
      <c r="M964" s="7" t="n">
        <v>0.5357932723048477</v>
      </c>
      <c r="N964" s="7" t="n">
        <v>2.143173089219391</v>
      </c>
    </row>
    <row r="965" ht="18" customHeight="1">
      <c r="A965" s="49" t="inlineStr">
        <is>
          <t>ACE-10964</t>
        </is>
      </c>
      <c r="B965" s="49" t="inlineStr">
        <is>
          <t>2026-05-07 17:41:06</t>
        </is>
      </c>
      <c r="C965" s="49" t="inlineStr">
        <is>
          <t>CUST-78939</t>
        </is>
      </c>
      <c r="D965" s="49" t="inlineStr">
        <is>
          <t>USD-PKR</t>
        </is>
      </c>
      <c r="E965" s="49" t="inlineStr">
        <is>
          <t>USD</t>
        </is>
      </c>
      <c r="F965" s="7" t="n">
        <v>234.9864662619793</v>
      </c>
      <c r="G965" s="8" t="n">
        <v>0.8</v>
      </c>
      <c r="H965" s="7" t="n">
        <v>187.9891730095835</v>
      </c>
      <c r="I965" s="7" t="n">
        <v>1.6</v>
      </c>
      <c r="J965" s="9" t="n">
        <v>0.019</v>
      </c>
      <c r="K965" s="49" t="inlineStr">
        <is>
          <t>Success</t>
        </is>
      </c>
      <c r="L965" s="7" t="n">
        <v>0.2819837595143752</v>
      </c>
      <c r="M965" s="7" t="n">
        <v>0</v>
      </c>
      <c r="N965" s="7" t="n">
        <v>2.255870076115002</v>
      </c>
    </row>
    <row r="966" ht="18" customHeight="1">
      <c r="A966" s="49" t="inlineStr">
        <is>
          <t>ACE-10965</t>
        </is>
      </c>
      <c r="B966" s="49" t="inlineStr">
        <is>
          <t>2026-05-03 09:36:46</t>
        </is>
      </c>
      <c r="C966" s="49" t="inlineStr">
        <is>
          <t>CUST-66423</t>
        </is>
      </c>
      <c r="D966" s="49" t="inlineStr">
        <is>
          <t>GBP-PKR</t>
        </is>
      </c>
      <c r="E966" s="49" t="inlineStr">
        <is>
          <t>GBP</t>
        </is>
      </c>
      <c r="F966" s="7" t="n">
        <v>276.1146101640433</v>
      </c>
      <c r="G966" s="8" t="n">
        <v>1</v>
      </c>
      <c r="H966" s="7" t="n">
        <v>276.1146101640433</v>
      </c>
      <c r="I966" s="7" t="n">
        <v>1.5</v>
      </c>
      <c r="J966" s="9" t="n">
        <v>0.021</v>
      </c>
      <c r="K966" s="49" t="inlineStr">
        <is>
          <t>Success</t>
        </is>
      </c>
      <c r="L966" s="7" t="n">
        <v>0.414171915246065</v>
      </c>
      <c r="M966" s="7" t="n">
        <v>0</v>
      </c>
      <c r="N966" s="7" t="n">
        <v>3.31337532196852</v>
      </c>
    </row>
    <row r="967" ht="18" customHeight="1">
      <c r="A967" s="49" t="inlineStr">
        <is>
          <t>ACE-10966</t>
        </is>
      </c>
      <c r="B967" s="49" t="inlineStr">
        <is>
          <t>2026-05-16 10:41:40</t>
        </is>
      </c>
      <c r="C967" s="49" t="inlineStr">
        <is>
          <t>CUST-50056</t>
        </is>
      </c>
      <c r="D967" s="49" t="inlineStr">
        <is>
          <t>GBP-PKR</t>
        </is>
      </c>
      <c r="E967" s="49" t="inlineStr">
        <is>
          <t>GBP</t>
        </is>
      </c>
      <c r="F967" s="7" t="n">
        <v>321.7585194858538</v>
      </c>
      <c r="G967" s="8" t="n">
        <v>1</v>
      </c>
      <c r="H967" s="7" t="n">
        <v>321.7585194858538</v>
      </c>
      <c r="I967" s="7" t="n">
        <v>1.5</v>
      </c>
      <c r="J967" s="9" t="n">
        <v>0.021</v>
      </c>
      <c r="K967" s="49" t="inlineStr">
        <is>
          <t>Success</t>
        </is>
      </c>
      <c r="L967" s="7" t="n">
        <v>0.4826377792287807</v>
      </c>
      <c r="M967" s="7" t="n">
        <v>0.9652755584575614</v>
      </c>
      <c r="N967" s="7" t="n">
        <v>3.861102233830246</v>
      </c>
    </row>
    <row r="968" ht="18" customHeight="1">
      <c r="A968" s="49" t="inlineStr">
        <is>
          <t>ACE-10967</t>
        </is>
      </c>
      <c r="B968" s="49" t="inlineStr">
        <is>
          <t>2026-05-09 10:44:21</t>
        </is>
      </c>
      <c r="C968" s="49" t="inlineStr">
        <is>
          <t>CUST-75646</t>
        </is>
      </c>
      <c r="D968" s="49" t="inlineStr">
        <is>
          <t>GBP-PKR</t>
        </is>
      </c>
      <c r="E968" s="49" t="inlineStr">
        <is>
          <t>GBP</t>
        </is>
      </c>
      <c r="F968" s="7" t="n">
        <v>260.3821534801514</v>
      </c>
      <c r="G968" s="8" t="n">
        <v>1</v>
      </c>
      <c r="H968" s="7" t="n">
        <v>260.3821534801514</v>
      </c>
      <c r="I968" s="7" t="n">
        <v>1.5</v>
      </c>
      <c r="J968" s="9" t="n">
        <v>0.021</v>
      </c>
      <c r="K968" s="49" t="inlineStr">
        <is>
          <t>Success</t>
        </is>
      </c>
      <c r="L968" s="7" t="n">
        <v>0.3905732302202272</v>
      </c>
      <c r="M968" s="7" t="n">
        <v>0</v>
      </c>
      <c r="N968" s="7" t="n">
        <v>3.124585841761817</v>
      </c>
    </row>
    <row r="969" ht="18" customHeight="1">
      <c r="A969" s="49" t="inlineStr">
        <is>
          <t>ACE-10968</t>
        </is>
      </c>
      <c r="B969" s="49" t="inlineStr">
        <is>
          <t>2026-05-16 15:27:25</t>
        </is>
      </c>
      <c r="C969" s="49" t="inlineStr">
        <is>
          <t>CUST-97694</t>
        </is>
      </c>
      <c r="D969" s="49" t="inlineStr">
        <is>
          <t>GBP-PKR</t>
        </is>
      </c>
      <c r="E969" s="49" t="inlineStr">
        <is>
          <t>GBP</t>
        </is>
      </c>
      <c r="F969" s="7" t="n">
        <v>333.5803101665988</v>
      </c>
      <c r="G969" s="8" t="n">
        <v>1</v>
      </c>
      <c r="H969" s="7" t="n">
        <v>333.5803101665988</v>
      </c>
      <c r="I969" s="7" t="n">
        <v>1.5</v>
      </c>
      <c r="J969" s="9" t="n">
        <v>0.021</v>
      </c>
      <c r="K969" s="49" t="inlineStr">
        <is>
          <t>Success</t>
        </is>
      </c>
      <c r="L969" s="7" t="n">
        <v>0.5003704652498983</v>
      </c>
      <c r="M969" s="7" t="n">
        <v>1.000740930499797</v>
      </c>
      <c r="N969" s="7" t="n">
        <v>4.002963721999186</v>
      </c>
    </row>
    <row r="970" ht="18" customHeight="1">
      <c r="A970" s="49" t="inlineStr">
        <is>
          <t>ACE-10969</t>
        </is>
      </c>
      <c r="B970" s="49" t="inlineStr">
        <is>
          <t>2026-05-18 11:00:24</t>
        </is>
      </c>
      <c r="C970" s="49" t="inlineStr">
        <is>
          <t>CUST-95171</t>
        </is>
      </c>
      <c r="D970" s="49" t="inlineStr">
        <is>
          <t>GBP-PKR</t>
        </is>
      </c>
      <c r="E970" s="49" t="inlineStr">
        <is>
          <t>GBP</t>
        </is>
      </c>
      <c r="F970" s="7" t="n">
        <v>277.4869230979628</v>
      </c>
      <c r="G970" s="8" t="n">
        <v>1</v>
      </c>
      <c r="H970" s="7" t="n">
        <v>277.4869230979628</v>
      </c>
      <c r="I970" s="7" t="n">
        <v>1.5</v>
      </c>
      <c r="J970" s="9" t="n">
        <v>0.021</v>
      </c>
      <c r="K970" s="49" t="inlineStr">
        <is>
          <t>Success</t>
        </is>
      </c>
      <c r="L970" s="7" t="n">
        <v>0.4162303846469442</v>
      </c>
      <c r="M970" s="7" t="n">
        <v>0</v>
      </c>
      <c r="N970" s="7" t="n">
        <v>3.329843077175554</v>
      </c>
    </row>
    <row r="971" ht="18" customHeight="1">
      <c r="A971" s="49" t="inlineStr">
        <is>
          <t>ACE-10970</t>
        </is>
      </c>
      <c r="B971" s="49" t="inlineStr">
        <is>
          <t>2026-05-19 16:59:22</t>
        </is>
      </c>
      <c r="C971" s="49" t="inlineStr">
        <is>
          <t>CUST-71852</t>
        </is>
      </c>
      <c r="D971" s="49" t="inlineStr">
        <is>
          <t>EUR-PKR</t>
        </is>
      </c>
      <c r="E971" s="49" t="inlineStr">
        <is>
          <t>EUR</t>
        </is>
      </c>
      <c r="F971" s="7" t="n">
        <v>163.84921135971</v>
      </c>
      <c r="G971" s="8" t="n">
        <v>0.85</v>
      </c>
      <c r="H971" s="7" t="n">
        <v>139.2718296557535</v>
      </c>
      <c r="I971" s="7" t="n">
        <v>1.275</v>
      </c>
      <c r="J971" s="9" t="n">
        <v>0.023</v>
      </c>
      <c r="K971" s="49" t="inlineStr">
        <is>
          <t>Success</t>
        </is>
      </c>
      <c r="L971" s="7" t="n">
        <v>0.2089077444836303</v>
      </c>
      <c r="M971" s="7" t="n">
        <v>0</v>
      </c>
      <c r="N971" s="7" t="n">
        <v>2.089077444836303</v>
      </c>
    </row>
    <row r="972" ht="18" customHeight="1">
      <c r="A972" s="49" t="inlineStr">
        <is>
          <t>ACE-10971</t>
        </is>
      </c>
      <c r="B972" s="49" t="inlineStr">
        <is>
          <t>2026-05-21 18:05:23</t>
        </is>
      </c>
      <c r="C972" s="49" t="inlineStr">
        <is>
          <t>CUST-85037</t>
        </is>
      </c>
      <c r="D972" s="49" t="inlineStr">
        <is>
          <t>USD-PKR</t>
        </is>
      </c>
      <c r="E972" s="49" t="inlineStr">
        <is>
          <t>USD</t>
        </is>
      </c>
      <c r="F972" s="7" t="n">
        <v>221.7250249620071</v>
      </c>
      <c r="G972" s="8" t="n">
        <v>0.8</v>
      </c>
      <c r="H972" s="7" t="n">
        <v>177.3800199696057</v>
      </c>
      <c r="I972" s="7" t="n">
        <v>1.6</v>
      </c>
      <c r="J972" s="9" t="n">
        <v>0.019</v>
      </c>
      <c r="K972" s="49" t="inlineStr">
        <is>
          <t>Success</t>
        </is>
      </c>
      <c r="L972" s="7" t="n">
        <v>0.2660700299544085</v>
      </c>
      <c r="M972" s="7" t="n">
        <v>0</v>
      </c>
      <c r="N972" s="7" t="n">
        <v>2.128560239635268</v>
      </c>
    </row>
    <row r="973" ht="18" customHeight="1">
      <c r="A973" s="49" t="inlineStr">
        <is>
          <t>ACE-10972</t>
        </is>
      </c>
      <c r="B973" s="49" t="inlineStr">
        <is>
          <t>2026-05-15 20:49:18</t>
        </is>
      </c>
      <c r="C973" s="49" t="inlineStr">
        <is>
          <t>CUST-92453</t>
        </is>
      </c>
      <c r="D973" s="49" t="inlineStr">
        <is>
          <t>GBP-PKR</t>
        </is>
      </c>
      <c r="E973" s="49" t="inlineStr">
        <is>
          <t>GBP</t>
        </is>
      </c>
      <c r="F973" s="7" t="n">
        <v>260.2608604400205</v>
      </c>
      <c r="G973" s="8" t="n">
        <v>1</v>
      </c>
      <c r="H973" s="7" t="n">
        <v>260.2608604400205</v>
      </c>
      <c r="I973" s="7" t="n">
        <v>1.5</v>
      </c>
      <c r="J973" s="9" t="n">
        <v>0.021</v>
      </c>
      <c r="K973" s="49" t="inlineStr">
        <is>
          <t>Success</t>
        </is>
      </c>
      <c r="L973" s="7" t="n">
        <v>0.3903912906600307</v>
      </c>
      <c r="M973" s="7" t="n">
        <v>0</v>
      </c>
      <c r="N973" s="7" t="n">
        <v>3.123130325280246</v>
      </c>
    </row>
    <row r="974" ht="18" customHeight="1">
      <c r="A974" s="49" t="inlineStr">
        <is>
          <t>ACE-10973</t>
        </is>
      </c>
      <c r="B974" s="49" t="inlineStr">
        <is>
          <t>2026-05-13 18:12:19</t>
        </is>
      </c>
      <c r="C974" s="49" t="inlineStr">
        <is>
          <t>CUST-95605</t>
        </is>
      </c>
      <c r="D974" s="49" t="inlineStr">
        <is>
          <t>USD-PKR</t>
        </is>
      </c>
      <c r="E974" s="49" t="inlineStr">
        <is>
          <t>USD</t>
        </is>
      </c>
      <c r="F974" s="7" t="n">
        <v>238.1002732814361</v>
      </c>
      <c r="G974" s="8" t="n">
        <v>0.8</v>
      </c>
      <c r="H974" s="7" t="n">
        <v>190.4802186251489</v>
      </c>
      <c r="I974" s="7" t="n">
        <v>1.6</v>
      </c>
      <c r="J974" s="9" t="n">
        <v>0.019</v>
      </c>
      <c r="K974" s="49" t="inlineStr">
        <is>
          <t>Success</t>
        </is>
      </c>
      <c r="L974" s="7" t="n">
        <v>0.2857203279377233</v>
      </c>
      <c r="M974" s="7" t="n">
        <v>0</v>
      </c>
      <c r="N974" s="7" t="n">
        <v>2.285762623501786</v>
      </c>
    </row>
    <row r="975" ht="18" customHeight="1">
      <c r="A975" s="49" t="inlineStr">
        <is>
          <t>ACE-10974</t>
        </is>
      </c>
      <c r="B975" s="49" t="inlineStr">
        <is>
          <t>2026-05-23 13:31:05</t>
        </is>
      </c>
      <c r="C975" s="49" t="inlineStr">
        <is>
          <t>CUST-91470</t>
        </is>
      </c>
      <c r="D975" s="49" t="inlineStr">
        <is>
          <t>GBP-PKR</t>
        </is>
      </c>
      <c r="E975" s="49" t="inlineStr">
        <is>
          <t>GBP</t>
        </is>
      </c>
      <c r="F975" s="7" t="n">
        <v>261.0017742621894</v>
      </c>
      <c r="G975" s="8" t="n">
        <v>1</v>
      </c>
      <c r="H975" s="7" t="n">
        <v>261.0017742621894</v>
      </c>
      <c r="I975" s="7" t="n">
        <v>1.5</v>
      </c>
      <c r="J975" s="9" t="n">
        <v>0.021</v>
      </c>
      <c r="K975" s="49" t="inlineStr">
        <is>
          <t>Success</t>
        </is>
      </c>
      <c r="L975" s="7" t="n">
        <v>0.3915026613932842</v>
      </c>
      <c r="M975" s="7" t="n">
        <v>0</v>
      </c>
      <c r="N975" s="7" t="n">
        <v>3.132021291146273</v>
      </c>
    </row>
    <row r="976" ht="18" customHeight="1">
      <c r="A976" s="49" t="inlineStr">
        <is>
          <t>ACE-10975</t>
        </is>
      </c>
      <c r="B976" s="49" t="inlineStr">
        <is>
          <t>2026-05-02 11:01:46</t>
        </is>
      </c>
      <c r="C976" s="49" t="inlineStr">
        <is>
          <t>CUST-88859</t>
        </is>
      </c>
      <c r="D976" s="49" t="inlineStr">
        <is>
          <t>GBP-PKR</t>
        </is>
      </c>
      <c r="E976" s="49" t="inlineStr">
        <is>
          <t>GBP</t>
        </is>
      </c>
      <c r="F976" s="7" t="n">
        <v>266.4459103183082</v>
      </c>
      <c r="G976" s="8" t="n">
        <v>1</v>
      </c>
      <c r="H976" s="7" t="n">
        <v>266.4459103183082</v>
      </c>
      <c r="I976" s="7" t="n">
        <v>1.5</v>
      </c>
      <c r="J976" s="9" t="n">
        <v>0.021</v>
      </c>
      <c r="K976" s="49" t="inlineStr">
        <is>
          <t>Success</t>
        </is>
      </c>
      <c r="L976" s="7" t="n">
        <v>0.3996688654774623</v>
      </c>
      <c r="M976" s="7" t="n">
        <v>0</v>
      </c>
      <c r="N976" s="7" t="n">
        <v>3.197350923819698</v>
      </c>
    </row>
    <row r="977" ht="18" customHeight="1">
      <c r="A977" s="49" t="inlineStr">
        <is>
          <t>ACE-10976</t>
        </is>
      </c>
      <c r="B977" s="49" t="inlineStr">
        <is>
          <t>2026-05-18 18:19:31</t>
        </is>
      </c>
      <c r="C977" s="49" t="inlineStr">
        <is>
          <t>CUST-84992</t>
        </is>
      </c>
      <c r="D977" s="49" t="inlineStr">
        <is>
          <t>GBP-PKR</t>
        </is>
      </c>
      <c r="E977" s="49" t="inlineStr">
        <is>
          <t>GBP</t>
        </is>
      </c>
      <c r="F977" s="7" t="n">
        <v>230.6348052948639</v>
      </c>
      <c r="G977" s="8" t="n">
        <v>1</v>
      </c>
      <c r="H977" s="7" t="n">
        <v>230.6348052948639</v>
      </c>
      <c r="I977" s="7" t="n">
        <v>1.5</v>
      </c>
      <c r="J977" s="9" t="n">
        <v>0.021</v>
      </c>
      <c r="K977" s="49" t="inlineStr">
        <is>
          <t>Success</t>
        </is>
      </c>
      <c r="L977" s="7" t="n">
        <v>0.3459522079422959</v>
      </c>
      <c r="M977" s="7" t="n">
        <v>0.6919044158845917</v>
      </c>
      <c r="N977" s="7" t="n">
        <v>2.767617663538367</v>
      </c>
    </row>
    <row r="978" ht="18" customHeight="1">
      <c r="A978" s="49" t="inlineStr">
        <is>
          <t>ACE-10977</t>
        </is>
      </c>
      <c r="B978" s="49" t="inlineStr">
        <is>
          <t>2026-05-01 08:21:03</t>
        </is>
      </c>
      <c r="C978" s="49" t="inlineStr">
        <is>
          <t>CUST-72132</t>
        </is>
      </c>
      <c r="D978" s="49" t="inlineStr">
        <is>
          <t>GBP-PKR</t>
        </is>
      </c>
      <c r="E978" s="49" t="inlineStr">
        <is>
          <t>GBP</t>
        </is>
      </c>
      <c r="F978" s="7" t="n">
        <v>266.2828184587283</v>
      </c>
      <c r="G978" s="8" t="n">
        <v>1</v>
      </c>
      <c r="H978" s="7" t="n">
        <v>266.2828184587283</v>
      </c>
      <c r="I978" s="7" t="n">
        <v>1.5</v>
      </c>
      <c r="J978" s="9" t="n">
        <v>0.021</v>
      </c>
      <c r="K978" s="49" t="inlineStr">
        <is>
          <t>Success</t>
        </is>
      </c>
      <c r="L978" s="7" t="n">
        <v>0.3994242276880925</v>
      </c>
      <c r="M978" s="7" t="n">
        <v>0</v>
      </c>
      <c r="N978" s="7" t="n">
        <v>3.19539382150474</v>
      </c>
    </row>
    <row r="979" ht="18" customHeight="1">
      <c r="A979" s="49" t="inlineStr">
        <is>
          <t>ACE-10978</t>
        </is>
      </c>
      <c r="B979" s="49" t="inlineStr">
        <is>
          <t>2026-05-04 11:51:41</t>
        </is>
      </c>
      <c r="C979" s="49" t="inlineStr">
        <is>
          <t>CUST-93733</t>
        </is>
      </c>
      <c r="D979" s="49" t="inlineStr">
        <is>
          <t>GBP-PKR</t>
        </is>
      </c>
      <c r="E979" s="49" t="inlineStr">
        <is>
          <t>GBP</t>
        </is>
      </c>
      <c r="F979" s="7" t="n">
        <v>218.6345622473752</v>
      </c>
      <c r="G979" s="8" t="n">
        <v>1</v>
      </c>
      <c r="H979" s="7" t="n">
        <v>218.6345622473752</v>
      </c>
      <c r="I979" s="7" t="n">
        <v>1.5</v>
      </c>
      <c r="J979" s="9" t="n">
        <v>0.021</v>
      </c>
      <c r="K979" s="49" t="inlineStr">
        <is>
          <t>Success</t>
        </is>
      </c>
      <c r="L979" s="7" t="n">
        <v>0.3279518433710628</v>
      </c>
      <c r="M979" s="7" t="n">
        <v>0.6559036867421256</v>
      </c>
      <c r="N979" s="7" t="n">
        <v>2.623614746968502</v>
      </c>
    </row>
    <row r="980" ht="18" customHeight="1">
      <c r="A980" s="49" t="inlineStr">
        <is>
          <t>ACE-10979</t>
        </is>
      </c>
      <c r="B980" s="49" t="inlineStr">
        <is>
          <t>2026-05-18 10:47:37</t>
        </is>
      </c>
      <c r="C980" s="49" t="inlineStr">
        <is>
          <t>CUST-65268</t>
        </is>
      </c>
      <c r="D980" s="49" t="inlineStr">
        <is>
          <t>GBP-PKR</t>
        </is>
      </c>
      <c r="E980" s="49" t="inlineStr">
        <is>
          <t>GBP</t>
        </is>
      </c>
      <c r="F980" s="7" t="n">
        <v>237.7927083467122</v>
      </c>
      <c r="G980" s="8" t="n">
        <v>1</v>
      </c>
      <c r="H980" s="7" t="n">
        <v>237.7927083467122</v>
      </c>
      <c r="I980" s="7" t="n">
        <v>1.5</v>
      </c>
      <c r="J980" s="9" t="n">
        <v>0.021</v>
      </c>
      <c r="K980" s="49" t="inlineStr">
        <is>
          <t>Success</t>
        </is>
      </c>
      <c r="L980" s="7" t="n">
        <v>0.3566890625200683</v>
      </c>
      <c r="M980" s="7" t="n">
        <v>0</v>
      </c>
      <c r="N980" s="7" t="n">
        <v>2.853512500160546</v>
      </c>
    </row>
    <row r="981" ht="18" customHeight="1">
      <c r="A981" s="49" t="inlineStr">
        <is>
          <t>ACE-10980</t>
        </is>
      </c>
      <c r="B981" s="49" t="inlineStr">
        <is>
          <t>2026-05-05 15:41:01</t>
        </is>
      </c>
      <c r="C981" s="49" t="inlineStr">
        <is>
          <t>CUST-80881</t>
        </is>
      </c>
      <c r="D981" s="49" t="inlineStr">
        <is>
          <t>GBP-PKR</t>
        </is>
      </c>
      <c r="E981" s="49" t="inlineStr">
        <is>
          <t>GBP</t>
        </is>
      </c>
      <c r="F981" s="7" t="n">
        <v>300.6152081790191</v>
      </c>
      <c r="G981" s="8" t="n">
        <v>1</v>
      </c>
      <c r="H981" s="7" t="n">
        <v>300.6152081790191</v>
      </c>
      <c r="I981" s="7" t="n">
        <v>1.5</v>
      </c>
      <c r="J981" s="9" t="n">
        <v>0.021</v>
      </c>
      <c r="K981" s="49" t="inlineStr">
        <is>
          <t>Success</t>
        </is>
      </c>
      <c r="L981" s="7" t="n">
        <v>0.4509228122685287</v>
      </c>
      <c r="M981" s="7" t="n">
        <v>0.9018456245370574</v>
      </c>
      <c r="N981" s="7" t="n">
        <v>3.60738249814823</v>
      </c>
    </row>
    <row r="982" ht="18" customHeight="1">
      <c r="A982" s="49" t="inlineStr">
        <is>
          <t>ACE-10981</t>
        </is>
      </c>
      <c r="B982" s="49" t="inlineStr">
        <is>
          <t>2026-05-08 19:41:08</t>
        </is>
      </c>
      <c r="C982" s="49" t="inlineStr">
        <is>
          <t>CUST-50941</t>
        </is>
      </c>
      <c r="D982" s="49" t="inlineStr">
        <is>
          <t>GBP-PKR</t>
        </is>
      </c>
      <c r="E982" s="49" t="inlineStr">
        <is>
          <t>GBP</t>
        </is>
      </c>
      <c r="F982" s="7" t="n">
        <v>301.3793044291211</v>
      </c>
      <c r="G982" s="8" t="n">
        <v>1</v>
      </c>
      <c r="H982" s="7" t="n">
        <v>301.3793044291211</v>
      </c>
      <c r="I982" s="7" t="n">
        <v>1.5</v>
      </c>
      <c r="J982" s="9" t="n">
        <v>0.021</v>
      </c>
      <c r="K982" s="49" t="inlineStr">
        <is>
          <t>Success</t>
        </is>
      </c>
      <c r="L982" s="7" t="n">
        <v>0.4520689566436816</v>
      </c>
      <c r="M982" s="7" t="n">
        <v>0</v>
      </c>
      <c r="N982" s="7" t="n">
        <v>3.616551653149453</v>
      </c>
    </row>
    <row r="983" ht="18" customHeight="1">
      <c r="A983" s="49" t="inlineStr">
        <is>
          <t>ACE-10982</t>
        </is>
      </c>
      <c r="B983" s="49" t="inlineStr">
        <is>
          <t>2026-05-10 20:06:29</t>
        </is>
      </c>
      <c r="C983" s="49" t="inlineStr">
        <is>
          <t>CUST-90057</t>
        </is>
      </c>
      <c r="D983" s="49" t="inlineStr">
        <is>
          <t>GBP-PKR</t>
        </is>
      </c>
      <c r="E983" s="49" t="inlineStr">
        <is>
          <t>GBP</t>
        </is>
      </c>
      <c r="F983" s="7" t="n">
        <v>290.7126607789913</v>
      </c>
      <c r="G983" s="8" t="n">
        <v>1</v>
      </c>
      <c r="H983" s="7" t="n">
        <v>290.7126607789913</v>
      </c>
      <c r="I983" s="7" t="n">
        <v>1.5</v>
      </c>
      <c r="J983" s="9" t="n">
        <v>0.021</v>
      </c>
      <c r="K983" s="49" t="inlineStr">
        <is>
          <t>Success</t>
        </is>
      </c>
      <c r="L983" s="7" t="n">
        <v>0.4360689911684869</v>
      </c>
      <c r="M983" s="7" t="n">
        <v>0</v>
      </c>
      <c r="N983" s="7" t="n">
        <v>3.488551929347895</v>
      </c>
    </row>
    <row r="984" ht="18" customHeight="1">
      <c r="A984" s="49" t="inlineStr">
        <is>
          <t>ACE-10983</t>
        </is>
      </c>
      <c r="B984" s="49" t="inlineStr">
        <is>
          <t>2026-05-04 09:31:38</t>
        </is>
      </c>
      <c r="C984" s="49" t="inlineStr">
        <is>
          <t>CUST-90345</t>
        </is>
      </c>
      <c r="D984" s="49" t="inlineStr">
        <is>
          <t>GBP-PKR</t>
        </is>
      </c>
      <c r="E984" s="49" t="inlineStr">
        <is>
          <t>GBP</t>
        </is>
      </c>
      <c r="F984" s="7" t="n">
        <v>252.9247437275091</v>
      </c>
      <c r="G984" s="8" t="n">
        <v>1</v>
      </c>
      <c r="H984" s="7" t="n">
        <v>252.9247437275091</v>
      </c>
      <c r="I984" s="7" t="n">
        <v>1.5</v>
      </c>
      <c r="J984" s="9" t="n">
        <v>0.021</v>
      </c>
      <c r="K984" s="49" t="inlineStr">
        <is>
          <t>Success</t>
        </is>
      </c>
      <c r="L984" s="7" t="n">
        <v>0.3793871155912637</v>
      </c>
      <c r="M984" s="7" t="n">
        <v>0.7587742311825274</v>
      </c>
      <c r="N984" s="7" t="n">
        <v>3.03509692473011</v>
      </c>
    </row>
    <row r="985" ht="18" customHeight="1">
      <c r="A985" s="49" t="inlineStr">
        <is>
          <t>ACE-10984</t>
        </is>
      </c>
      <c r="B985" s="49" t="inlineStr">
        <is>
          <t>2026-05-14 13:51:53</t>
        </is>
      </c>
      <c r="C985" s="49" t="inlineStr">
        <is>
          <t>CUST-98360</t>
        </is>
      </c>
      <c r="D985" s="49" t="inlineStr">
        <is>
          <t>GBP-PKR</t>
        </is>
      </c>
      <c r="E985" s="49" t="inlineStr">
        <is>
          <t>GBP</t>
        </is>
      </c>
      <c r="F985" s="7" t="n">
        <v>277.2774051115949</v>
      </c>
      <c r="G985" s="8" t="n">
        <v>1</v>
      </c>
      <c r="H985" s="7" t="n">
        <v>277.2774051115949</v>
      </c>
      <c r="I985" s="7" t="n">
        <v>1.5</v>
      </c>
      <c r="J985" s="9" t="n">
        <v>0.021</v>
      </c>
      <c r="K985" s="49" t="inlineStr">
        <is>
          <t>Success</t>
        </is>
      </c>
      <c r="L985" s="7" t="n">
        <v>0.4159161076673923</v>
      </c>
      <c r="M985" s="7" t="n">
        <v>0</v>
      </c>
      <c r="N985" s="7" t="n">
        <v>3.327328861339139</v>
      </c>
    </row>
    <row r="986" ht="18" customHeight="1">
      <c r="A986" s="49" t="inlineStr">
        <is>
          <t>ACE-10985</t>
        </is>
      </c>
      <c r="B986" s="49" t="inlineStr">
        <is>
          <t>2026-05-22 17:34:08</t>
        </is>
      </c>
      <c r="C986" s="49" t="inlineStr">
        <is>
          <t>CUST-71075</t>
        </is>
      </c>
      <c r="D986" s="49" t="inlineStr">
        <is>
          <t>GBP-PKR</t>
        </is>
      </c>
      <c r="E986" s="49" t="inlineStr">
        <is>
          <t>GBP</t>
        </is>
      </c>
      <c r="F986" s="7" t="n">
        <v>278.5031442529088</v>
      </c>
      <c r="G986" s="8" t="n">
        <v>1</v>
      </c>
      <c r="H986" s="7" t="n">
        <v>278.5031442529088</v>
      </c>
      <c r="I986" s="7" t="n">
        <v>1.5</v>
      </c>
      <c r="J986" s="9" t="n">
        <v>0.021</v>
      </c>
      <c r="K986" s="49" t="inlineStr">
        <is>
          <t>Success</t>
        </is>
      </c>
      <c r="L986" s="7" t="n">
        <v>0.4177547163793633</v>
      </c>
      <c r="M986" s="7" t="n">
        <v>0.8355094327587266</v>
      </c>
      <c r="N986" s="7" t="n">
        <v>3.342037731034906</v>
      </c>
    </row>
    <row r="987" ht="18" customHeight="1">
      <c r="A987" s="49" t="inlineStr">
        <is>
          <t>ACE-10986</t>
        </is>
      </c>
      <c r="B987" s="49" t="inlineStr">
        <is>
          <t>2026-05-02 17:11:21</t>
        </is>
      </c>
      <c r="C987" s="49" t="inlineStr">
        <is>
          <t>CUST-54143</t>
        </is>
      </c>
      <c r="D987" s="49" t="inlineStr">
        <is>
          <t>GBP-PKR</t>
        </is>
      </c>
      <c r="E987" s="49" t="inlineStr">
        <is>
          <t>GBP</t>
        </is>
      </c>
      <c r="F987" s="7" t="n">
        <v>248.1300823489192</v>
      </c>
      <c r="G987" s="8" t="n">
        <v>1</v>
      </c>
      <c r="H987" s="7" t="n">
        <v>248.1300823489192</v>
      </c>
      <c r="I987" s="7" t="n">
        <v>1.5</v>
      </c>
      <c r="J987" s="9" t="n">
        <v>0.021</v>
      </c>
      <c r="K987" s="49" t="inlineStr">
        <is>
          <t>Success</t>
        </is>
      </c>
      <c r="L987" s="7" t="n">
        <v>0.3721951235233789</v>
      </c>
      <c r="M987" s="7" t="n">
        <v>0</v>
      </c>
      <c r="N987" s="7" t="n">
        <v>2.977560988187031</v>
      </c>
    </row>
    <row r="988" ht="18" customHeight="1">
      <c r="A988" s="49" t="inlineStr">
        <is>
          <t>ACE-10987</t>
        </is>
      </c>
      <c r="B988" s="49" t="inlineStr">
        <is>
          <t>2026-05-14 10:44:23</t>
        </is>
      </c>
      <c r="C988" s="49" t="inlineStr">
        <is>
          <t>CUST-86268</t>
        </is>
      </c>
      <c r="D988" s="49" t="inlineStr">
        <is>
          <t>GBP-PKR</t>
        </is>
      </c>
      <c r="E988" s="49" t="inlineStr">
        <is>
          <t>GBP</t>
        </is>
      </c>
      <c r="F988" s="7" t="n">
        <v>323.8010983646295</v>
      </c>
      <c r="G988" s="8" t="n">
        <v>1</v>
      </c>
      <c r="H988" s="7" t="n">
        <v>323.8010983646295</v>
      </c>
      <c r="I988" s="7" t="n">
        <v>1.5</v>
      </c>
      <c r="J988" s="9" t="n">
        <v>0.021</v>
      </c>
      <c r="K988" s="49" t="inlineStr">
        <is>
          <t>Success</t>
        </is>
      </c>
      <c r="L988" s="7" t="n">
        <v>0.4857016475469442</v>
      </c>
      <c r="M988" s="7" t="n">
        <v>0</v>
      </c>
      <c r="N988" s="7" t="n">
        <v>3.885613180375554</v>
      </c>
    </row>
    <row r="989" ht="18" customHeight="1">
      <c r="A989" s="49" t="inlineStr">
        <is>
          <t>ACE-10988</t>
        </is>
      </c>
      <c r="B989" s="49" t="inlineStr">
        <is>
          <t>2026-05-19 08:08:06</t>
        </is>
      </c>
      <c r="C989" s="49" t="inlineStr">
        <is>
          <t>CUST-91431</t>
        </is>
      </c>
      <c r="D989" s="49" t="inlineStr">
        <is>
          <t>EUR-PKR</t>
        </is>
      </c>
      <c r="E989" s="49" t="inlineStr">
        <is>
          <t>EUR</t>
        </is>
      </c>
      <c r="F989" s="7" t="n">
        <v>206.3884971553808</v>
      </c>
      <c r="G989" s="8" t="n">
        <v>0.85</v>
      </c>
      <c r="H989" s="7" t="n">
        <v>175.4302225820737</v>
      </c>
      <c r="I989" s="7" t="n">
        <v>1.275</v>
      </c>
      <c r="J989" s="9" t="n">
        <v>0.023</v>
      </c>
      <c r="K989" s="49" t="inlineStr">
        <is>
          <t>Success</t>
        </is>
      </c>
      <c r="L989" s="7" t="n">
        <v>0.2631453338731105</v>
      </c>
      <c r="M989" s="7" t="n">
        <v>0.526290667746221</v>
      </c>
      <c r="N989" s="7" t="n">
        <v>2.631453338731105</v>
      </c>
    </row>
    <row r="990" ht="18" customHeight="1">
      <c r="A990" s="49" t="inlineStr">
        <is>
          <t>ACE-10989</t>
        </is>
      </c>
      <c r="B990" s="49" t="inlineStr">
        <is>
          <t>2026-05-01 15:05:00</t>
        </is>
      </c>
      <c r="C990" s="49" t="inlineStr">
        <is>
          <t>CUST-50473</t>
        </is>
      </c>
      <c r="D990" s="49" t="inlineStr">
        <is>
          <t>USD-PKR</t>
        </is>
      </c>
      <c r="E990" s="49" t="inlineStr">
        <is>
          <t>USD</t>
        </is>
      </c>
      <c r="F990" s="7" t="n">
        <v>214.1188273630863</v>
      </c>
      <c r="G990" s="8" t="n">
        <v>0.8</v>
      </c>
      <c r="H990" s="7" t="n">
        <v>171.295061890469</v>
      </c>
      <c r="I990" s="7" t="n">
        <v>1.6</v>
      </c>
      <c r="J990" s="9" t="n">
        <v>0.019</v>
      </c>
      <c r="K990" s="49" t="inlineStr">
        <is>
          <t>Success</t>
        </is>
      </c>
      <c r="L990" s="7" t="n">
        <v>0.2569425928357035</v>
      </c>
      <c r="M990" s="7" t="n">
        <v>0</v>
      </c>
      <c r="N990" s="7" t="n">
        <v>2.055540742685628</v>
      </c>
    </row>
    <row r="991" ht="18" customHeight="1">
      <c r="A991" s="49" t="inlineStr">
        <is>
          <t>ACE-10990</t>
        </is>
      </c>
      <c r="B991" s="49" t="inlineStr">
        <is>
          <t>2026-05-21 17:56:18</t>
        </is>
      </c>
      <c r="C991" s="49" t="inlineStr">
        <is>
          <t>CUST-77277</t>
        </is>
      </c>
      <c r="D991" s="49" t="inlineStr">
        <is>
          <t>GBP-PKR</t>
        </is>
      </c>
      <c r="E991" s="49" t="inlineStr">
        <is>
          <t>GBP</t>
        </is>
      </c>
      <c r="F991" s="7" t="n">
        <v>279.3535508861041</v>
      </c>
      <c r="G991" s="8" t="n">
        <v>1</v>
      </c>
      <c r="H991" s="7" t="n">
        <v>279.3535508861041</v>
      </c>
      <c r="I991" s="7" t="n">
        <v>1.5</v>
      </c>
      <c r="J991" s="9" t="n">
        <v>0.021</v>
      </c>
      <c r="K991" s="49" t="inlineStr">
        <is>
          <t>Success</t>
        </is>
      </c>
      <c r="L991" s="7" t="n">
        <v>0.4190303263291562</v>
      </c>
      <c r="M991" s="7" t="n">
        <v>0.8380606526583124</v>
      </c>
      <c r="N991" s="7" t="n">
        <v>3.35224261063325</v>
      </c>
    </row>
    <row r="992" ht="18" customHeight="1">
      <c r="A992" s="49" t="inlineStr">
        <is>
          <t>ACE-10991</t>
        </is>
      </c>
      <c r="B992" s="49" t="inlineStr">
        <is>
          <t>2026-05-16 19:08:13</t>
        </is>
      </c>
      <c r="C992" s="49" t="inlineStr">
        <is>
          <t>CUST-59377</t>
        </is>
      </c>
      <c r="D992" s="49" t="inlineStr">
        <is>
          <t>GBP-PKR</t>
        </is>
      </c>
      <c r="E992" s="49" t="inlineStr">
        <is>
          <t>GBP</t>
        </is>
      </c>
      <c r="F992" s="7" t="n">
        <v>284.4700239274337</v>
      </c>
      <c r="G992" s="8" t="n">
        <v>1</v>
      </c>
      <c r="H992" s="7" t="n">
        <v>284.4700239274337</v>
      </c>
      <c r="I992" s="7" t="n">
        <v>1.5</v>
      </c>
      <c r="J992" s="9" t="n">
        <v>0.021</v>
      </c>
      <c r="K992" s="49" t="inlineStr">
        <is>
          <t>Success</t>
        </is>
      </c>
      <c r="L992" s="7" t="n">
        <v>0.4267050358911505</v>
      </c>
      <c r="M992" s="7" t="n">
        <v>0</v>
      </c>
      <c r="N992" s="7" t="n">
        <v>3.413640287129204</v>
      </c>
    </row>
    <row r="993" ht="18" customHeight="1">
      <c r="A993" s="49" t="inlineStr">
        <is>
          <t>ACE-10992</t>
        </is>
      </c>
      <c r="B993" s="49" t="inlineStr">
        <is>
          <t>2026-05-14 11:11:39</t>
        </is>
      </c>
      <c r="C993" s="49" t="inlineStr">
        <is>
          <t>CUST-95329</t>
        </is>
      </c>
      <c r="D993" s="49" t="inlineStr">
        <is>
          <t>USD-PKR</t>
        </is>
      </c>
      <c r="E993" s="49" t="inlineStr">
        <is>
          <t>USD</t>
        </is>
      </c>
      <c r="F993" s="7" t="n">
        <v>178.4759859202915</v>
      </c>
      <c r="G993" s="8" t="n">
        <v>0.8</v>
      </c>
      <c r="H993" s="7" t="n">
        <v>142.7807887362332</v>
      </c>
      <c r="I993" s="7" t="n">
        <v>1.6</v>
      </c>
      <c r="J993" s="9" t="n">
        <v>0.019</v>
      </c>
      <c r="K993" s="49" t="inlineStr">
        <is>
          <t>Success</t>
        </is>
      </c>
      <c r="L993" s="7" t="n">
        <v>0.2141711831043498</v>
      </c>
      <c r="M993" s="7" t="n">
        <v>0</v>
      </c>
      <c r="N993" s="7" t="n">
        <v>1.713369464834799</v>
      </c>
    </row>
    <row r="994" ht="18" customHeight="1">
      <c r="A994" s="49" t="inlineStr">
        <is>
          <t>ACE-10993</t>
        </is>
      </c>
      <c r="B994" s="49" t="inlineStr">
        <is>
          <t>2026-05-16 17:05:40</t>
        </is>
      </c>
      <c r="C994" s="49" t="inlineStr">
        <is>
          <t>CUST-69739</t>
        </is>
      </c>
      <c r="D994" s="49" t="inlineStr">
        <is>
          <t>GBP-PKR</t>
        </is>
      </c>
      <c r="E994" s="49" t="inlineStr">
        <is>
          <t>GBP</t>
        </is>
      </c>
      <c r="F994" s="7" t="n">
        <v>271.8014577217089</v>
      </c>
      <c r="G994" s="8" t="n">
        <v>1</v>
      </c>
      <c r="H994" s="7" t="n">
        <v>271.8014577217089</v>
      </c>
      <c r="I994" s="7" t="n">
        <v>1.5</v>
      </c>
      <c r="J994" s="9" t="n">
        <v>0.021</v>
      </c>
      <c r="K994" s="49" t="inlineStr">
        <is>
          <t>Success</t>
        </is>
      </c>
      <c r="L994" s="7" t="n">
        <v>0.4077021865825634</v>
      </c>
      <c r="M994" s="7" t="n">
        <v>0</v>
      </c>
      <c r="N994" s="7" t="n">
        <v>3.261617492660507</v>
      </c>
    </row>
    <row r="995" ht="18" customHeight="1">
      <c r="A995" s="49" t="inlineStr">
        <is>
          <t>ACE-10994</t>
        </is>
      </c>
      <c r="B995" s="49" t="inlineStr">
        <is>
          <t>2026-05-08 11:07:33</t>
        </is>
      </c>
      <c r="C995" s="49" t="inlineStr">
        <is>
          <t>CUST-56270</t>
        </is>
      </c>
      <c r="D995" s="49" t="inlineStr">
        <is>
          <t>GBP-PKR</t>
        </is>
      </c>
      <c r="E995" s="49" t="inlineStr">
        <is>
          <t>GBP</t>
        </is>
      </c>
      <c r="F995" s="7" t="n">
        <v>260.2365898905688</v>
      </c>
      <c r="G995" s="8" t="n">
        <v>1</v>
      </c>
      <c r="H995" s="7" t="n">
        <v>260.2365898905688</v>
      </c>
      <c r="I995" s="7" t="n">
        <v>1.5</v>
      </c>
      <c r="J995" s="9" t="n">
        <v>0.021</v>
      </c>
      <c r="K995" s="49" t="inlineStr">
        <is>
          <t>Success</t>
        </is>
      </c>
      <c r="L995" s="7" t="n">
        <v>0.3903548848358533</v>
      </c>
      <c r="M995" s="7" t="n">
        <v>0.7807097696717066</v>
      </c>
      <c r="N995" s="7" t="n">
        <v>3.122839078686826</v>
      </c>
    </row>
    <row r="996" ht="18" customHeight="1">
      <c r="A996" s="49" t="inlineStr">
        <is>
          <t>ACE-10995</t>
        </is>
      </c>
      <c r="B996" s="49" t="inlineStr">
        <is>
          <t>2026-05-18 16:14:29</t>
        </is>
      </c>
      <c r="C996" s="49" t="inlineStr">
        <is>
          <t>CUST-91055</t>
        </is>
      </c>
      <c r="D996" s="49" t="inlineStr">
        <is>
          <t>GBP-PKR</t>
        </is>
      </c>
      <c r="E996" s="49" t="inlineStr">
        <is>
          <t>GBP</t>
        </is>
      </c>
      <c r="F996" s="7" t="n">
        <v>252.0500306621662</v>
      </c>
      <c r="G996" s="8" t="n">
        <v>1</v>
      </c>
      <c r="H996" s="7" t="n">
        <v>252.0500306621662</v>
      </c>
      <c r="I996" s="7" t="n">
        <v>1.5</v>
      </c>
      <c r="J996" s="9" t="n">
        <v>0.021</v>
      </c>
      <c r="K996" s="49" t="inlineStr">
        <is>
          <t>Success</t>
        </is>
      </c>
      <c r="L996" s="7" t="n">
        <v>0.3780750459932493</v>
      </c>
      <c r="M996" s="7" t="n">
        <v>0</v>
      </c>
      <c r="N996" s="7" t="n">
        <v>3.024600367945995</v>
      </c>
    </row>
    <row r="997" ht="18" customHeight="1">
      <c r="A997" s="49" t="inlineStr">
        <is>
          <t>ACE-10996</t>
        </is>
      </c>
      <c r="B997" s="49" t="inlineStr">
        <is>
          <t>2026-05-07 09:50:09</t>
        </is>
      </c>
      <c r="C997" s="49" t="inlineStr">
        <is>
          <t>CUST-94908</t>
        </is>
      </c>
      <c r="D997" s="49" t="inlineStr">
        <is>
          <t>GBP-PKR</t>
        </is>
      </c>
      <c r="E997" s="49" t="inlineStr">
        <is>
          <t>GBP</t>
        </is>
      </c>
      <c r="F997" s="7" t="n">
        <v>270.8809902025199</v>
      </c>
      <c r="G997" s="8" t="n">
        <v>1</v>
      </c>
      <c r="H997" s="7" t="n">
        <v>270.8809902025199</v>
      </c>
      <c r="I997" s="7" t="n">
        <v>1.5</v>
      </c>
      <c r="J997" s="9" t="n">
        <v>0.021</v>
      </c>
      <c r="K997" s="49" t="inlineStr">
        <is>
          <t>Success</t>
        </is>
      </c>
      <c r="L997" s="7" t="n">
        <v>0.4063214853037799</v>
      </c>
      <c r="M997" s="7" t="n">
        <v>0.8126429706075597</v>
      </c>
      <c r="N997" s="7" t="n">
        <v>3.250571882430239</v>
      </c>
    </row>
    <row r="998" ht="18" customHeight="1">
      <c r="A998" s="49" t="inlineStr">
        <is>
          <t>ACE-10997</t>
        </is>
      </c>
      <c r="B998" s="49" t="inlineStr">
        <is>
          <t>2026-05-16 10:10:42</t>
        </is>
      </c>
      <c r="C998" s="49" t="inlineStr">
        <is>
          <t>CUST-52825</t>
        </is>
      </c>
      <c r="D998" s="49" t="inlineStr">
        <is>
          <t>USD-PKR</t>
        </is>
      </c>
      <c r="E998" s="49" t="inlineStr">
        <is>
          <t>USD</t>
        </is>
      </c>
      <c r="F998" s="7" t="n">
        <v>262.0135445124596</v>
      </c>
      <c r="G998" s="8" t="n">
        <v>0.8</v>
      </c>
      <c r="H998" s="7" t="n">
        <v>209.6108356099677</v>
      </c>
      <c r="I998" s="7" t="n">
        <v>1.6</v>
      </c>
      <c r="J998" s="9" t="n">
        <v>0.019</v>
      </c>
      <c r="K998" s="49" t="inlineStr">
        <is>
          <t>Success</t>
        </is>
      </c>
      <c r="L998" s="7" t="n">
        <v>0.3144162534149516</v>
      </c>
      <c r="M998" s="7" t="n">
        <v>0</v>
      </c>
      <c r="N998" s="7" t="n">
        <v>2.515330027319613</v>
      </c>
    </row>
    <row r="999" ht="18" customHeight="1">
      <c r="A999" s="49" t="inlineStr">
        <is>
          <t>ACE-10998</t>
        </is>
      </c>
      <c r="B999" s="49" t="inlineStr">
        <is>
          <t>2026-05-07 14:16:21</t>
        </is>
      </c>
      <c r="C999" s="49" t="inlineStr">
        <is>
          <t>CUST-90423</t>
        </is>
      </c>
      <c r="D999" s="49" t="inlineStr">
        <is>
          <t>GBP-PKR</t>
        </is>
      </c>
      <c r="E999" s="49" t="inlineStr">
        <is>
          <t>GBP</t>
        </is>
      </c>
      <c r="F999" s="7" t="n">
        <v>297.0421028804771</v>
      </c>
      <c r="G999" s="8" t="n">
        <v>1</v>
      </c>
      <c r="H999" s="7" t="n">
        <v>297.0421028804771</v>
      </c>
      <c r="I999" s="7" t="n">
        <v>1.5</v>
      </c>
      <c r="J999" s="9" t="n">
        <v>0.021</v>
      </c>
      <c r="K999" s="49" t="inlineStr">
        <is>
          <t>Success</t>
        </is>
      </c>
      <c r="L999" s="7" t="n">
        <v>0.4455631543207156</v>
      </c>
      <c r="M999" s="7" t="n">
        <v>0.8911263086414313</v>
      </c>
      <c r="N999" s="7" t="n">
        <v>3.564505234565725</v>
      </c>
    </row>
    <row r="1000" ht="18" customHeight="1">
      <c r="A1000" s="49" t="inlineStr">
        <is>
          <t>ACE-10999</t>
        </is>
      </c>
      <c r="B1000" s="49" t="inlineStr">
        <is>
          <t>2026-05-02 09:47:03</t>
        </is>
      </c>
      <c r="C1000" s="49" t="inlineStr">
        <is>
          <t>CUST-85216</t>
        </is>
      </c>
      <c r="D1000" s="49" t="inlineStr">
        <is>
          <t>GBP-PKR</t>
        </is>
      </c>
      <c r="E1000" s="49" t="inlineStr">
        <is>
          <t>GBP</t>
        </is>
      </c>
      <c r="F1000" s="7" t="n">
        <v>263.136182985492</v>
      </c>
      <c r="G1000" s="8" t="n">
        <v>1</v>
      </c>
      <c r="H1000" s="7" t="n">
        <v>263.136182985492</v>
      </c>
      <c r="I1000" s="7" t="n">
        <v>1.5</v>
      </c>
      <c r="J1000" s="9" t="n">
        <v>0.021</v>
      </c>
      <c r="K1000" s="49" t="inlineStr">
        <is>
          <t>Success</t>
        </is>
      </c>
      <c r="L1000" s="7" t="n">
        <v>0.394704274478238</v>
      </c>
      <c r="M1000" s="7" t="n">
        <v>0.7894085489564759</v>
      </c>
      <c r="N1000" s="7" t="n">
        <v>3.157634195825904</v>
      </c>
    </row>
    <row r="1001" ht="18" customHeight="1">
      <c r="A1001" s="49" t="inlineStr">
        <is>
          <t>ACE-11000</t>
        </is>
      </c>
      <c r="B1001" s="49" t="inlineStr">
        <is>
          <t>2026-05-16 16:07:04</t>
        </is>
      </c>
      <c r="C1001" s="49" t="inlineStr">
        <is>
          <t>CUST-65420</t>
        </is>
      </c>
      <c r="D1001" s="49" t="inlineStr">
        <is>
          <t>GBP-PKR</t>
        </is>
      </c>
      <c r="E1001" s="49" t="inlineStr">
        <is>
          <t>GBP</t>
        </is>
      </c>
      <c r="F1001" s="7" t="n">
        <v>295.0213956405381</v>
      </c>
      <c r="G1001" s="8" t="n">
        <v>1</v>
      </c>
      <c r="H1001" s="7" t="n">
        <v>295.0213956405381</v>
      </c>
      <c r="I1001" s="7" t="n">
        <v>1.5</v>
      </c>
      <c r="J1001" s="9" t="n">
        <v>0.021</v>
      </c>
      <c r="K1001" s="49" t="inlineStr">
        <is>
          <t>Success</t>
        </is>
      </c>
      <c r="L1001" s="7" t="n">
        <v>0.4425320934608071</v>
      </c>
      <c r="M1001" s="7" t="n">
        <v>0</v>
      </c>
      <c r="N1001" s="7" t="n">
        <v>3.540256747686457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2026-05-24T17:26:10Z</dcterms:created>
  <dcterms:modified xmlns:dcterms="http://purl.org/dc/terms/" xmlns:xsi="http://www.w3.org/2001/XMLSchema-instance" xsi:type="dcterms:W3CDTF">2026-05-24T17:26:11Z</dcterms:modified>
</cp:coreProperties>
</file>