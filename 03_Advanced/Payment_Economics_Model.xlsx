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INPUT ASSUMPTIONS" sheetId="1" state="visible" r:id="rId1"/>
    <sheet xmlns:r="http://schemas.openxmlformats.org/officeDocument/2006/relationships" name="2. UNIT ECONOMICS" sheetId="2" state="visible" r:id="rId2"/>
    <sheet xmlns:r="http://schemas.openxmlformats.org/officeDocument/2006/relationships" name="3. CORRIDOR BENCHMARKING" sheetId="3" state="visible" r:id="rId3"/>
    <sheet xmlns:r="http://schemas.openxmlformats.org/officeDocument/2006/relationships" name="4. REVENUE LEAKAGE TRACKER" sheetId="4" state="visible" r:id="rId4"/>
    <sheet xmlns:r="http://schemas.openxmlformats.org/officeDocument/2006/relationships" name="5. EXECUTIVE DASHBOAR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"/>
    <numFmt numFmtId="165" formatCode="0.0%"/>
    <numFmt numFmtId="166" formatCode="£#,##0.00"/>
    <numFmt numFmtId="167" formatCode="£#,##0"/>
    <numFmt numFmtId="168" formatCode="0.0&quot;x&quot;"/>
    <numFmt numFmtId="169" formatCode="0.0"/>
    <numFmt numFmtId="170" formatCode="-#,##0;-#,##0;0"/>
  </numFmts>
  <fonts count="13">
    <font>
      <name val="Calibri"/>
      <family val="2"/>
      <color theme="1"/>
      <sz val="11"/>
      <scheme val="minor"/>
    </font>
    <font>
      <name val="Segoe UI"/>
      <b val="1"/>
      <color rgb="001F4E78"/>
      <sz val="16"/>
    </font>
    <font>
      <name val="Segoe UI"/>
      <i val="1"/>
      <color rgb="00595959"/>
      <sz val="10"/>
    </font>
    <font>
      <name val="Segoe UI"/>
      <b val="1"/>
      <color rgb="001F4E78"/>
      <sz val="12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1F4E78"/>
      <sz val="22"/>
    </font>
    <font>
      <name val="Segoe UI"/>
      <i val="1"/>
      <color rgb="00333333"/>
      <sz val="9"/>
    </font>
    <font>
      <name val="Segoe UI"/>
      <b val="1"/>
      <color rgb="00595959"/>
      <sz val="9"/>
    </font>
    <font>
      <name val="Segoe UI"/>
      <b val="1"/>
      <color rgb="001F4E78"/>
      <sz val="14"/>
    </font>
    <font>
      <name val="Segoe UI"/>
      <b val="1"/>
      <color rgb="00006100"/>
      <sz val="10"/>
    </font>
    <font>
      <name val="Segoe UI"/>
      <b val="1"/>
      <color rgb="009C6500"/>
      <sz val="10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F5597"/>
        <bgColor rgb="002F5597"/>
      </patternFill>
    </fill>
    <fill>
      <patternFill patternType="solid">
        <fgColor rgb="00DDEBF7"/>
        <bgColor rgb="00DDEBF7"/>
      </patternFill>
    </fill>
    <fill>
      <patternFill patternType="solid">
        <fgColor rgb="00F2F2F2"/>
        <bgColor rgb="00F2F2F2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</fills>
  <borders count="8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bottom style="double">
        <color rgb="001F4E78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double">
        <color rgb="001F4E78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4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" fontId="5" fillId="0" borderId="1" applyAlignment="1" pivotButton="0" quotePrefix="0" xfId="0">
      <alignment horizontal="right" vertical="center"/>
    </xf>
    <xf numFmtId="10" fontId="5" fillId="0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6" fontId="6" fillId="4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8" fontId="6" fillId="5" borderId="1" applyAlignment="1" pivotButton="0" quotePrefix="0" xfId="0">
      <alignment horizontal="right" vertical="center"/>
    </xf>
    <xf numFmtId="169" fontId="5" fillId="0" borderId="1" applyAlignment="1" pivotButton="0" quotePrefix="0" xfId="0">
      <alignment horizontal="right" vertical="center"/>
    </xf>
    <xf numFmtId="0" fontId="5" fillId="0" borderId="2" applyAlignment="1" pivotButton="0" quotePrefix="0" xfId="0">
      <alignment horizontal="left" vertical="center"/>
    </xf>
    <xf numFmtId="3" fontId="5" fillId="0" borderId="2" applyAlignment="1" pivotButton="0" quotePrefix="0" xfId="0">
      <alignment horizontal="right" vertical="center"/>
    </xf>
    <xf numFmtId="1" fontId="7" fillId="4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right" vertical="center"/>
    </xf>
    <xf numFmtId="170" fontId="6" fillId="0" borderId="1" applyAlignment="1" pivotButton="0" quotePrefix="0" xfId="0">
      <alignment horizontal="right" vertical="center"/>
    </xf>
    <xf numFmtId="0" fontId="0" fillId="0" borderId="1" pivotButton="0" quotePrefix="0" xfId="0"/>
    <xf numFmtId="0" fontId="0" fillId="5" borderId="1" pivotButton="0" quotePrefix="0" xfId="0"/>
    <xf numFmtId="1" fontId="7" fillId="0" borderId="1" applyAlignment="1" pivotButton="0" quotePrefix="0" xfId="0">
      <alignment horizontal="center" vertical="center"/>
    </xf>
    <xf numFmtId="1" fontId="6" fillId="5" borderId="1" applyAlignment="1" pivotButton="0" quotePrefix="0" xfId="0">
      <alignment horizontal="center" vertical="center"/>
    </xf>
    <xf numFmtId="168" fontId="6" fillId="0" borderId="1" applyAlignment="1" pivotButton="0" quotePrefix="0" xfId="0">
      <alignment horizontal="right" vertical="center"/>
    </xf>
    <xf numFmtId="0" fontId="8" fillId="4" borderId="6" applyAlignment="1" pivotButton="0" quotePrefix="0" xfId="0">
      <alignment horizontal="left" vertical="center" wrapText="1"/>
    </xf>
    <xf numFmtId="0" fontId="0" fillId="4" borderId="6" pivotButton="0" quotePrefix="0" xfId="0"/>
    <xf numFmtId="167" fontId="6" fillId="4" borderId="1" applyAlignment="1" pivotButton="0" quotePrefix="0" xfId="0">
      <alignment horizontal="right" vertical="center"/>
    </xf>
    <xf numFmtId="10" fontId="6" fillId="4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0" borderId="7" pivotButton="0" quotePrefix="0" xfId="0"/>
    <xf numFmtId="167" fontId="6" fillId="0" borderId="7" applyAlignment="1" pivotButton="0" quotePrefix="0" xfId="0">
      <alignment horizontal="right" vertical="center"/>
    </xf>
    <xf numFmtId="165" fontId="6" fillId="0" borderId="7" applyAlignment="1" pivotButton="0" quotePrefix="0" xfId="0">
      <alignment horizontal="right" vertical="center"/>
    </xf>
    <xf numFmtId="0" fontId="6" fillId="0" borderId="7" applyAlignment="1" pivotButton="0" quotePrefix="0" xfId="0">
      <alignment horizontal="center" vertical="center"/>
    </xf>
    <xf numFmtId="165" fontId="7" fillId="4" borderId="6" applyAlignment="1" pivotButton="0" quotePrefix="0" xfId="0">
      <alignment horizontal="center" vertical="center"/>
    </xf>
    <xf numFmtId="0" fontId="10" fillId="4" borderId="6" applyAlignment="1" pivotButton="0" quotePrefix="0" xfId="0">
      <alignment horizontal="center" vertical="center"/>
    </xf>
    <xf numFmtId="167" fontId="7" fillId="4" borderId="6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3" fontId="0" fillId="0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right" vertical="center"/>
    </xf>
    <xf numFmtId="0" fontId="11" fillId="7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ACE Monthly Corridor Volumes &amp; Margins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'5. EXECUTIVE DASHBOARD'!C11</f>
            </strRef>
          </tx>
          <spPr>
            <a:ln xmlns:a="http://schemas.openxmlformats.org/drawingml/2006/main">
              <a:prstDash val="solid"/>
            </a:ln>
          </spPr>
          <cat>
            <numRef>
              <f>'5. EXECUTIVE DASHBOARD'!$B$12:$B$14</f>
            </numRef>
          </cat>
          <val>
            <numRef>
              <f>'5. EXECUTIVE DASHBOARD'!$C$12:$C$14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'5. EXECUTIVE DASHBOARD'!D11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'5. EXECUTIVE DASHBOARD'!$B$12:$B$14</f>
            </numRef>
          </cat>
          <val>
            <numRef>
              <f>'5. EXECUTIVE DASHBOARD'!$D$12:$D$14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Remittance Corridor Route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Monthly Transaction Volume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Contribution Margin 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8</row>
      <rowOff>0</rowOff>
    </from>
    <ext cx="61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V100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5" customWidth="1" min="3" max="3"/>
    <col width="15" customWidth="1" min="4" max="4"/>
    <col width="15" customWidth="1" min="5" max="5"/>
    <col width="12" customWidth="1" min="6" max="6"/>
    <col width="3" customWidth="1" min="7" max="7"/>
    <col width="4" customWidth="1" min="8" max="8"/>
    <col width="14" customWidth="1" min="9" max="9"/>
    <col width="20" customWidth="1" min="10" max="10"/>
    <col width="15" customWidth="1" min="11" max="11"/>
    <col width="14" customWidth="1" min="12" max="12"/>
    <col width="12" customWidth="1" min="13" max="13"/>
    <col width="16" customWidth="1" min="14" max="14"/>
    <col width="12" customWidth="1" min="15" max="15"/>
    <col width="16" customWidth="1" min="16" max="16"/>
    <col width="14" customWidth="1" min="17" max="17"/>
    <col width="14" customWidth="1" min="18" max="18"/>
    <col width="12" customWidth="1" min="19" max="19"/>
    <col width="16" customWidth="1" min="20" max="20"/>
    <col width="18" customWidth="1" min="21" max="21"/>
    <col width="18" customWidth="1" min="22" max="22"/>
  </cols>
  <sheetData>
    <row r="2" ht="25" customHeight="1">
      <c r="B2" s="1" t="inlineStr">
        <is>
          <t>ACE Money Transfer - Payment Economics &amp; Corridor Assumptions</t>
        </is>
      </c>
    </row>
    <row r="3">
      <c r="B3" s="2" t="inlineStr">
        <is>
          <t>Commercial Analyst Portfolio Deliverable | Baseline Remittance Models</t>
        </is>
      </c>
    </row>
    <row r="4" ht="22" customHeight="1"/>
    <row r="5">
      <c r="B5" s="3" t="inlineStr">
        <is>
          <t>Corridor Baseline Parameters</t>
        </is>
      </c>
      <c r="I5" s="3" t="inlineStr">
        <is>
          <t>Transaction Audit Log (May 2026 Sample Log)</t>
        </is>
      </c>
    </row>
    <row r="6">
      <c r="B6" s="4" t="inlineStr">
        <is>
          <t>Corridor Parameter</t>
        </is>
      </c>
      <c r="C6" s="4" t="inlineStr">
        <is>
          <t>GBP-PKR</t>
        </is>
      </c>
      <c r="D6" s="4" t="inlineStr">
        <is>
          <t>USD-PKR</t>
        </is>
      </c>
      <c r="E6" s="4" t="inlineStr">
        <is>
          <t>EUR-PKR</t>
        </is>
      </c>
      <c r="I6" s="5" t="inlineStr">
        <is>
          <t>Tx ID</t>
        </is>
      </c>
      <c r="J6" s="5" t="inlineStr">
        <is>
          <t>Timestamp</t>
        </is>
      </c>
      <c r="K6" s="5" t="inlineStr">
        <is>
          <t>Customer ID</t>
        </is>
      </c>
      <c r="L6" s="5" t="inlineStr">
        <is>
          <t>Corridor</t>
        </is>
      </c>
      <c r="M6" s="5" t="inlineStr">
        <is>
          <t>Currency</t>
        </is>
      </c>
      <c r="N6" s="5" t="inlineStr">
        <is>
          <t>Amount (FCY)</t>
        </is>
      </c>
      <c r="O6" s="5" t="inlineStr">
        <is>
          <t>Exch Rate</t>
        </is>
      </c>
      <c r="P6" s="5" t="inlineStr">
        <is>
          <t>Amount (GBP)</t>
        </is>
      </c>
      <c r="Q6" s="5" t="inlineStr">
        <is>
          <t>Fee (GBP)</t>
        </is>
      </c>
      <c r="R6" s="5" t="inlineStr">
        <is>
          <t>FX Spread %</t>
        </is>
      </c>
      <c r="S6" s="5" t="inlineStr">
        <is>
          <t>Status</t>
        </is>
      </c>
      <c r="T6" s="5" t="inlineStr">
        <is>
          <t>Slippage (GBP)</t>
        </is>
      </c>
      <c r="U6" s="5" t="inlineStr">
        <is>
          <t>Promo Waiver (GBP)</t>
        </is>
      </c>
      <c r="V6" s="5" t="inlineStr">
        <is>
          <t>Acquirer Fee (GBP)</t>
        </is>
      </c>
    </row>
    <row r="7" ht="18" customHeight="1">
      <c r="B7" s="6" t="inlineStr">
        <is>
          <t>Monthly Tx Volume (Audit Average)</t>
        </is>
      </c>
      <c r="C7" s="7" t="n">
        <v>35000</v>
      </c>
      <c r="D7" s="7" t="n">
        <v>10000</v>
      </c>
      <c r="E7" s="7" t="n">
        <v>5000</v>
      </c>
      <c r="I7" s="8" t="inlineStr">
        <is>
          <t>ACE-10001</t>
        </is>
      </c>
      <c r="J7" s="8" t="inlineStr">
        <is>
          <t>2026-05-14 15:44:38</t>
        </is>
      </c>
      <c r="K7" s="8" t="inlineStr">
        <is>
          <t>CUST-80796</t>
        </is>
      </c>
      <c r="L7" s="9" t="inlineStr">
        <is>
          <t>USD-PKR</t>
        </is>
      </c>
      <c r="M7" s="8" t="inlineStr">
        <is>
          <t>USD</t>
        </is>
      </c>
      <c r="N7" s="10" t="n">
        <v>230.050525676815</v>
      </c>
      <c r="O7" s="11" t="n">
        <v>0.8</v>
      </c>
      <c r="P7" s="10" t="n">
        <v>184.040420541452</v>
      </c>
      <c r="Q7" s="10" t="n">
        <v>1.6</v>
      </c>
      <c r="R7" s="12" t="n">
        <v>0.019</v>
      </c>
      <c r="S7" s="13" t="inlineStr">
        <is>
          <t>Success</t>
        </is>
      </c>
      <c r="T7" s="10" t="n">
        <v>0.276060630812178</v>
      </c>
      <c r="U7" s="10" t="n">
        <v>0</v>
      </c>
      <c r="V7" s="10" t="n">
        <v>2.208485046497424</v>
      </c>
    </row>
    <row r="8" ht="18" customHeight="1">
      <c r="B8" s="6" t="inlineStr">
        <is>
          <t>Average Tx Value (FCY)</t>
        </is>
      </c>
      <c r="C8" s="10" t="n">
        <v>280</v>
      </c>
      <c r="D8" s="10" t="n">
        <v>220</v>
      </c>
      <c r="E8" s="10" t="n">
        <v>190</v>
      </c>
      <c r="I8" s="8" t="inlineStr">
        <is>
          <t>ACE-10002</t>
        </is>
      </c>
      <c r="J8" s="8" t="inlineStr">
        <is>
          <t>2026-05-23 12:44:55</t>
        </is>
      </c>
      <c r="K8" s="8" t="inlineStr">
        <is>
          <t>CUST-79755</t>
        </is>
      </c>
      <c r="L8" s="9" t="inlineStr">
        <is>
          <t>GBP-PKR</t>
        </is>
      </c>
      <c r="M8" s="8" t="inlineStr">
        <is>
          <t>GBP</t>
        </is>
      </c>
      <c r="N8" s="10" t="n">
        <v>274.7779104589129</v>
      </c>
      <c r="O8" s="11" t="n">
        <v>1</v>
      </c>
      <c r="P8" s="10" t="n">
        <v>274.7779104589129</v>
      </c>
      <c r="Q8" s="10" t="n">
        <v>1.5</v>
      </c>
      <c r="R8" s="12" t="n">
        <v>0.021</v>
      </c>
      <c r="S8" s="13" t="inlineStr">
        <is>
          <t>Success</t>
        </is>
      </c>
      <c r="T8" s="10" t="n">
        <v>0.4121668656883693</v>
      </c>
      <c r="U8" s="10" t="n">
        <v>0</v>
      </c>
      <c r="V8" s="10" t="n">
        <v>3.297334925506954</v>
      </c>
    </row>
    <row r="9" ht="18" customHeight="1">
      <c r="B9" s="6" t="inlineStr">
        <is>
          <t>Flat Remittance Fee (FCY)</t>
        </is>
      </c>
      <c r="C9" s="10" t="n">
        <v>1.5</v>
      </c>
      <c r="D9" s="10" t="n">
        <v>2</v>
      </c>
      <c r="E9" s="10" t="n">
        <v>1.5</v>
      </c>
      <c r="I9" s="8" t="inlineStr">
        <is>
          <t>ACE-10003</t>
        </is>
      </c>
      <c r="J9" s="8" t="inlineStr">
        <is>
          <t>2026-05-09 20:50:40</t>
        </is>
      </c>
      <c r="K9" s="8" t="inlineStr">
        <is>
          <t>CUST-88652</t>
        </is>
      </c>
      <c r="L9" s="9" t="inlineStr">
        <is>
          <t>USD-PKR</t>
        </is>
      </c>
      <c r="M9" s="8" t="inlineStr">
        <is>
          <t>USD</t>
        </is>
      </c>
      <c r="N9" s="10" t="n">
        <v>233.5500497962083</v>
      </c>
      <c r="O9" s="11" t="n">
        <v>0.8</v>
      </c>
      <c r="P9" s="10" t="n">
        <v>186.8400398369666</v>
      </c>
      <c r="Q9" s="10" t="n">
        <v>1.6</v>
      </c>
      <c r="R9" s="12" t="n">
        <v>0.019</v>
      </c>
      <c r="S9" s="13" t="inlineStr">
        <is>
          <t>Success</t>
        </is>
      </c>
      <c r="T9" s="10" t="n">
        <v>0.28026005975545</v>
      </c>
      <c r="U9" s="10" t="n">
        <v>0.5605201195109</v>
      </c>
      <c r="V9" s="10" t="n">
        <v>2.2420804780436</v>
      </c>
    </row>
    <row r="10" ht="18" customHeight="1">
      <c r="B10" s="6" t="inlineStr">
        <is>
          <t>Exchange Rate (FCY to GBP)</t>
        </is>
      </c>
      <c r="C10" s="11" t="n">
        <v>1</v>
      </c>
      <c r="D10" s="11" t="n">
        <v>0.8</v>
      </c>
      <c r="E10" s="11" t="n">
        <v>0.85</v>
      </c>
      <c r="I10" s="8" t="inlineStr">
        <is>
          <t>ACE-10004</t>
        </is>
      </c>
      <c r="J10" s="8" t="inlineStr">
        <is>
          <t>2026-05-14 09:34:14</t>
        </is>
      </c>
      <c r="K10" s="8" t="inlineStr">
        <is>
          <t>CUST-92443</t>
        </is>
      </c>
      <c r="L10" s="9" t="inlineStr">
        <is>
          <t>EUR-PKR</t>
        </is>
      </c>
      <c r="M10" s="8" t="inlineStr">
        <is>
          <t>EUR</t>
        </is>
      </c>
      <c r="N10" s="10" t="n">
        <v>220.1539463561059</v>
      </c>
      <c r="O10" s="11" t="n">
        <v>0.85</v>
      </c>
      <c r="P10" s="10" t="n">
        <v>187.13085440269</v>
      </c>
      <c r="Q10" s="10" t="n">
        <v>1.275</v>
      </c>
      <c r="R10" s="12" t="n">
        <v>0.023</v>
      </c>
      <c r="S10" s="13" t="inlineStr">
        <is>
          <t>Success</t>
        </is>
      </c>
      <c r="T10" s="10" t="n">
        <v>0.280696281604035</v>
      </c>
      <c r="U10" s="10" t="n">
        <v>0</v>
      </c>
      <c r="V10" s="10" t="n">
        <v>2.80696281604035</v>
      </c>
    </row>
    <row r="11" ht="18" customHeight="1">
      <c r="B11" s="6" t="inlineStr">
        <is>
          <t>FX Spread % Quoted to Customer</t>
        </is>
      </c>
      <c r="C11" s="12" t="n">
        <v>0.021</v>
      </c>
      <c r="D11" s="12" t="n">
        <v>0.019</v>
      </c>
      <c r="E11" s="12" t="n">
        <v>0.023</v>
      </c>
      <c r="I11" s="8" t="inlineStr">
        <is>
          <t>ACE-10005</t>
        </is>
      </c>
      <c r="J11" s="8" t="inlineStr">
        <is>
          <t>2026-05-05 09:03:10</t>
        </is>
      </c>
      <c r="K11" s="8" t="inlineStr">
        <is>
          <t>CUST-70159</t>
        </is>
      </c>
      <c r="L11" s="9" t="inlineStr">
        <is>
          <t>GBP-PKR</t>
        </is>
      </c>
      <c r="M11" s="8" t="inlineStr">
        <is>
          <t>GBP</t>
        </is>
      </c>
      <c r="N11" s="10" t="n">
        <v>272.155682773597</v>
      </c>
      <c r="O11" s="11" t="n">
        <v>1</v>
      </c>
      <c r="P11" s="10" t="n">
        <v>272.155682773597</v>
      </c>
      <c r="Q11" s="10" t="n">
        <v>1.5</v>
      </c>
      <c r="R11" s="12" t="n">
        <v>0.021</v>
      </c>
      <c r="S11" s="13" t="inlineStr">
        <is>
          <t>Success</t>
        </is>
      </c>
      <c r="T11" s="10" t="n">
        <v>0.4082335241603955</v>
      </c>
      <c r="U11" s="10" t="n">
        <v>0.816467048320791</v>
      </c>
      <c r="V11" s="10" t="n">
        <v>3.265868193283164</v>
      </c>
    </row>
    <row r="12">
      <c r="I12" s="8" t="inlineStr">
        <is>
          <t>ACE-10006</t>
        </is>
      </c>
      <c r="J12" s="8" t="inlineStr">
        <is>
          <t>2026-05-10 15:07:29</t>
        </is>
      </c>
      <c r="K12" s="8" t="inlineStr">
        <is>
          <t>CUST-95133</t>
        </is>
      </c>
      <c r="L12" s="9" t="inlineStr">
        <is>
          <t>GBP-PKR</t>
        </is>
      </c>
      <c r="M12" s="8" t="inlineStr">
        <is>
          <t>GBP</t>
        </is>
      </c>
      <c r="N12" s="10" t="n">
        <v>272.1561295930172</v>
      </c>
      <c r="O12" s="11" t="n">
        <v>1</v>
      </c>
      <c r="P12" s="10" t="n">
        <v>272.1561295930172</v>
      </c>
      <c r="Q12" s="10" t="n">
        <v>1.5</v>
      </c>
      <c r="R12" s="12" t="n">
        <v>0.021</v>
      </c>
      <c r="S12" s="13" t="inlineStr">
        <is>
          <t>Success</t>
        </is>
      </c>
      <c r="T12" s="10" t="n">
        <v>0.4082341943895259</v>
      </c>
      <c r="U12" s="10" t="n">
        <v>0</v>
      </c>
      <c r="V12" s="10" t="n">
        <v>3.265873555116207</v>
      </c>
    </row>
    <row r="13">
      <c r="B13" s="3" t="inlineStr">
        <is>
          <t>Card Acquirer Fee Tiers</t>
        </is>
      </c>
      <c r="I13" s="8" t="inlineStr">
        <is>
          <t>ACE-10007</t>
        </is>
      </c>
      <c r="J13" s="8" t="inlineStr">
        <is>
          <t>2026-05-09 16:34:31</t>
        </is>
      </c>
      <c r="K13" s="8" t="inlineStr">
        <is>
          <t>CUST-78688</t>
        </is>
      </c>
      <c r="L13" s="9" t="inlineStr">
        <is>
          <t>GBP-PKR</t>
        </is>
      </c>
      <c r="M13" s="8" t="inlineStr">
        <is>
          <t>GBP</t>
        </is>
      </c>
      <c r="N13" s="10" t="n">
        <v>326.2653099938228</v>
      </c>
      <c r="O13" s="11" t="n">
        <v>1</v>
      </c>
      <c r="P13" s="10" t="n">
        <v>326.2653099938228</v>
      </c>
      <c r="Q13" s="10" t="n">
        <v>1.5</v>
      </c>
      <c r="R13" s="12" t="n">
        <v>0.021</v>
      </c>
      <c r="S13" s="13" t="inlineStr">
        <is>
          <t>Success</t>
        </is>
      </c>
      <c r="T13" s="10" t="n">
        <v>0.4893979649907342</v>
      </c>
      <c r="U13" s="10" t="n">
        <v>0</v>
      </c>
      <c r="V13" s="10" t="n">
        <v>3.915183719925874</v>
      </c>
    </row>
    <row r="14">
      <c r="B14" s="5" t="inlineStr">
        <is>
          <t>Monthly Volume Tier (tx)</t>
        </is>
      </c>
      <c r="C14" s="5" t="inlineStr">
        <is>
          <t>Acquirer Card Fee %</t>
        </is>
      </c>
      <c r="I14" s="8" t="inlineStr">
        <is>
          <t>ACE-10008</t>
        </is>
      </c>
      <c r="J14" s="8" t="inlineStr">
        <is>
          <t>2026-05-14 19:20:38</t>
        </is>
      </c>
      <c r="K14" s="8" t="inlineStr">
        <is>
          <t>CUST-66408</t>
        </is>
      </c>
      <c r="L14" s="9" t="inlineStr">
        <is>
          <t>USD-PKR</t>
        </is>
      </c>
      <c r="M14" s="8" t="inlineStr">
        <is>
          <t>USD</t>
        </is>
      </c>
      <c r="N14" s="10" t="n">
        <v>236.3635342679102</v>
      </c>
      <c r="O14" s="11" t="n">
        <v>0.8</v>
      </c>
      <c r="P14" s="10" t="n">
        <v>189.0908274143281</v>
      </c>
      <c r="Q14" s="10" t="n">
        <v>1.6</v>
      </c>
      <c r="R14" s="12" t="n">
        <v>0.019</v>
      </c>
      <c r="S14" s="13" t="inlineStr">
        <is>
          <t>Success</t>
        </is>
      </c>
      <c r="T14" s="10" t="n">
        <v>0.2836362411214922</v>
      </c>
      <c r="U14" s="10" t="n">
        <v>0</v>
      </c>
      <c r="V14" s="10" t="n">
        <v>2.269089928971938</v>
      </c>
    </row>
    <row r="15" ht="18" customHeight="1">
      <c r="B15" s="7" t="n">
        <v>0</v>
      </c>
      <c r="C15" s="12" t="n">
        <v>0.018</v>
      </c>
      <c r="I15" s="8" t="inlineStr">
        <is>
          <t>ACE-10009</t>
        </is>
      </c>
      <c r="J15" s="8" t="inlineStr">
        <is>
          <t>2026-05-22 17:37:01</t>
        </is>
      </c>
      <c r="K15" s="8" t="inlineStr">
        <is>
          <t>CUST-94058</t>
        </is>
      </c>
      <c r="L15" s="9" t="inlineStr">
        <is>
          <t>GBP-PKR</t>
        </is>
      </c>
      <c r="M15" s="8" t="inlineStr">
        <is>
          <t>GBP</t>
        </is>
      </c>
      <c r="N15" s="10" t="n">
        <v>265.8260545401287</v>
      </c>
      <c r="O15" s="11" t="n">
        <v>1</v>
      </c>
      <c r="P15" s="10" t="n">
        <v>265.8260545401287</v>
      </c>
      <c r="Q15" s="10" t="n">
        <v>1.5</v>
      </c>
      <c r="R15" s="12" t="n">
        <v>0.021</v>
      </c>
      <c r="S15" s="13" t="inlineStr">
        <is>
          <t>Success</t>
        </is>
      </c>
      <c r="T15" s="10" t="n">
        <v>0.3987390818101931</v>
      </c>
      <c r="U15" s="10" t="n">
        <v>0</v>
      </c>
      <c r="V15" s="10" t="n">
        <v>3.189912654481545</v>
      </c>
    </row>
    <row r="16" ht="18" customHeight="1">
      <c r="B16" s="7" t="n">
        <v>1001</v>
      </c>
      <c r="C16" s="12" t="n">
        <v>0.015</v>
      </c>
      <c r="I16" s="8" t="inlineStr">
        <is>
          <t>ACE-10010</t>
        </is>
      </c>
      <c r="J16" s="8" t="inlineStr">
        <is>
          <t>2026-05-06 15:33:41</t>
        </is>
      </c>
      <c r="K16" s="8" t="inlineStr">
        <is>
          <t>CUST-78981</t>
        </is>
      </c>
      <c r="L16" s="9" t="inlineStr">
        <is>
          <t>GBP-PKR</t>
        </is>
      </c>
      <c r="M16" s="8" t="inlineStr">
        <is>
          <t>GBP</t>
        </is>
      </c>
      <c r="N16" s="10" t="n">
        <v>294.1369889206094</v>
      </c>
      <c r="O16" s="11" t="n">
        <v>1</v>
      </c>
      <c r="P16" s="10" t="n">
        <v>294.1369889206094</v>
      </c>
      <c r="Q16" s="10" t="n">
        <v>1.5</v>
      </c>
      <c r="R16" s="12" t="n">
        <v>0.021</v>
      </c>
      <c r="S16" s="13" t="inlineStr">
        <is>
          <t>Success</t>
        </is>
      </c>
      <c r="T16" s="10" t="n">
        <v>0.4412054833809141</v>
      </c>
      <c r="U16" s="10" t="n">
        <v>0</v>
      </c>
      <c r="V16" s="10" t="n">
        <v>3.529643867047313</v>
      </c>
    </row>
    <row r="17" ht="18" customHeight="1">
      <c r="B17" s="7" t="n">
        <v>5000</v>
      </c>
      <c r="C17" s="12" t="n">
        <v>0.012</v>
      </c>
      <c r="I17" s="8" t="inlineStr">
        <is>
          <t>ACE-10011</t>
        </is>
      </c>
      <c r="J17" s="8" t="inlineStr">
        <is>
          <t>2026-05-19 14:40:52</t>
        </is>
      </c>
      <c r="K17" s="8" t="inlineStr">
        <is>
          <t>CUST-82225</t>
        </is>
      </c>
      <c r="L17" s="9" t="inlineStr">
        <is>
          <t>GBP-PKR</t>
        </is>
      </c>
      <c r="M17" s="8" t="inlineStr">
        <is>
          <t>GBP</t>
        </is>
      </c>
      <c r="N17" s="10" t="n">
        <v>265.9871059907974</v>
      </c>
      <c r="O17" s="11" t="n">
        <v>1</v>
      </c>
      <c r="P17" s="10" t="n">
        <v>265.9871059907974</v>
      </c>
      <c r="Q17" s="10" t="n">
        <v>1.5</v>
      </c>
      <c r="R17" s="12" t="n">
        <v>0.021</v>
      </c>
      <c r="S17" s="13" t="inlineStr">
        <is>
          <t>Success</t>
        </is>
      </c>
      <c r="T17" s="10" t="n">
        <v>0.3989806589861961</v>
      </c>
      <c r="U17" s="10" t="n">
        <v>0</v>
      </c>
      <c r="V17" s="10" t="n">
        <v>3.191845271889568</v>
      </c>
    </row>
    <row r="18">
      <c r="I18" s="8" t="inlineStr">
        <is>
          <t>ACE-10012</t>
        </is>
      </c>
      <c r="J18" s="8" t="inlineStr">
        <is>
          <t>2026-05-14 13:20:42</t>
        </is>
      </c>
      <c r="K18" s="8" t="inlineStr">
        <is>
          <t>CUST-56855</t>
        </is>
      </c>
      <c r="L18" s="9" t="inlineStr">
        <is>
          <t>USD-PKR</t>
        </is>
      </c>
      <c r="M18" s="8" t="inlineStr">
        <is>
          <t>USD</t>
        </is>
      </c>
      <c r="N18" s="10" t="n">
        <v>208.9415548507588</v>
      </c>
      <c r="O18" s="11" t="n">
        <v>0.8</v>
      </c>
      <c r="P18" s="10" t="n">
        <v>167.1532438806071</v>
      </c>
      <c r="Q18" s="10" t="n">
        <v>1.6</v>
      </c>
      <c r="R18" s="12" t="n">
        <v>0.019</v>
      </c>
      <c r="S18" s="13" t="inlineStr">
        <is>
          <t>Success</t>
        </is>
      </c>
      <c r="T18" s="10" t="n">
        <v>0.2507298658209106</v>
      </c>
      <c r="U18" s="10" t="n">
        <v>0</v>
      </c>
      <c r="V18" s="10" t="n">
        <v>2.005838926567284</v>
      </c>
    </row>
    <row r="19">
      <c r="B19" s="3" t="inlineStr">
        <is>
          <t>Operating &amp; Marketing Cost Parameters</t>
        </is>
      </c>
      <c r="I19" s="8" t="inlineStr">
        <is>
          <t>ACE-10013</t>
        </is>
      </c>
      <c r="J19" s="8" t="inlineStr">
        <is>
          <t>2026-05-23 15:18:42</t>
        </is>
      </c>
      <c r="K19" s="8" t="inlineStr">
        <is>
          <t>CUST-76244</t>
        </is>
      </c>
      <c r="L19" s="9" t="inlineStr">
        <is>
          <t>GBP-PKR</t>
        </is>
      </c>
      <c r="M19" s="8" t="inlineStr">
        <is>
          <t>GBP</t>
        </is>
      </c>
      <c r="N19" s="10" t="n">
        <v>285.4268646201018</v>
      </c>
      <c r="O19" s="11" t="n">
        <v>1</v>
      </c>
      <c r="P19" s="10" t="n">
        <v>285.4268646201018</v>
      </c>
      <c r="Q19" s="10" t="n">
        <v>1.5</v>
      </c>
      <c r="R19" s="12" t="n">
        <v>0.021</v>
      </c>
      <c r="S19" s="13" t="inlineStr">
        <is>
          <t>Success</t>
        </is>
      </c>
      <c r="T19" s="10" t="n">
        <v>0.4281402969301527</v>
      </c>
      <c r="U19" s="10" t="n">
        <v>0</v>
      </c>
      <c r="V19" s="10" t="n">
        <v>3.425122375441221</v>
      </c>
    </row>
    <row r="20" ht="18" customHeight="1">
      <c r="B20" s="6" t="inlineStr">
        <is>
          <t>Compliance Cost per Transaction (Fixed)</t>
        </is>
      </c>
      <c r="C20" s="14" t="n">
        <v>0.35</v>
      </c>
      <c r="I20" s="8" t="inlineStr">
        <is>
          <t>ACE-10014</t>
        </is>
      </c>
      <c r="J20" s="8" t="inlineStr">
        <is>
          <t>2026-05-15 09:20:16</t>
        </is>
      </c>
      <c r="K20" s="8" t="inlineStr">
        <is>
          <t>CUST-71186</t>
        </is>
      </c>
      <c r="L20" s="9" t="inlineStr">
        <is>
          <t>GBP-PKR</t>
        </is>
      </c>
      <c r="M20" s="8" t="inlineStr">
        <is>
          <t>GBP</t>
        </is>
      </c>
      <c r="N20" s="10" t="n">
        <v>230.0879388565758</v>
      </c>
      <c r="O20" s="11" t="n">
        <v>1</v>
      </c>
      <c r="P20" s="10" t="n">
        <v>230.0879388565758</v>
      </c>
      <c r="Q20" s="10" t="n">
        <v>1.5</v>
      </c>
      <c r="R20" s="12" t="n">
        <v>0.021</v>
      </c>
      <c r="S20" s="13" t="inlineStr">
        <is>
          <t>Success</t>
        </is>
      </c>
      <c r="T20" s="10" t="n">
        <v>0.3451319082848637</v>
      </c>
      <c r="U20" s="10" t="n">
        <v>0.6902638165697275</v>
      </c>
      <c r="V20" s="10" t="n">
        <v>2.76105526627891</v>
      </c>
    </row>
    <row r="21" ht="18" customHeight="1">
      <c r="B21" s="6" t="inlineStr">
        <is>
          <t>Payout Network Cost per Transaction (Fixed)</t>
        </is>
      </c>
      <c r="C21" s="14" t="n">
        <v>0.28</v>
      </c>
      <c r="I21" s="8" t="inlineStr">
        <is>
          <t>ACE-10015</t>
        </is>
      </c>
      <c r="J21" s="8" t="inlineStr">
        <is>
          <t>2026-05-17 08:42:55</t>
        </is>
      </c>
      <c r="K21" s="8" t="inlineStr">
        <is>
          <t>CUST-85559</t>
        </is>
      </c>
      <c r="L21" s="9" t="inlineStr">
        <is>
          <t>GBP-PKR</t>
        </is>
      </c>
      <c r="M21" s="8" t="inlineStr">
        <is>
          <t>GBP</t>
        </is>
      </c>
      <c r="N21" s="10" t="n">
        <v>234.4630063296979</v>
      </c>
      <c r="O21" s="11" t="n">
        <v>1</v>
      </c>
      <c r="P21" s="10" t="n">
        <v>234.4630063296979</v>
      </c>
      <c r="Q21" s="10" t="n">
        <v>1.5</v>
      </c>
      <c r="R21" s="12" t="n">
        <v>0.021</v>
      </c>
      <c r="S21" s="13" t="inlineStr">
        <is>
          <t>Success</t>
        </is>
      </c>
      <c r="T21" s="10" t="n">
        <v>0.3516945094945469</v>
      </c>
      <c r="U21" s="10" t="n">
        <v>0</v>
      </c>
      <c r="V21" s="10" t="n">
        <v>2.813556075956376</v>
      </c>
    </row>
    <row r="22" ht="18" customHeight="1">
      <c r="B22" s="6" t="inlineStr">
        <is>
          <t>Failed Transaction Rate</t>
        </is>
      </c>
      <c r="C22" s="12" t="n">
        <v>0.021</v>
      </c>
      <c r="I22" s="8" t="inlineStr">
        <is>
          <t>ACE-10016</t>
        </is>
      </c>
      <c r="J22" s="8" t="inlineStr">
        <is>
          <t>2026-05-17 13:39:48</t>
        </is>
      </c>
      <c r="K22" s="8" t="inlineStr">
        <is>
          <t>CUST-82669</t>
        </is>
      </c>
      <c r="L22" s="9" t="inlineStr">
        <is>
          <t>GBP-PKR</t>
        </is>
      </c>
      <c r="M22" s="8" t="inlineStr">
        <is>
          <t>GBP</t>
        </is>
      </c>
      <c r="N22" s="10" t="n">
        <v>263.3702535303357</v>
      </c>
      <c r="O22" s="11" t="n">
        <v>1</v>
      </c>
      <c r="P22" s="10" t="n">
        <v>263.3702535303357</v>
      </c>
      <c r="Q22" s="10" t="n">
        <v>1.5</v>
      </c>
      <c r="R22" s="12" t="n">
        <v>0.021</v>
      </c>
      <c r="S22" s="13" t="inlineStr">
        <is>
          <t>Success</t>
        </is>
      </c>
      <c r="T22" s="10" t="n">
        <v>0.3950553802955036</v>
      </c>
      <c r="U22" s="10" t="n">
        <v>0.7901107605910072</v>
      </c>
      <c r="V22" s="10" t="n">
        <v>3.160443042364029</v>
      </c>
    </row>
    <row r="23" ht="18" customHeight="1">
      <c r="B23" s="6" t="inlineStr">
        <is>
          <t>Failed Transaction Processing Cost (Penalty)</t>
        </is>
      </c>
      <c r="C23" s="14" t="n">
        <v>0.5</v>
      </c>
      <c r="I23" s="8" t="inlineStr">
        <is>
          <t>ACE-10017</t>
        </is>
      </c>
      <c r="J23" s="8" t="inlineStr">
        <is>
          <t>2026-05-07 12:35:08</t>
        </is>
      </c>
      <c r="K23" s="8" t="inlineStr">
        <is>
          <t>CUST-68876</t>
        </is>
      </c>
      <c r="L23" s="9" t="inlineStr">
        <is>
          <t>USD-PKR</t>
        </is>
      </c>
      <c r="M23" s="8" t="inlineStr">
        <is>
          <t>USD</t>
        </is>
      </c>
      <c r="N23" s="10" t="n">
        <v>197.8174101589424</v>
      </c>
      <c r="O23" s="11" t="n">
        <v>0.8</v>
      </c>
      <c r="P23" s="10" t="n">
        <v>158.2539281271539</v>
      </c>
      <c r="Q23" s="10" t="n">
        <v>1.6</v>
      </c>
      <c r="R23" s="12" t="n">
        <v>0.019</v>
      </c>
      <c r="S23" s="13" t="inlineStr">
        <is>
          <t>Success</t>
        </is>
      </c>
      <c r="T23" s="10" t="n">
        <v>0.2373808921907309</v>
      </c>
      <c r="U23" s="10" t="n">
        <v>0.4747617843814617</v>
      </c>
      <c r="V23" s="10" t="n">
        <v>1.899047137525847</v>
      </c>
    </row>
    <row r="24" ht="18" customHeight="1">
      <c r="B24" s="6" t="inlineStr">
        <is>
          <t>Customer Acquisition Cost (CAC)</t>
        </is>
      </c>
      <c r="C24" s="14" t="n">
        <v>18</v>
      </c>
      <c r="I24" s="8" t="inlineStr">
        <is>
          <t>ACE-10018</t>
        </is>
      </c>
      <c r="J24" s="8" t="inlineStr">
        <is>
          <t>2026-05-04 08:40:38</t>
        </is>
      </c>
      <c r="K24" s="8" t="inlineStr">
        <is>
          <t>CUST-65682</t>
        </is>
      </c>
      <c r="L24" s="9" t="inlineStr">
        <is>
          <t>GBP-PKR</t>
        </is>
      </c>
      <c r="M24" s="8" t="inlineStr">
        <is>
          <t>GBP</t>
        </is>
      </c>
      <c r="N24" s="10" t="n">
        <v>287.4975494154635</v>
      </c>
      <c r="O24" s="11" t="n">
        <v>1</v>
      </c>
      <c r="P24" s="10" t="n">
        <v>287.4975494154635</v>
      </c>
      <c r="Q24" s="10" t="n">
        <v>1.5</v>
      </c>
      <c r="R24" s="12" t="n">
        <v>0.021</v>
      </c>
      <c r="S24" s="13" t="inlineStr">
        <is>
          <t>Success</t>
        </is>
      </c>
      <c r="T24" s="10" t="n">
        <v>0.4312463241231952</v>
      </c>
      <c r="U24" s="10" t="n">
        <v>0</v>
      </c>
      <c r="V24" s="10" t="n">
        <v>3.449970592985562</v>
      </c>
    </row>
    <row r="25" ht="18" customHeight="1">
      <c r="B25" s="6" t="inlineStr">
        <is>
          <t>Average Customer Retention (Months)</t>
        </is>
      </c>
      <c r="C25" s="15" t="n">
        <v>18</v>
      </c>
      <c r="I25" s="8" t="inlineStr">
        <is>
          <t>ACE-10019</t>
        </is>
      </c>
      <c r="J25" s="8" t="inlineStr">
        <is>
          <t>2026-05-01 16:26:05</t>
        </is>
      </c>
      <c r="K25" s="8" t="inlineStr">
        <is>
          <t>CUST-64725</t>
        </is>
      </c>
      <c r="L25" s="9" t="inlineStr">
        <is>
          <t>USD-PKR</t>
        </is>
      </c>
      <c r="M25" s="8" t="inlineStr">
        <is>
          <t>USD</t>
        </is>
      </c>
      <c r="N25" s="10" t="n">
        <v>199.9015786752816</v>
      </c>
      <c r="O25" s="11" t="n">
        <v>0.8</v>
      </c>
      <c r="P25" s="10" t="n">
        <v>159.9212629402253</v>
      </c>
      <c r="Q25" s="10" t="n">
        <v>1.6</v>
      </c>
      <c r="R25" s="12" t="n">
        <v>0.019</v>
      </c>
      <c r="S25" s="13" t="inlineStr">
        <is>
          <t>Success</t>
        </is>
      </c>
      <c r="T25" s="10" t="n">
        <v>0.2398818944103379</v>
      </c>
      <c r="U25" s="10" t="n">
        <v>0.4797637888206758</v>
      </c>
      <c r="V25" s="10" t="n">
        <v>1.919055155282703</v>
      </c>
    </row>
    <row r="26" ht="18" customHeight="1">
      <c r="B26" s="6" t="inlineStr">
        <is>
          <t>Transactions per Customer per Month</t>
        </is>
      </c>
      <c r="C26" s="15" t="n">
        <v>4</v>
      </c>
      <c r="I26" s="8" t="inlineStr">
        <is>
          <t>ACE-10020</t>
        </is>
      </c>
      <c r="J26" s="8" t="inlineStr">
        <is>
          <t>2026-05-15 09:41:53</t>
        </is>
      </c>
      <c r="K26" s="8" t="inlineStr">
        <is>
          <t>CUST-60090</t>
        </is>
      </c>
      <c r="L26" s="9" t="inlineStr">
        <is>
          <t>GBP-PKR</t>
        </is>
      </c>
      <c r="M26" s="8" t="inlineStr">
        <is>
          <t>GBP</t>
        </is>
      </c>
      <c r="N26" s="10" t="n">
        <v>241.9084219966416</v>
      </c>
      <c r="O26" s="11" t="n">
        <v>1</v>
      </c>
      <c r="P26" s="10" t="n">
        <v>241.9084219966416</v>
      </c>
      <c r="Q26" s="10" t="n">
        <v>1.5</v>
      </c>
      <c r="R26" s="12" t="n">
        <v>0.021</v>
      </c>
      <c r="S26" s="13" t="inlineStr">
        <is>
          <t>Success</t>
        </is>
      </c>
      <c r="T26" s="10" t="n">
        <v>0.3628626329949624</v>
      </c>
      <c r="U26" s="10" t="n">
        <v>0.7257252659899247</v>
      </c>
      <c r="V26" s="10" t="n">
        <v>2.902901063959699</v>
      </c>
    </row>
    <row r="27" ht="18" customHeight="1">
      <c r="B27" s="6" t="inlineStr">
        <is>
          <t>FX Slippage Rate (Leakage Assumption)</t>
        </is>
      </c>
      <c r="C27" s="16" t="n">
        <v>0.0015</v>
      </c>
      <c r="I27" s="8" t="inlineStr">
        <is>
          <t>ACE-10021</t>
        </is>
      </c>
      <c r="J27" s="8" t="inlineStr">
        <is>
          <t>2026-05-17 19:17:26</t>
        </is>
      </c>
      <c r="K27" s="8" t="inlineStr">
        <is>
          <t>CUST-81621</t>
        </is>
      </c>
      <c r="L27" s="9" t="inlineStr">
        <is>
          <t>GBP-PKR</t>
        </is>
      </c>
      <c r="M27" s="8" t="inlineStr">
        <is>
          <t>GBP</t>
        </is>
      </c>
      <c r="N27" s="10" t="n">
        <v>322.5810685713643</v>
      </c>
      <c r="O27" s="11" t="n">
        <v>1</v>
      </c>
      <c r="P27" s="10" t="n">
        <v>322.5810685713643</v>
      </c>
      <c r="Q27" s="10" t="n">
        <v>1.5</v>
      </c>
      <c r="R27" s="12" t="n">
        <v>0.021</v>
      </c>
      <c r="S27" s="13" t="inlineStr">
        <is>
          <t>Success</t>
        </is>
      </c>
      <c r="T27" s="10" t="n">
        <v>0.4838716028570465</v>
      </c>
      <c r="U27" s="10" t="n">
        <v>0</v>
      </c>
      <c r="V27" s="10" t="n">
        <v>3.870972822856372</v>
      </c>
    </row>
    <row r="28" ht="18" customHeight="1">
      <c r="B28" s="6" t="inlineStr">
        <is>
          <t>Promo Waiver Rate (Marketing Leakage)</t>
        </is>
      </c>
      <c r="C28" s="16" t="n">
        <v>0.003</v>
      </c>
      <c r="I28" s="8" t="inlineStr">
        <is>
          <t>ACE-10022</t>
        </is>
      </c>
      <c r="J28" s="8" t="inlineStr">
        <is>
          <t>2026-05-18 10:24:12</t>
        </is>
      </c>
      <c r="K28" s="8" t="inlineStr">
        <is>
          <t>CUST-89280</t>
        </is>
      </c>
      <c r="L28" s="9" t="inlineStr">
        <is>
          <t>USD-PKR</t>
        </is>
      </c>
      <c r="M28" s="8" t="inlineStr">
        <is>
          <t>USD</t>
        </is>
      </c>
      <c r="N28" s="10" t="n">
        <v>214.0158154587016</v>
      </c>
      <c r="O28" s="11" t="n">
        <v>0.8</v>
      </c>
      <c r="P28" s="10" t="n">
        <v>171.2126523669613</v>
      </c>
      <c r="Q28" s="10" t="n">
        <v>1.6</v>
      </c>
      <c r="R28" s="12" t="n">
        <v>0.019</v>
      </c>
      <c r="S28" s="13" t="inlineStr">
        <is>
          <t>Success</t>
        </is>
      </c>
      <c r="T28" s="10" t="n">
        <v>0.2568189785504419</v>
      </c>
      <c r="U28" s="10" t="n">
        <v>0.5136379571008838</v>
      </c>
      <c r="V28" s="10" t="n">
        <v>2.054551828403535</v>
      </c>
    </row>
    <row r="29" ht="18" customHeight="1">
      <c r="B29" s="6" t="inlineStr">
        <is>
          <t>Monthly Fixed Operations Overhead (GBP)</t>
        </is>
      </c>
      <c r="C29" s="17" t="n">
        <v>25000</v>
      </c>
      <c r="I29" s="8" t="inlineStr">
        <is>
          <t>ACE-10023</t>
        </is>
      </c>
      <c r="J29" s="8" t="inlineStr">
        <is>
          <t>2026-05-03 12:49:50</t>
        </is>
      </c>
      <c r="K29" s="8" t="inlineStr">
        <is>
          <t>CUST-77193</t>
        </is>
      </c>
      <c r="L29" s="9" t="inlineStr">
        <is>
          <t>GBP-PKR</t>
        </is>
      </c>
      <c r="M29" s="8" t="inlineStr">
        <is>
          <t>GBP</t>
        </is>
      </c>
      <c r="N29" s="10" t="n">
        <v>280.4912201158307</v>
      </c>
      <c r="O29" s="11" t="n">
        <v>1</v>
      </c>
      <c r="P29" s="10" t="n">
        <v>280.4912201158307</v>
      </c>
      <c r="Q29" s="10" t="n">
        <v>1.5</v>
      </c>
      <c r="R29" s="12" t="n">
        <v>0.021</v>
      </c>
      <c r="S29" s="13" t="inlineStr">
        <is>
          <t>Success</t>
        </is>
      </c>
      <c r="T29" s="10" t="n">
        <v>0.420736830173746</v>
      </c>
      <c r="U29" s="10" t="n">
        <v>0.841473660347492</v>
      </c>
      <c r="V29" s="10" t="n">
        <v>3.365894641389968</v>
      </c>
    </row>
    <row r="30">
      <c r="I30" s="8" t="inlineStr">
        <is>
          <t>ACE-10024</t>
        </is>
      </c>
      <c r="J30" s="8" t="inlineStr">
        <is>
          <t>2026-05-09 08:18:46</t>
        </is>
      </c>
      <c r="K30" s="8" t="inlineStr">
        <is>
          <t>CUST-69566</t>
        </is>
      </c>
      <c r="L30" s="9" t="inlineStr">
        <is>
          <t>GBP-PKR</t>
        </is>
      </c>
      <c r="M30" s="8" t="inlineStr">
        <is>
          <t>GBP</t>
        </is>
      </c>
      <c r="N30" s="10" t="n">
        <v>241.6075666650057</v>
      </c>
      <c r="O30" s="11" t="n">
        <v>1</v>
      </c>
      <c r="P30" s="10" t="n">
        <v>241.6075666650057</v>
      </c>
      <c r="Q30" s="10" t="n">
        <v>1.5</v>
      </c>
      <c r="R30" s="12" t="n">
        <v>0.021</v>
      </c>
      <c r="S30" s="13" t="inlineStr">
        <is>
          <t>Success</t>
        </is>
      </c>
      <c r="T30" s="10" t="n">
        <v>0.3624113499975086</v>
      </c>
      <c r="U30" s="10" t="n">
        <v>0</v>
      </c>
      <c r="V30" s="10" t="n">
        <v>2.899290799980069</v>
      </c>
    </row>
    <row r="31">
      <c r="I31" s="8" t="inlineStr">
        <is>
          <t>ACE-10025</t>
        </is>
      </c>
      <c r="J31" s="8" t="inlineStr">
        <is>
          <t>2026-05-22 15:55:09</t>
        </is>
      </c>
      <c r="K31" s="8" t="inlineStr">
        <is>
          <t>CUST-79264</t>
        </is>
      </c>
      <c r="L31" s="9" t="inlineStr">
        <is>
          <t>GBP-PKR</t>
        </is>
      </c>
      <c r="M31" s="8" t="inlineStr">
        <is>
          <t>GBP</t>
        </is>
      </c>
      <c r="N31" s="10" t="n">
        <v>263.8422352370002</v>
      </c>
      <c r="O31" s="11" t="n">
        <v>1</v>
      </c>
      <c r="P31" s="10" t="n">
        <v>263.8422352370002</v>
      </c>
      <c r="Q31" s="10" t="n">
        <v>1.5</v>
      </c>
      <c r="R31" s="12" t="n">
        <v>0.021</v>
      </c>
      <c r="S31" s="13" t="inlineStr">
        <is>
          <t>Success</t>
        </is>
      </c>
      <c r="T31" s="10" t="n">
        <v>0.3957633528555003</v>
      </c>
      <c r="U31" s="10" t="n">
        <v>0</v>
      </c>
      <c r="V31" s="10" t="n">
        <v>3.166106822844002</v>
      </c>
    </row>
    <row r="32">
      <c r="I32" s="8" t="inlineStr">
        <is>
          <t>ACE-10026</t>
        </is>
      </c>
      <c r="J32" s="8" t="inlineStr">
        <is>
          <t>2026-05-18 20:34:24</t>
        </is>
      </c>
      <c r="K32" s="8" t="inlineStr">
        <is>
          <t>CUST-79841</t>
        </is>
      </c>
      <c r="L32" s="9" t="inlineStr">
        <is>
          <t>GBP-PKR</t>
        </is>
      </c>
      <c r="M32" s="8" t="inlineStr">
        <is>
          <t>GBP</t>
        </is>
      </c>
      <c r="N32" s="10" t="n">
        <v>281.7110392668508</v>
      </c>
      <c r="O32" s="11" t="n">
        <v>1</v>
      </c>
      <c r="P32" s="10" t="n">
        <v>281.7110392668508</v>
      </c>
      <c r="Q32" s="10" t="n">
        <v>1.5</v>
      </c>
      <c r="R32" s="12" t="n">
        <v>0.021</v>
      </c>
      <c r="S32" s="13" t="inlineStr">
        <is>
          <t>Success</t>
        </is>
      </c>
      <c r="T32" s="10" t="n">
        <v>0.4225665589002763</v>
      </c>
      <c r="U32" s="10" t="n">
        <v>0.8451331178005526</v>
      </c>
      <c r="V32" s="10" t="n">
        <v>3.38053247120221</v>
      </c>
    </row>
    <row r="33">
      <c r="I33" s="8" t="inlineStr">
        <is>
          <t>ACE-10027</t>
        </is>
      </c>
      <c r="J33" s="8" t="inlineStr">
        <is>
          <t>2026-05-23 11:36:24</t>
        </is>
      </c>
      <c r="K33" s="8" t="inlineStr">
        <is>
          <t>CUST-65306</t>
        </is>
      </c>
      <c r="L33" s="9" t="inlineStr">
        <is>
          <t>GBP-PKR</t>
        </is>
      </c>
      <c r="M33" s="8" t="inlineStr">
        <is>
          <t>GBP</t>
        </is>
      </c>
      <c r="N33" s="10" t="n">
        <v>248.3130492311572</v>
      </c>
      <c r="O33" s="11" t="n">
        <v>1</v>
      </c>
      <c r="P33" s="10" t="n">
        <v>248.3130492311572</v>
      </c>
      <c r="Q33" s="10" t="n">
        <v>1.5</v>
      </c>
      <c r="R33" s="12" t="n">
        <v>0.021</v>
      </c>
      <c r="S33" s="13" t="inlineStr">
        <is>
          <t>Success</t>
        </is>
      </c>
      <c r="T33" s="10" t="n">
        <v>0.3724695738467357</v>
      </c>
      <c r="U33" s="10" t="n">
        <v>0</v>
      </c>
      <c r="V33" s="10" t="n">
        <v>2.979756590773886</v>
      </c>
    </row>
    <row r="34">
      <c r="I34" s="8" t="inlineStr">
        <is>
          <t>ACE-10028</t>
        </is>
      </c>
      <c r="J34" s="8" t="inlineStr">
        <is>
          <t>2026-05-11 19:30:45</t>
        </is>
      </c>
      <c r="K34" s="8" t="inlineStr">
        <is>
          <t>CUST-74984</t>
        </is>
      </c>
      <c r="L34" s="9" t="inlineStr">
        <is>
          <t>GBP-PKR</t>
        </is>
      </c>
      <c r="M34" s="8" t="inlineStr">
        <is>
          <t>GBP</t>
        </is>
      </c>
      <c r="N34" s="10" t="n">
        <v>289.2696809300385</v>
      </c>
      <c r="O34" s="11" t="n">
        <v>1</v>
      </c>
      <c r="P34" s="10" t="n">
        <v>289.2696809300385</v>
      </c>
      <c r="Q34" s="10" t="n">
        <v>1.5</v>
      </c>
      <c r="R34" s="12" t="n">
        <v>0.021</v>
      </c>
      <c r="S34" s="13" t="inlineStr">
        <is>
          <t>Success</t>
        </is>
      </c>
      <c r="T34" s="10" t="n">
        <v>0.4339045213950577</v>
      </c>
      <c r="U34" s="10" t="n">
        <v>0.8678090427901154</v>
      </c>
      <c r="V34" s="10" t="n">
        <v>3.471236171160462</v>
      </c>
    </row>
    <row r="35">
      <c r="I35" s="8" t="inlineStr">
        <is>
          <t>ACE-10029</t>
        </is>
      </c>
      <c r="J35" s="8" t="inlineStr">
        <is>
          <t>2026-05-21 10:31:02</t>
        </is>
      </c>
      <c r="K35" s="8" t="inlineStr">
        <is>
          <t>CUST-58273</t>
        </is>
      </c>
      <c r="L35" s="9" t="inlineStr">
        <is>
          <t>GBP-PKR</t>
        </is>
      </c>
      <c r="M35" s="8" t="inlineStr">
        <is>
          <t>GBP</t>
        </is>
      </c>
      <c r="N35" s="10" t="n">
        <v>262.362132405637</v>
      </c>
      <c r="O35" s="11" t="n">
        <v>1</v>
      </c>
      <c r="P35" s="10" t="n">
        <v>262.362132405637</v>
      </c>
      <c r="Q35" s="10" t="n">
        <v>1.5</v>
      </c>
      <c r="R35" s="12" t="n">
        <v>0.021</v>
      </c>
      <c r="S35" s="13" t="inlineStr">
        <is>
          <t>Success</t>
        </is>
      </c>
      <c r="T35" s="10" t="n">
        <v>0.3935431986084555</v>
      </c>
      <c r="U35" s="10" t="n">
        <v>0</v>
      </c>
      <c r="V35" s="10" t="n">
        <v>3.148345588867644</v>
      </c>
    </row>
    <row r="36">
      <c r="I36" s="8" t="inlineStr">
        <is>
          <t>ACE-10030</t>
        </is>
      </c>
      <c r="J36" s="8" t="inlineStr">
        <is>
          <t>2026-05-04 15:06:33</t>
        </is>
      </c>
      <c r="K36" s="8" t="inlineStr">
        <is>
          <t>CUST-79945</t>
        </is>
      </c>
      <c r="L36" s="9" t="inlineStr">
        <is>
          <t>USD-PKR</t>
        </is>
      </c>
      <c r="M36" s="8" t="inlineStr">
        <is>
          <t>USD</t>
        </is>
      </c>
      <c r="N36" s="10" t="n">
        <v>212.6097172039616</v>
      </c>
      <c r="O36" s="11" t="n">
        <v>0.8</v>
      </c>
      <c r="P36" s="10" t="n">
        <v>170.0877737631693</v>
      </c>
      <c r="Q36" s="10" t="n">
        <v>1.6</v>
      </c>
      <c r="R36" s="12" t="n">
        <v>0.019</v>
      </c>
      <c r="S36" s="13" t="inlineStr">
        <is>
          <t>Failed</t>
        </is>
      </c>
      <c r="T36" s="10" t="n">
        <v>0</v>
      </c>
      <c r="U36" s="10" t="n">
        <v>0</v>
      </c>
      <c r="V36" s="10" t="n">
        <v>0.5</v>
      </c>
    </row>
    <row r="37">
      <c r="I37" s="8" t="inlineStr">
        <is>
          <t>ACE-10031</t>
        </is>
      </c>
      <c r="J37" s="8" t="inlineStr">
        <is>
          <t>2026-05-05 14:55:41</t>
        </is>
      </c>
      <c r="K37" s="8" t="inlineStr">
        <is>
          <t>CUST-60116</t>
        </is>
      </c>
      <c r="L37" s="9" t="inlineStr">
        <is>
          <t>GBP-PKR</t>
        </is>
      </c>
      <c r="M37" s="8" t="inlineStr">
        <is>
          <t>GBP</t>
        </is>
      </c>
      <c r="N37" s="10" t="n">
        <v>262.3341156641837</v>
      </c>
      <c r="O37" s="11" t="n">
        <v>1</v>
      </c>
      <c r="P37" s="10" t="n">
        <v>262.3341156641837</v>
      </c>
      <c r="Q37" s="10" t="n">
        <v>1.5</v>
      </c>
      <c r="R37" s="12" t="n">
        <v>0.021</v>
      </c>
      <c r="S37" s="13" t="inlineStr">
        <is>
          <t>Success</t>
        </is>
      </c>
      <c r="T37" s="10" t="n">
        <v>0.3935011734962756</v>
      </c>
      <c r="U37" s="10" t="n">
        <v>0.7870023469925512</v>
      </c>
      <c r="V37" s="10" t="n">
        <v>3.148009387970205</v>
      </c>
    </row>
    <row r="38">
      <c r="I38" s="8" t="inlineStr">
        <is>
          <t>ACE-10032</t>
        </is>
      </c>
      <c r="J38" s="8" t="inlineStr">
        <is>
          <t>2026-05-09 13:39:44</t>
        </is>
      </c>
      <c r="K38" s="8" t="inlineStr">
        <is>
          <t>CUST-76049</t>
        </is>
      </c>
      <c r="L38" s="9" t="inlineStr">
        <is>
          <t>EUR-PKR</t>
        </is>
      </c>
      <c r="M38" s="8" t="inlineStr">
        <is>
          <t>EUR</t>
        </is>
      </c>
      <c r="N38" s="10" t="n">
        <v>227.5231270555737</v>
      </c>
      <c r="O38" s="11" t="n">
        <v>0.85</v>
      </c>
      <c r="P38" s="10" t="n">
        <v>193.3946579972376</v>
      </c>
      <c r="Q38" s="10" t="n">
        <v>1.275</v>
      </c>
      <c r="R38" s="12" t="n">
        <v>0.023</v>
      </c>
      <c r="S38" s="13" t="inlineStr">
        <is>
          <t>Success</t>
        </is>
      </c>
      <c r="T38" s="10" t="n">
        <v>0.2900919869958565</v>
      </c>
      <c r="U38" s="10" t="n">
        <v>0.580183973991713</v>
      </c>
      <c r="V38" s="10" t="n">
        <v>2.900919869958564</v>
      </c>
    </row>
    <row r="39">
      <c r="I39" s="8" t="inlineStr">
        <is>
          <t>ACE-10033</t>
        </is>
      </c>
      <c r="J39" s="8" t="inlineStr">
        <is>
          <t>2026-05-22 16:24:20</t>
        </is>
      </c>
      <c r="K39" s="8" t="inlineStr">
        <is>
          <t>CUST-91077</t>
        </is>
      </c>
      <c r="L39" s="9" t="inlineStr">
        <is>
          <t>USD-PKR</t>
        </is>
      </c>
      <c r="M39" s="8" t="inlineStr">
        <is>
          <t>USD</t>
        </is>
      </c>
      <c r="N39" s="10" t="n">
        <v>218.6074867707614</v>
      </c>
      <c r="O39" s="11" t="n">
        <v>0.8</v>
      </c>
      <c r="P39" s="10" t="n">
        <v>174.8859894166092</v>
      </c>
      <c r="Q39" s="10" t="n">
        <v>1.6</v>
      </c>
      <c r="R39" s="12" t="n">
        <v>0.019</v>
      </c>
      <c r="S39" s="13" t="inlineStr">
        <is>
          <t>Success</t>
        </is>
      </c>
      <c r="T39" s="10" t="n">
        <v>0.2623289841249137</v>
      </c>
      <c r="U39" s="10" t="n">
        <v>0.5246579682498275</v>
      </c>
      <c r="V39" s="10" t="n">
        <v>2.09863187299931</v>
      </c>
    </row>
    <row r="40">
      <c r="I40" s="8" t="inlineStr">
        <is>
          <t>ACE-10034</t>
        </is>
      </c>
      <c r="J40" s="8" t="inlineStr">
        <is>
          <t>2026-05-18 08:39:04</t>
        </is>
      </c>
      <c r="K40" s="8" t="inlineStr">
        <is>
          <t>CUST-65385</t>
        </is>
      </c>
      <c r="L40" s="9" t="inlineStr">
        <is>
          <t>GBP-PKR</t>
        </is>
      </c>
      <c r="M40" s="8" t="inlineStr">
        <is>
          <t>GBP</t>
        </is>
      </c>
      <c r="N40" s="10" t="n">
        <v>250.6402164602473</v>
      </c>
      <c r="O40" s="11" t="n">
        <v>1</v>
      </c>
      <c r="P40" s="10" t="n">
        <v>250.6402164602473</v>
      </c>
      <c r="Q40" s="10" t="n">
        <v>1.5</v>
      </c>
      <c r="R40" s="12" t="n">
        <v>0.021</v>
      </c>
      <c r="S40" s="13" t="inlineStr">
        <is>
          <t>Success</t>
        </is>
      </c>
      <c r="T40" s="10" t="n">
        <v>0.375960324690371</v>
      </c>
      <c r="U40" s="10" t="n">
        <v>0.751920649380742</v>
      </c>
      <c r="V40" s="10" t="n">
        <v>3.007682597522968</v>
      </c>
    </row>
    <row r="41">
      <c r="I41" s="8" t="inlineStr">
        <is>
          <t>ACE-10035</t>
        </is>
      </c>
      <c r="J41" s="8" t="inlineStr">
        <is>
          <t>2026-05-08 19:05:27</t>
        </is>
      </c>
      <c r="K41" s="8" t="inlineStr">
        <is>
          <t>CUST-56451</t>
        </is>
      </c>
      <c r="L41" s="9" t="inlineStr">
        <is>
          <t>EUR-PKR</t>
        </is>
      </c>
      <c r="M41" s="8" t="inlineStr">
        <is>
          <t>EUR</t>
        </is>
      </c>
      <c r="N41" s="10" t="n">
        <v>205.2602247912766</v>
      </c>
      <c r="O41" s="11" t="n">
        <v>0.85</v>
      </c>
      <c r="P41" s="10" t="n">
        <v>174.4711910725851</v>
      </c>
      <c r="Q41" s="10" t="n">
        <v>1.275</v>
      </c>
      <c r="R41" s="12" t="n">
        <v>0.023</v>
      </c>
      <c r="S41" s="13" t="inlineStr">
        <is>
          <t>Success</t>
        </is>
      </c>
      <c r="T41" s="10" t="n">
        <v>0.2617067866088776</v>
      </c>
      <c r="U41" s="10" t="n">
        <v>0.5234135732177553</v>
      </c>
      <c r="V41" s="10" t="n">
        <v>2.617067866088776</v>
      </c>
    </row>
    <row r="42">
      <c r="I42" s="8" t="inlineStr">
        <is>
          <t>ACE-10036</t>
        </is>
      </c>
      <c r="J42" s="8" t="inlineStr">
        <is>
          <t>2026-05-04 15:10:44</t>
        </is>
      </c>
      <c r="K42" s="8" t="inlineStr">
        <is>
          <t>CUST-69625</t>
        </is>
      </c>
      <c r="L42" s="9" t="inlineStr">
        <is>
          <t>GBP-PKR</t>
        </is>
      </c>
      <c r="M42" s="8" t="inlineStr">
        <is>
          <t>GBP</t>
        </is>
      </c>
      <c r="N42" s="10" t="n">
        <v>246.5846243385343</v>
      </c>
      <c r="O42" s="11" t="n">
        <v>1</v>
      </c>
      <c r="P42" s="10" t="n">
        <v>246.5846243385343</v>
      </c>
      <c r="Q42" s="10" t="n">
        <v>1.5</v>
      </c>
      <c r="R42" s="12" t="n">
        <v>0.021</v>
      </c>
      <c r="S42" s="13" t="inlineStr">
        <is>
          <t>Success</t>
        </is>
      </c>
      <c r="T42" s="10" t="n">
        <v>0.3698769365078015</v>
      </c>
      <c r="U42" s="10" t="n">
        <v>0</v>
      </c>
      <c r="V42" s="10" t="n">
        <v>2.959015492062412</v>
      </c>
    </row>
    <row r="43">
      <c r="I43" s="8" t="inlineStr">
        <is>
          <t>ACE-10037</t>
        </is>
      </c>
      <c r="J43" s="8" t="inlineStr">
        <is>
          <t>2026-05-02 12:22:23</t>
        </is>
      </c>
      <c r="K43" s="8" t="inlineStr">
        <is>
          <t>CUST-78225</t>
        </is>
      </c>
      <c r="L43" s="9" t="inlineStr">
        <is>
          <t>GBP-PKR</t>
        </is>
      </c>
      <c r="M43" s="8" t="inlineStr">
        <is>
          <t>GBP</t>
        </is>
      </c>
      <c r="N43" s="10" t="n">
        <v>284.4837012067907</v>
      </c>
      <c r="O43" s="11" t="n">
        <v>1</v>
      </c>
      <c r="P43" s="10" t="n">
        <v>284.4837012067907</v>
      </c>
      <c r="Q43" s="10" t="n">
        <v>1.5</v>
      </c>
      <c r="R43" s="12" t="n">
        <v>0.021</v>
      </c>
      <c r="S43" s="13" t="inlineStr">
        <is>
          <t>Success</t>
        </is>
      </c>
      <c r="T43" s="10" t="n">
        <v>0.4267255518101861</v>
      </c>
      <c r="U43" s="10" t="n">
        <v>0</v>
      </c>
      <c r="V43" s="10" t="n">
        <v>3.413804414481489</v>
      </c>
    </row>
    <row r="44">
      <c r="I44" s="8" t="inlineStr">
        <is>
          <t>ACE-10038</t>
        </is>
      </c>
      <c r="J44" s="8" t="inlineStr">
        <is>
          <t>2026-05-19 18:50:11</t>
        </is>
      </c>
      <c r="K44" s="8" t="inlineStr">
        <is>
          <t>CUST-61140</t>
        </is>
      </c>
      <c r="L44" s="9" t="inlineStr">
        <is>
          <t>USD-PKR</t>
        </is>
      </c>
      <c r="M44" s="8" t="inlineStr">
        <is>
          <t>USD</t>
        </is>
      </c>
      <c r="N44" s="10" t="n">
        <v>179.9466708549058</v>
      </c>
      <c r="O44" s="11" t="n">
        <v>0.8</v>
      </c>
      <c r="P44" s="10" t="n">
        <v>143.9573366839246</v>
      </c>
      <c r="Q44" s="10" t="n">
        <v>1.6</v>
      </c>
      <c r="R44" s="12" t="n">
        <v>0.019</v>
      </c>
      <c r="S44" s="13" t="inlineStr">
        <is>
          <t>Success</t>
        </is>
      </c>
      <c r="T44" s="10" t="n">
        <v>0.2159360050258869</v>
      </c>
      <c r="U44" s="10" t="n">
        <v>0.4318720100517738</v>
      </c>
      <c r="V44" s="10" t="n">
        <v>1.727488040207095</v>
      </c>
    </row>
    <row r="45">
      <c r="I45" s="8" t="inlineStr">
        <is>
          <t>ACE-10039</t>
        </is>
      </c>
      <c r="J45" s="8" t="inlineStr">
        <is>
          <t>2026-05-13 17:43:15</t>
        </is>
      </c>
      <c r="K45" s="8" t="inlineStr">
        <is>
          <t>CUST-82615</t>
        </is>
      </c>
      <c r="L45" s="9" t="inlineStr">
        <is>
          <t>GBP-PKR</t>
        </is>
      </c>
      <c r="M45" s="8" t="inlineStr">
        <is>
          <t>GBP</t>
        </is>
      </c>
      <c r="N45" s="10" t="n">
        <v>243.9518813539382</v>
      </c>
      <c r="O45" s="11" t="n">
        <v>1</v>
      </c>
      <c r="P45" s="10" t="n">
        <v>243.9518813539382</v>
      </c>
      <c r="Q45" s="10" t="n">
        <v>1.5</v>
      </c>
      <c r="R45" s="12" t="n">
        <v>0.021</v>
      </c>
      <c r="S45" s="13" t="inlineStr">
        <is>
          <t>Success</t>
        </is>
      </c>
      <c r="T45" s="10" t="n">
        <v>0.3659278220309073</v>
      </c>
      <c r="U45" s="10" t="n">
        <v>0</v>
      </c>
      <c r="V45" s="10" t="n">
        <v>2.927422576247258</v>
      </c>
    </row>
    <row r="46">
      <c r="I46" s="8" t="inlineStr">
        <is>
          <t>ACE-10040</t>
        </is>
      </c>
      <c r="J46" s="8" t="inlineStr">
        <is>
          <t>2026-05-15 18:16:29</t>
        </is>
      </c>
      <c r="K46" s="8" t="inlineStr">
        <is>
          <t>CUST-66733</t>
        </is>
      </c>
      <c r="L46" s="9" t="inlineStr">
        <is>
          <t>GBP-PKR</t>
        </is>
      </c>
      <c r="M46" s="8" t="inlineStr">
        <is>
          <t>GBP</t>
        </is>
      </c>
      <c r="N46" s="10" t="n">
        <v>284.142458478633</v>
      </c>
      <c r="O46" s="11" t="n">
        <v>1</v>
      </c>
      <c r="P46" s="10" t="n">
        <v>284.142458478633</v>
      </c>
      <c r="Q46" s="10" t="n">
        <v>1.5</v>
      </c>
      <c r="R46" s="12" t="n">
        <v>0.021</v>
      </c>
      <c r="S46" s="13" t="inlineStr">
        <is>
          <t>Success</t>
        </is>
      </c>
      <c r="T46" s="10" t="n">
        <v>0.4262136877179495</v>
      </c>
      <c r="U46" s="10" t="n">
        <v>0.852427375435899</v>
      </c>
      <c r="V46" s="10" t="n">
        <v>3.409709501743596</v>
      </c>
    </row>
    <row r="47">
      <c r="I47" s="8" t="inlineStr">
        <is>
          <t>ACE-10041</t>
        </is>
      </c>
      <c r="J47" s="8" t="inlineStr">
        <is>
          <t>2026-05-15 12:43:34</t>
        </is>
      </c>
      <c r="K47" s="8" t="inlineStr">
        <is>
          <t>CUST-60353</t>
        </is>
      </c>
      <c r="L47" s="9" t="inlineStr">
        <is>
          <t>GBP-PKR</t>
        </is>
      </c>
      <c r="M47" s="8" t="inlineStr">
        <is>
          <t>GBP</t>
        </is>
      </c>
      <c r="N47" s="10" t="n">
        <v>299.956139160378</v>
      </c>
      <c r="O47" s="11" t="n">
        <v>1</v>
      </c>
      <c r="P47" s="10" t="n">
        <v>299.956139160378</v>
      </c>
      <c r="Q47" s="10" t="n">
        <v>1.5</v>
      </c>
      <c r="R47" s="12" t="n">
        <v>0.021</v>
      </c>
      <c r="S47" s="13" t="inlineStr">
        <is>
          <t>Success</t>
        </is>
      </c>
      <c r="T47" s="10" t="n">
        <v>0.4499342087405671</v>
      </c>
      <c r="U47" s="10" t="n">
        <v>0.8998684174811341</v>
      </c>
      <c r="V47" s="10" t="n">
        <v>3.599473669924536</v>
      </c>
    </row>
    <row r="48">
      <c r="I48" s="8" t="inlineStr">
        <is>
          <t>ACE-10042</t>
        </is>
      </c>
      <c r="J48" s="8" t="inlineStr">
        <is>
          <t>2026-05-19 12:40:27</t>
        </is>
      </c>
      <c r="K48" s="8" t="inlineStr">
        <is>
          <t>CUST-95240</t>
        </is>
      </c>
      <c r="L48" s="9" t="inlineStr">
        <is>
          <t>GBP-PKR</t>
        </is>
      </c>
      <c r="M48" s="8" t="inlineStr">
        <is>
          <t>GBP</t>
        </is>
      </c>
      <c r="N48" s="10" t="n">
        <v>283.4190179206567</v>
      </c>
      <c r="O48" s="11" t="n">
        <v>1</v>
      </c>
      <c r="P48" s="10" t="n">
        <v>283.4190179206567</v>
      </c>
      <c r="Q48" s="10" t="n">
        <v>1.5</v>
      </c>
      <c r="R48" s="12" t="n">
        <v>0.021</v>
      </c>
      <c r="S48" s="13" t="inlineStr">
        <is>
          <t>Success</t>
        </is>
      </c>
      <c r="T48" s="10" t="n">
        <v>0.4251285268809851</v>
      </c>
      <c r="U48" s="10" t="n">
        <v>0.8502570537619701</v>
      </c>
      <c r="V48" s="10" t="n">
        <v>3.401028215047881</v>
      </c>
    </row>
    <row r="49">
      <c r="I49" s="8" t="inlineStr">
        <is>
          <t>ACE-10043</t>
        </is>
      </c>
      <c r="J49" s="8" t="inlineStr">
        <is>
          <t>2026-05-07 14:54:30</t>
        </is>
      </c>
      <c r="K49" s="8" t="inlineStr">
        <is>
          <t>CUST-56989</t>
        </is>
      </c>
      <c r="L49" s="9" t="inlineStr">
        <is>
          <t>USD-PKR</t>
        </is>
      </c>
      <c r="M49" s="8" t="inlineStr">
        <is>
          <t>USD</t>
        </is>
      </c>
      <c r="N49" s="10" t="n">
        <v>216.3857551038259</v>
      </c>
      <c r="O49" s="11" t="n">
        <v>0.8</v>
      </c>
      <c r="P49" s="10" t="n">
        <v>173.1086040830608</v>
      </c>
      <c r="Q49" s="10" t="n">
        <v>1.6</v>
      </c>
      <c r="R49" s="12" t="n">
        <v>0.019</v>
      </c>
      <c r="S49" s="13" t="inlineStr">
        <is>
          <t>Success</t>
        </is>
      </c>
      <c r="T49" s="10" t="n">
        <v>0.2596629061245911</v>
      </c>
      <c r="U49" s="10" t="n">
        <v>0</v>
      </c>
      <c r="V49" s="10" t="n">
        <v>2.077303248996729</v>
      </c>
    </row>
    <row r="50">
      <c r="I50" s="8" t="inlineStr">
        <is>
          <t>ACE-10044</t>
        </is>
      </c>
      <c r="J50" s="8" t="inlineStr">
        <is>
          <t>2026-05-19 12:44:18</t>
        </is>
      </c>
      <c r="K50" s="8" t="inlineStr">
        <is>
          <t>CUST-51437</t>
        </is>
      </c>
      <c r="L50" s="9" t="inlineStr">
        <is>
          <t>GBP-PKR</t>
        </is>
      </c>
      <c r="M50" s="8" t="inlineStr">
        <is>
          <t>GBP</t>
        </is>
      </c>
      <c r="N50" s="10" t="n">
        <v>270.3396776345132</v>
      </c>
      <c r="O50" s="11" t="n">
        <v>1</v>
      </c>
      <c r="P50" s="10" t="n">
        <v>270.3396776345132</v>
      </c>
      <c r="Q50" s="10" t="n">
        <v>1.5</v>
      </c>
      <c r="R50" s="12" t="n">
        <v>0.021</v>
      </c>
      <c r="S50" s="13" t="inlineStr">
        <is>
          <t>Success</t>
        </is>
      </c>
      <c r="T50" s="10" t="n">
        <v>0.4055095164517699</v>
      </c>
      <c r="U50" s="10" t="n">
        <v>0.8110190329035397</v>
      </c>
      <c r="V50" s="10" t="n">
        <v>3.244076131614159</v>
      </c>
    </row>
    <row r="51">
      <c r="I51" s="8" t="inlineStr">
        <is>
          <t>ACE-10045</t>
        </is>
      </c>
      <c r="J51" s="8" t="inlineStr">
        <is>
          <t>2026-05-09 08:36:55</t>
        </is>
      </c>
      <c r="K51" s="8" t="inlineStr">
        <is>
          <t>CUST-94944</t>
        </is>
      </c>
      <c r="L51" s="9" t="inlineStr">
        <is>
          <t>GBP-PKR</t>
        </is>
      </c>
      <c r="M51" s="8" t="inlineStr">
        <is>
          <t>GBP</t>
        </is>
      </c>
      <c r="N51" s="10" t="n">
        <v>240.3118378036079</v>
      </c>
      <c r="O51" s="11" t="n">
        <v>1</v>
      </c>
      <c r="P51" s="10" t="n">
        <v>240.3118378036079</v>
      </c>
      <c r="Q51" s="10" t="n">
        <v>1.5</v>
      </c>
      <c r="R51" s="12" t="n">
        <v>0.021</v>
      </c>
      <c r="S51" s="13" t="inlineStr">
        <is>
          <t>Success</t>
        </is>
      </c>
      <c r="T51" s="10" t="n">
        <v>0.3604677567054119</v>
      </c>
      <c r="U51" s="10" t="n">
        <v>0.7209355134108237</v>
      </c>
      <c r="V51" s="10" t="n">
        <v>2.883742053643295</v>
      </c>
    </row>
    <row r="52">
      <c r="I52" s="8" t="inlineStr">
        <is>
          <t>ACE-10046</t>
        </is>
      </c>
      <c r="J52" s="8" t="inlineStr">
        <is>
          <t>2026-05-20 19:31:53</t>
        </is>
      </c>
      <c r="K52" s="8" t="inlineStr">
        <is>
          <t>CUST-68756</t>
        </is>
      </c>
      <c r="L52" s="9" t="inlineStr">
        <is>
          <t>USD-PKR</t>
        </is>
      </c>
      <c r="M52" s="8" t="inlineStr">
        <is>
          <t>USD</t>
        </is>
      </c>
      <c r="N52" s="10" t="n">
        <v>203.6989412272144</v>
      </c>
      <c r="O52" s="11" t="n">
        <v>0.8</v>
      </c>
      <c r="P52" s="10" t="n">
        <v>162.9591529817715</v>
      </c>
      <c r="Q52" s="10" t="n">
        <v>1.6</v>
      </c>
      <c r="R52" s="12" t="n">
        <v>0.019</v>
      </c>
      <c r="S52" s="13" t="inlineStr">
        <is>
          <t>Success</t>
        </is>
      </c>
      <c r="T52" s="10" t="n">
        <v>0.2444387294726573</v>
      </c>
      <c r="U52" s="10" t="n">
        <v>0</v>
      </c>
      <c r="V52" s="10" t="n">
        <v>1.955509835781258</v>
      </c>
    </row>
    <row r="53">
      <c r="I53" s="8" t="inlineStr">
        <is>
          <t>ACE-10047</t>
        </is>
      </c>
      <c r="J53" s="8" t="inlineStr">
        <is>
          <t>2026-05-12 11:40:12</t>
        </is>
      </c>
      <c r="K53" s="8" t="inlineStr">
        <is>
          <t>CUST-90690</t>
        </is>
      </c>
      <c r="L53" s="9" t="inlineStr">
        <is>
          <t>GBP-PKR</t>
        </is>
      </c>
      <c r="M53" s="8" t="inlineStr">
        <is>
          <t>GBP</t>
        </is>
      </c>
      <c r="N53" s="10" t="n">
        <v>266.0610320001883</v>
      </c>
      <c r="O53" s="11" t="n">
        <v>1</v>
      </c>
      <c r="P53" s="10" t="n">
        <v>266.0610320001883</v>
      </c>
      <c r="Q53" s="10" t="n">
        <v>1.5</v>
      </c>
      <c r="R53" s="12" t="n">
        <v>0.021</v>
      </c>
      <c r="S53" s="13" t="inlineStr">
        <is>
          <t>Success</t>
        </is>
      </c>
      <c r="T53" s="10" t="n">
        <v>0.3990915480002825</v>
      </c>
      <c r="U53" s="10" t="n">
        <v>0.798183096000565</v>
      </c>
      <c r="V53" s="10" t="n">
        <v>3.19273238400226</v>
      </c>
    </row>
    <row r="54">
      <c r="I54" s="8" t="inlineStr">
        <is>
          <t>ACE-10048</t>
        </is>
      </c>
      <c r="J54" s="8" t="inlineStr">
        <is>
          <t>2026-05-22 18:53:08</t>
        </is>
      </c>
      <c r="K54" s="8" t="inlineStr">
        <is>
          <t>CUST-91172</t>
        </is>
      </c>
      <c r="L54" s="9" t="inlineStr">
        <is>
          <t>GBP-PKR</t>
        </is>
      </c>
      <c r="M54" s="8" t="inlineStr">
        <is>
          <t>GBP</t>
        </is>
      </c>
      <c r="N54" s="10" t="n">
        <v>309.6683313293368</v>
      </c>
      <c r="O54" s="11" t="n">
        <v>1</v>
      </c>
      <c r="P54" s="10" t="n">
        <v>309.6683313293368</v>
      </c>
      <c r="Q54" s="10" t="n">
        <v>1.5</v>
      </c>
      <c r="R54" s="12" t="n">
        <v>0.021</v>
      </c>
      <c r="S54" s="13" t="inlineStr">
        <is>
          <t>Success</t>
        </is>
      </c>
      <c r="T54" s="10" t="n">
        <v>0.4645024969940052</v>
      </c>
      <c r="U54" s="10" t="n">
        <v>0.9290049939880104</v>
      </c>
      <c r="V54" s="10" t="n">
        <v>3.716019975952042</v>
      </c>
    </row>
    <row r="55">
      <c r="I55" s="8" t="inlineStr">
        <is>
          <t>ACE-10049</t>
        </is>
      </c>
      <c r="J55" s="8" t="inlineStr">
        <is>
          <t>2026-05-02 12:50:28</t>
        </is>
      </c>
      <c r="K55" s="8" t="inlineStr">
        <is>
          <t>CUST-52186</t>
        </is>
      </c>
      <c r="L55" s="9" t="inlineStr">
        <is>
          <t>USD-PKR</t>
        </is>
      </c>
      <c r="M55" s="8" t="inlineStr">
        <is>
          <t>USD</t>
        </is>
      </c>
      <c r="N55" s="10" t="n">
        <v>226.555370249266</v>
      </c>
      <c r="O55" s="11" t="n">
        <v>0.8</v>
      </c>
      <c r="P55" s="10" t="n">
        <v>181.2442961994128</v>
      </c>
      <c r="Q55" s="10" t="n">
        <v>1.6</v>
      </c>
      <c r="R55" s="12" t="n">
        <v>0.019</v>
      </c>
      <c r="S55" s="13" t="inlineStr">
        <is>
          <t>Success</t>
        </is>
      </c>
      <c r="T55" s="10" t="n">
        <v>0.2718664442991193</v>
      </c>
      <c r="U55" s="10" t="n">
        <v>0.5437328885982385</v>
      </c>
      <c r="V55" s="10" t="n">
        <v>2.174931554392954</v>
      </c>
    </row>
    <row r="56">
      <c r="I56" s="8" t="inlineStr">
        <is>
          <t>ACE-10050</t>
        </is>
      </c>
      <c r="J56" s="8" t="inlineStr">
        <is>
          <t>2026-05-03 12:20:47</t>
        </is>
      </c>
      <c r="K56" s="8" t="inlineStr">
        <is>
          <t>CUST-77230</t>
        </is>
      </c>
      <c r="L56" s="9" t="inlineStr">
        <is>
          <t>GBP-PKR</t>
        </is>
      </c>
      <c r="M56" s="8" t="inlineStr">
        <is>
          <t>GBP</t>
        </is>
      </c>
      <c r="N56" s="10" t="n">
        <v>233.5708804632987</v>
      </c>
      <c r="O56" s="11" t="n">
        <v>1</v>
      </c>
      <c r="P56" s="10" t="n">
        <v>233.5708804632987</v>
      </c>
      <c r="Q56" s="10" t="n">
        <v>1.5</v>
      </c>
      <c r="R56" s="12" t="n">
        <v>0.021</v>
      </c>
      <c r="S56" s="13" t="inlineStr">
        <is>
          <t>Success</t>
        </is>
      </c>
      <c r="T56" s="10" t="n">
        <v>0.3503563206949481</v>
      </c>
      <c r="U56" s="10" t="n">
        <v>0</v>
      </c>
      <c r="V56" s="10" t="n">
        <v>2.802850565559585</v>
      </c>
    </row>
    <row r="57">
      <c r="I57" s="8" t="inlineStr">
        <is>
          <t>ACE-10051</t>
        </is>
      </c>
      <c r="J57" s="8" t="inlineStr">
        <is>
          <t>2026-05-18 13:33:32</t>
        </is>
      </c>
      <c r="K57" s="8" t="inlineStr">
        <is>
          <t>CUST-67860</t>
        </is>
      </c>
      <c r="L57" s="9" t="inlineStr">
        <is>
          <t>GBP-PKR</t>
        </is>
      </c>
      <c r="M57" s="8" t="inlineStr">
        <is>
          <t>GBP</t>
        </is>
      </c>
      <c r="N57" s="10" t="n">
        <v>287.7804894490018</v>
      </c>
      <c r="O57" s="11" t="n">
        <v>1</v>
      </c>
      <c r="P57" s="10" t="n">
        <v>287.7804894490018</v>
      </c>
      <c r="Q57" s="10" t="n">
        <v>1.5</v>
      </c>
      <c r="R57" s="12" t="n">
        <v>0.021</v>
      </c>
      <c r="S57" s="13" t="inlineStr">
        <is>
          <t>Success</t>
        </is>
      </c>
      <c r="T57" s="10" t="n">
        <v>0.4316707341735028</v>
      </c>
      <c r="U57" s="10" t="n">
        <v>0</v>
      </c>
      <c r="V57" s="10" t="n">
        <v>3.453365873388022</v>
      </c>
    </row>
    <row r="58">
      <c r="I58" s="8" t="inlineStr">
        <is>
          <t>ACE-10052</t>
        </is>
      </c>
      <c r="J58" s="8" t="inlineStr">
        <is>
          <t>2026-05-16 20:18:47</t>
        </is>
      </c>
      <c r="K58" s="8" t="inlineStr">
        <is>
          <t>CUST-72198</t>
        </is>
      </c>
      <c r="L58" s="9" t="inlineStr">
        <is>
          <t>EUR-PKR</t>
        </is>
      </c>
      <c r="M58" s="8" t="inlineStr">
        <is>
          <t>EUR</t>
        </is>
      </c>
      <c r="N58" s="10" t="n">
        <v>181.9106885024077</v>
      </c>
      <c r="O58" s="11" t="n">
        <v>0.85</v>
      </c>
      <c r="P58" s="10" t="n">
        <v>154.6240852270465</v>
      </c>
      <c r="Q58" s="10" t="n">
        <v>1.275</v>
      </c>
      <c r="R58" s="12" t="n">
        <v>0.023</v>
      </c>
      <c r="S58" s="13" t="inlineStr">
        <is>
          <t>Success</t>
        </is>
      </c>
      <c r="T58" s="10" t="n">
        <v>0.2319361278405698</v>
      </c>
      <c r="U58" s="10" t="n">
        <v>0</v>
      </c>
      <c r="V58" s="10" t="n">
        <v>2.319361278405698</v>
      </c>
    </row>
    <row r="59">
      <c r="I59" s="8" t="inlineStr">
        <is>
          <t>ACE-10053</t>
        </is>
      </c>
      <c r="J59" s="8" t="inlineStr">
        <is>
          <t>2026-05-03 10:48:14</t>
        </is>
      </c>
      <c r="K59" s="8" t="inlineStr">
        <is>
          <t>CUST-94323</t>
        </is>
      </c>
      <c r="L59" s="9" t="inlineStr">
        <is>
          <t>GBP-PKR</t>
        </is>
      </c>
      <c r="M59" s="8" t="inlineStr">
        <is>
          <t>GBP</t>
        </is>
      </c>
      <c r="N59" s="10" t="n">
        <v>260.3683614484187</v>
      </c>
      <c r="O59" s="11" t="n">
        <v>1</v>
      </c>
      <c r="P59" s="10" t="n">
        <v>260.3683614484187</v>
      </c>
      <c r="Q59" s="10" t="n">
        <v>1.5</v>
      </c>
      <c r="R59" s="12" t="n">
        <v>0.021</v>
      </c>
      <c r="S59" s="13" t="inlineStr">
        <is>
          <t>Success</t>
        </is>
      </c>
      <c r="T59" s="10" t="n">
        <v>0.3905525421726281</v>
      </c>
      <c r="U59" s="10" t="n">
        <v>0.7811050843452563</v>
      </c>
      <c r="V59" s="10" t="n">
        <v>3.124420337381025</v>
      </c>
    </row>
    <row r="60">
      <c r="I60" s="8" t="inlineStr">
        <is>
          <t>ACE-10054</t>
        </is>
      </c>
      <c r="J60" s="8" t="inlineStr">
        <is>
          <t>2026-05-18 13:05:50</t>
        </is>
      </c>
      <c r="K60" s="8" t="inlineStr">
        <is>
          <t>CUST-75858</t>
        </is>
      </c>
      <c r="L60" s="9" t="inlineStr">
        <is>
          <t>GBP-PKR</t>
        </is>
      </c>
      <c r="M60" s="8" t="inlineStr">
        <is>
          <t>GBP</t>
        </is>
      </c>
      <c r="N60" s="10" t="n">
        <v>296.176995104461</v>
      </c>
      <c r="O60" s="11" t="n">
        <v>1</v>
      </c>
      <c r="P60" s="10" t="n">
        <v>296.176995104461</v>
      </c>
      <c r="Q60" s="10" t="n">
        <v>1.5</v>
      </c>
      <c r="R60" s="12" t="n">
        <v>0.021</v>
      </c>
      <c r="S60" s="13" t="inlineStr">
        <is>
          <t>Failed</t>
        </is>
      </c>
      <c r="T60" s="10" t="n">
        <v>0</v>
      </c>
      <c r="U60" s="10" t="n">
        <v>0</v>
      </c>
      <c r="V60" s="10" t="n">
        <v>0.5</v>
      </c>
    </row>
    <row r="61">
      <c r="I61" s="8" t="inlineStr">
        <is>
          <t>ACE-10055</t>
        </is>
      </c>
      <c r="J61" s="8" t="inlineStr">
        <is>
          <t>2026-05-18 09:29:23</t>
        </is>
      </c>
      <c r="K61" s="8" t="inlineStr">
        <is>
          <t>CUST-94094</t>
        </is>
      </c>
      <c r="L61" s="9" t="inlineStr">
        <is>
          <t>GBP-PKR</t>
        </is>
      </c>
      <c r="M61" s="8" t="inlineStr">
        <is>
          <t>GBP</t>
        </is>
      </c>
      <c r="N61" s="10" t="n">
        <v>308.8604495843526</v>
      </c>
      <c r="O61" s="11" t="n">
        <v>1</v>
      </c>
      <c r="P61" s="10" t="n">
        <v>308.8604495843526</v>
      </c>
      <c r="Q61" s="10" t="n">
        <v>1.5</v>
      </c>
      <c r="R61" s="12" t="n">
        <v>0.021</v>
      </c>
      <c r="S61" s="13" t="inlineStr">
        <is>
          <t>Success</t>
        </is>
      </c>
      <c r="T61" s="10" t="n">
        <v>0.4632906743765289</v>
      </c>
      <c r="U61" s="10" t="n">
        <v>0</v>
      </c>
      <c r="V61" s="10" t="n">
        <v>3.706325395012231</v>
      </c>
    </row>
    <row r="62">
      <c r="I62" s="8" t="inlineStr">
        <is>
          <t>ACE-10056</t>
        </is>
      </c>
      <c r="J62" s="8" t="inlineStr">
        <is>
          <t>2026-05-13 18:23:06</t>
        </is>
      </c>
      <c r="K62" s="8" t="inlineStr">
        <is>
          <t>CUST-94226</t>
        </is>
      </c>
      <c r="L62" s="9" t="inlineStr">
        <is>
          <t>GBP-PKR</t>
        </is>
      </c>
      <c r="M62" s="8" t="inlineStr">
        <is>
          <t>GBP</t>
        </is>
      </c>
      <c r="N62" s="10" t="n">
        <v>305.7958171695779</v>
      </c>
      <c r="O62" s="11" t="n">
        <v>1</v>
      </c>
      <c r="P62" s="10" t="n">
        <v>305.7958171695779</v>
      </c>
      <c r="Q62" s="10" t="n">
        <v>1.5</v>
      </c>
      <c r="R62" s="12" t="n">
        <v>0.021</v>
      </c>
      <c r="S62" s="13" t="inlineStr">
        <is>
          <t>Success</t>
        </is>
      </c>
      <c r="T62" s="10" t="n">
        <v>0.4586937257543668</v>
      </c>
      <c r="U62" s="10" t="n">
        <v>0</v>
      </c>
      <c r="V62" s="10" t="n">
        <v>3.669549806034935</v>
      </c>
    </row>
    <row r="63">
      <c r="I63" s="8" t="inlineStr">
        <is>
          <t>ACE-10057</t>
        </is>
      </c>
      <c r="J63" s="8" t="inlineStr">
        <is>
          <t>2026-05-18 13:58:39</t>
        </is>
      </c>
      <c r="K63" s="8" t="inlineStr">
        <is>
          <t>CUST-64507</t>
        </is>
      </c>
      <c r="L63" s="9" t="inlineStr">
        <is>
          <t>GBP-PKR</t>
        </is>
      </c>
      <c r="M63" s="8" t="inlineStr">
        <is>
          <t>GBP</t>
        </is>
      </c>
      <c r="N63" s="10" t="n">
        <v>256.1768050567057</v>
      </c>
      <c r="O63" s="11" t="n">
        <v>1</v>
      </c>
      <c r="P63" s="10" t="n">
        <v>256.1768050567057</v>
      </c>
      <c r="Q63" s="10" t="n">
        <v>1.5</v>
      </c>
      <c r="R63" s="12" t="n">
        <v>0.021</v>
      </c>
      <c r="S63" s="13" t="inlineStr">
        <is>
          <t>Success</t>
        </is>
      </c>
      <c r="T63" s="10" t="n">
        <v>0.3842652075850586</v>
      </c>
      <c r="U63" s="10" t="n">
        <v>0.7685304151701171</v>
      </c>
      <c r="V63" s="10" t="n">
        <v>3.074121660680468</v>
      </c>
    </row>
    <row r="64">
      <c r="I64" s="8" t="inlineStr">
        <is>
          <t>ACE-10058</t>
        </is>
      </c>
      <c r="J64" s="8" t="inlineStr">
        <is>
          <t>2026-05-15 19:19:41</t>
        </is>
      </c>
      <c r="K64" s="8" t="inlineStr">
        <is>
          <t>CUST-76758</t>
        </is>
      </c>
      <c r="L64" s="9" t="inlineStr">
        <is>
          <t>USD-PKR</t>
        </is>
      </c>
      <c r="M64" s="8" t="inlineStr">
        <is>
          <t>USD</t>
        </is>
      </c>
      <c r="N64" s="10" t="n">
        <v>212.2375802523433</v>
      </c>
      <c r="O64" s="11" t="n">
        <v>0.8</v>
      </c>
      <c r="P64" s="10" t="n">
        <v>169.7900642018746</v>
      </c>
      <c r="Q64" s="10" t="n">
        <v>1.6</v>
      </c>
      <c r="R64" s="12" t="n">
        <v>0.019</v>
      </c>
      <c r="S64" s="13" t="inlineStr">
        <is>
          <t>Success</t>
        </is>
      </c>
      <c r="T64" s="10" t="n">
        <v>0.2546850963028119</v>
      </c>
      <c r="U64" s="10" t="n">
        <v>0</v>
      </c>
      <c r="V64" s="10" t="n">
        <v>2.037480770422496</v>
      </c>
    </row>
    <row r="65">
      <c r="I65" s="8" t="inlineStr">
        <is>
          <t>ACE-10059</t>
        </is>
      </c>
      <c r="J65" s="8" t="inlineStr">
        <is>
          <t>2026-05-02 12:31:07</t>
        </is>
      </c>
      <c r="K65" s="8" t="inlineStr">
        <is>
          <t>CUST-56369</t>
        </is>
      </c>
      <c r="L65" s="9" t="inlineStr">
        <is>
          <t>GBP-PKR</t>
        </is>
      </c>
      <c r="M65" s="8" t="inlineStr">
        <is>
          <t>GBP</t>
        </is>
      </c>
      <c r="N65" s="10" t="n">
        <v>287.9871745435995</v>
      </c>
      <c r="O65" s="11" t="n">
        <v>1</v>
      </c>
      <c r="P65" s="10" t="n">
        <v>287.9871745435995</v>
      </c>
      <c r="Q65" s="10" t="n">
        <v>1.5</v>
      </c>
      <c r="R65" s="12" t="n">
        <v>0.021</v>
      </c>
      <c r="S65" s="13" t="inlineStr">
        <is>
          <t>Success</t>
        </is>
      </c>
      <c r="T65" s="10" t="n">
        <v>0.4319807618153992</v>
      </c>
      <c r="U65" s="10" t="n">
        <v>0</v>
      </c>
      <c r="V65" s="10" t="n">
        <v>3.455846094523193</v>
      </c>
    </row>
    <row r="66">
      <c r="I66" s="8" t="inlineStr">
        <is>
          <t>ACE-10060</t>
        </is>
      </c>
      <c r="J66" s="8" t="inlineStr">
        <is>
          <t>2026-05-13 15:23:42</t>
        </is>
      </c>
      <c r="K66" s="8" t="inlineStr">
        <is>
          <t>CUST-98702</t>
        </is>
      </c>
      <c r="L66" s="9" t="inlineStr">
        <is>
          <t>GBP-PKR</t>
        </is>
      </c>
      <c r="M66" s="8" t="inlineStr">
        <is>
          <t>GBP</t>
        </is>
      </c>
      <c r="N66" s="10" t="n">
        <v>307.1524228921625</v>
      </c>
      <c r="O66" s="11" t="n">
        <v>1</v>
      </c>
      <c r="P66" s="10" t="n">
        <v>307.1524228921625</v>
      </c>
      <c r="Q66" s="10" t="n">
        <v>1.5</v>
      </c>
      <c r="R66" s="12" t="n">
        <v>0.021</v>
      </c>
      <c r="S66" s="13" t="inlineStr">
        <is>
          <t>Success</t>
        </is>
      </c>
      <c r="T66" s="10" t="n">
        <v>0.4607286343382437</v>
      </c>
      <c r="U66" s="10" t="n">
        <v>0</v>
      </c>
      <c r="V66" s="10" t="n">
        <v>3.685829074705949</v>
      </c>
    </row>
    <row r="67">
      <c r="I67" s="8" t="inlineStr">
        <is>
          <t>ACE-10061</t>
        </is>
      </c>
      <c r="J67" s="8" t="inlineStr">
        <is>
          <t>2026-05-19 19:46:09</t>
        </is>
      </c>
      <c r="K67" s="8" t="inlineStr">
        <is>
          <t>CUST-77189</t>
        </is>
      </c>
      <c r="L67" s="9" t="inlineStr">
        <is>
          <t>GBP-PKR</t>
        </is>
      </c>
      <c r="M67" s="8" t="inlineStr">
        <is>
          <t>GBP</t>
        </is>
      </c>
      <c r="N67" s="10" t="n">
        <v>265.5683322174589</v>
      </c>
      <c r="O67" s="11" t="n">
        <v>1</v>
      </c>
      <c r="P67" s="10" t="n">
        <v>265.5683322174589</v>
      </c>
      <c r="Q67" s="10" t="n">
        <v>1.5</v>
      </c>
      <c r="R67" s="12" t="n">
        <v>0.021</v>
      </c>
      <c r="S67" s="13" t="inlineStr">
        <is>
          <t>Success</t>
        </is>
      </c>
      <c r="T67" s="10" t="n">
        <v>0.3983524983261884</v>
      </c>
      <c r="U67" s="10" t="n">
        <v>0.7967049966523768</v>
      </c>
      <c r="V67" s="10" t="n">
        <v>3.186819986609507</v>
      </c>
    </row>
    <row r="68">
      <c r="I68" s="8" t="inlineStr">
        <is>
          <t>ACE-10062</t>
        </is>
      </c>
      <c r="J68" s="8" t="inlineStr">
        <is>
          <t>2026-05-20 14:17:02</t>
        </is>
      </c>
      <c r="K68" s="8" t="inlineStr">
        <is>
          <t>CUST-95238</t>
        </is>
      </c>
      <c r="L68" s="9" t="inlineStr">
        <is>
          <t>GBP-PKR</t>
        </is>
      </c>
      <c r="M68" s="8" t="inlineStr">
        <is>
          <t>GBP</t>
        </is>
      </c>
      <c r="N68" s="10" t="n">
        <v>273.4786907059495</v>
      </c>
      <c r="O68" s="11" t="n">
        <v>1</v>
      </c>
      <c r="P68" s="10" t="n">
        <v>273.4786907059495</v>
      </c>
      <c r="Q68" s="10" t="n">
        <v>1.5</v>
      </c>
      <c r="R68" s="12" t="n">
        <v>0.021</v>
      </c>
      <c r="S68" s="13" t="inlineStr">
        <is>
          <t>Success</t>
        </is>
      </c>
      <c r="T68" s="10" t="n">
        <v>0.4102180360589243</v>
      </c>
      <c r="U68" s="10" t="n">
        <v>0</v>
      </c>
      <c r="V68" s="10" t="n">
        <v>3.281744288471395</v>
      </c>
    </row>
    <row r="69">
      <c r="I69" s="8" t="inlineStr">
        <is>
          <t>ACE-10063</t>
        </is>
      </c>
      <c r="J69" s="8" t="inlineStr">
        <is>
          <t>2026-05-08 13:06:43</t>
        </is>
      </c>
      <c r="K69" s="8" t="inlineStr">
        <is>
          <t>CUST-74073</t>
        </is>
      </c>
      <c r="L69" s="9" t="inlineStr">
        <is>
          <t>GBP-PKR</t>
        </is>
      </c>
      <c r="M69" s="8" t="inlineStr">
        <is>
          <t>GBP</t>
        </is>
      </c>
      <c r="N69" s="10" t="n">
        <v>249.4244604865953</v>
      </c>
      <c r="O69" s="11" t="n">
        <v>1</v>
      </c>
      <c r="P69" s="10" t="n">
        <v>249.4244604865953</v>
      </c>
      <c r="Q69" s="10" t="n">
        <v>1.5</v>
      </c>
      <c r="R69" s="12" t="n">
        <v>0.021</v>
      </c>
      <c r="S69" s="13" t="inlineStr">
        <is>
          <t>Success</t>
        </is>
      </c>
      <c r="T69" s="10" t="n">
        <v>0.3741366907298929</v>
      </c>
      <c r="U69" s="10" t="n">
        <v>0.7482733814597858</v>
      </c>
      <c r="V69" s="10" t="n">
        <v>2.993093525839143</v>
      </c>
    </row>
    <row r="70">
      <c r="I70" s="8" t="inlineStr">
        <is>
          <t>ACE-10064</t>
        </is>
      </c>
      <c r="J70" s="8" t="inlineStr">
        <is>
          <t>2026-05-12 08:25:17</t>
        </is>
      </c>
      <c r="K70" s="8" t="inlineStr">
        <is>
          <t>CUST-62439</t>
        </is>
      </c>
      <c r="L70" s="9" t="inlineStr">
        <is>
          <t>GBP-PKR</t>
        </is>
      </c>
      <c r="M70" s="8" t="inlineStr">
        <is>
          <t>GBP</t>
        </is>
      </c>
      <c r="N70" s="10" t="n">
        <v>247.1928844943239</v>
      </c>
      <c r="O70" s="11" t="n">
        <v>1</v>
      </c>
      <c r="P70" s="10" t="n">
        <v>247.1928844943239</v>
      </c>
      <c r="Q70" s="10" t="n">
        <v>1.5</v>
      </c>
      <c r="R70" s="12" t="n">
        <v>0.021</v>
      </c>
      <c r="S70" s="13" t="inlineStr">
        <is>
          <t>Success</t>
        </is>
      </c>
      <c r="T70" s="10" t="n">
        <v>0.3707893267414859</v>
      </c>
      <c r="U70" s="10" t="n">
        <v>0.7415786534829718</v>
      </c>
      <c r="V70" s="10" t="n">
        <v>2.966314613931887</v>
      </c>
    </row>
    <row r="71">
      <c r="I71" s="8" t="inlineStr">
        <is>
          <t>ACE-10065</t>
        </is>
      </c>
      <c r="J71" s="8" t="inlineStr">
        <is>
          <t>2026-05-15 09:42:13</t>
        </is>
      </c>
      <c r="K71" s="8" t="inlineStr">
        <is>
          <t>CUST-92054</t>
        </is>
      </c>
      <c r="L71" s="9" t="inlineStr">
        <is>
          <t>GBP-PKR</t>
        </is>
      </c>
      <c r="M71" s="8" t="inlineStr">
        <is>
          <t>GBP</t>
        </is>
      </c>
      <c r="N71" s="10" t="n">
        <v>302.1858379011149</v>
      </c>
      <c r="O71" s="11" t="n">
        <v>1</v>
      </c>
      <c r="P71" s="10" t="n">
        <v>302.1858379011149</v>
      </c>
      <c r="Q71" s="10" t="n">
        <v>1.5</v>
      </c>
      <c r="R71" s="12" t="n">
        <v>0.021</v>
      </c>
      <c r="S71" s="13" t="inlineStr">
        <is>
          <t>Success</t>
        </is>
      </c>
      <c r="T71" s="10" t="n">
        <v>0.4532787568516723</v>
      </c>
      <c r="U71" s="10" t="n">
        <v>0.9065575137033447</v>
      </c>
      <c r="V71" s="10" t="n">
        <v>3.626230054813379</v>
      </c>
    </row>
    <row r="72">
      <c r="I72" s="8" t="inlineStr">
        <is>
          <t>ACE-10066</t>
        </is>
      </c>
      <c r="J72" s="8" t="inlineStr">
        <is>
          <t>2026-05-02 20:21:15</t>
        </is>
      </c>
      <c r="K72" s="8" t="inlineStr">
        <is>
          <t>CUST-58252</t>
        </is>
      </c>
      <c r="L72" s="9" t="inlineStr">
        <is>
          <t>USD-PKR</t>
        </is>
      </c>
      <c r="M72" s="8" t="inlineStr">
        <is>
          <t>USD</t>
        </is>
      </c>
      <c r="N72" s="10" t="n">
        <v>250.6986321958622</v>
      </c>
      <c r="O72" s="11" t="n">
        <v>0.8</v>
      </c>
      <c r="P72" s="10" t="n">
        <v>200.5589057566898</v>
      </c>
      <c r="Q72" s="10" t="n">
        <v>1.6</v>
      </c>
      <c r="R72" s="12" t="n">
        <v>0.019</v>
      </c>
      <c r="S72" s="13" t="inlineStr">
        <is>
          <t>Success</t>
        </is>
      </c>
      <c r="T72" s="10" t="n">
        <v>0.3008383586350347</v>
      </c>
      <c r="U72" s="10" t="n">
        <v>0</v>
      </c>
      <c r="V72" s="10" t="n">
        <v>2.406706869080278</v>
      </c>
    </row>
    <row r="73">
      <c r="I73" s="8" t="inlineStr">
        <is>
          <t>ACE-10067</t>
        </is>
      </c>
      <c r="J73" s="8" t="inlineStr">
        <is>
          <t>2026-05-18 11:37:13</t>
        </is>
      </c>
      <c r="K73" s="8" t="inlineStr">
        <is>
          <t>CUST-65269</t>
        </is>
      </c>
      <c r="L73" s="9" t="inlineStr">
        <is>
          <t>GBP-PKR</t>
        </is>
      </c>
      <c r="M73" s="8" t="inlineStr">
        <is>
          <t>GBP</t>
        </is>
      </c>
      <c r="N73" s="10" t="n">
        <v>276.6044731506718</v>
      </c>
      <c r="O73" s="11" t="n">
        <v>1</v>
      </c>
      <c r="P73" s="10" t="n">
        <v>276.6044731506718</v>
      </c>
      <c r="Q73" s="10" t="n">
        <v>1.5</v>
      </c>
      <c r="R73" s="12" t="n">
        <v>0.021</v>
      </c>
      <c r="S73" s="13" t="inlineStr">
        <is>
          <t>Success</t>
        </is>
      </c>
      <c r="T73" s="10" t="n">
        <v>0.4149067097260077</v>
      </c>
      <c r="U73" s="10" t="n">
        <v>0</v>
      </c>
      <c r="V73" s="10" t="n">
        <v>3.319253677808061</v>
      </c>
    </row>
    <row r="74">
      <c r="I74" s="8" t="inlineStr">
        <is>
          <t>ACE-10068</t>
        </is>
      </c>
      <c r="J74" s="8" t="inlineStr">
        <is>
          <t>2026-05-20 08:17:54</t>
        </is>
      </c>
      <c r="K74" s="8" t="inlineStr">
        <is>
          <t>CUST-59482</t>
        </is>
      </c>
      <c r="L74" s="9" t="inlineStr">
        <is>
          <t>GBP-PKR</t>
        </is>
      </c>
      <c r="M74" s="8" t="inlineStr">
        <is>
          <t>GBP</t>
        </is>
      </c>
      <c r="N74" s="10" t="n">
        <v>308.0132781615509</v>
      </c>
      <c r="O74" s="11" t="n">
        <v>1</v>
      </c>
      <c r="P74" s="10" t="n">
        <v>308.0132781615509</v>
      </c>
      <c r="Q74" s="10" t="n">
        <v>1.5</v>
      </c>
      <c r="R74" s="12" t="n">
        <v>0.021</v>
      </c>
      <c r="S74" s="13" t="inlineStr">
        <is>
          <t>Success</t>
        </is>
      </c>
      <c r="T74" s="10" t="n">
        <v>0.4620199172423263</v>
      </c>
      <c r="U74" s="10" t="n">
        <v>0</v>
      </c>
      <c r="V74" s="10" t="n">
        <v>3.696159337938611</v>
      </c>
    </row>
    <row r="75">
      <c r="I75" s="8" t="inlineStr">
        <is>
          <t>ACE-10069</t>
        </is>
      </c>
      <c r="J75" s="8" t="inlineStr">
        <is>
          <t>2026-05-06 09:42:55</t>
        </is>
      </c>
      <c r="K75" s="8" t="inlineStr">
        <is>
          <t>CUST-51689</t>
        </is>
      </c>
      <c r="L75" s="9" t="inlineStr">
        <is>
          <t>GBP-PKR</t>
        </is>
      </c>
      <c r="M75" s="8" t="inlineStr">
        <is>
          <t>GBP</t>
        </is>
      </c>
      <c r="N75" s="10" t="n">
        <v>288.8631959650067</v>
      </c>
      <c r="O75" s="11" t="n">
        <v>1</v>
      </c>
      <c r="P75" s="10" t="n">
        <v>288.8631959650067</v>
      </c>
      <c r="Q75" s="10" t="n">
        <v>1.5</v>
      </c>
      <c r="R75" s="12" t="n">
        <v>0.021</v>
      </c>
      <c r="S75" s="13" t="inlineStr">
        <is>
          <t>Success</t>
        </is>
      </c>
      <c r="T75" s="10" t="n">
        <v>0.43329479394751</v>
      </c>
      <c r="U75" s="10" t="n">
        <v>0</v>
      </c>
      <c r="V75" s="10" t="n">
        <v>3.46635835158008</v>
      </c>
    </row>
    <row r="76">
      <c r="I76" s="8" t="inlineStr">
        <is>
          <t>ACE-10070</t>
        </is>
      </c>
      <c r="J76" s="8" t="inlineStr">
        <is>
          <t>2026-05-08 17:20:01</t>
        </is>
      </c>
      <c r="K76" s="8" t="inlineStr">
        <is>
          <t>CUST-61419</t>
        </is>
      </c>
      <c r="L76" s="9" t="inlineStr">
        <is>
          <t>GBP-PKR</t>
        </is>
      </c>
      <c r="M76" s="8" t="inlineStr">
        <is>
          <t>GBP</t>
        </is>
      </c>
      <c r="N76" s="10" t="n">
        <v>261.1977093660916</v>
      </c>
      <c r="O76" s="11" t="n">
        <v>1</v>
      </c>
      <c r="P76" s="10" t="n">
        <v>261.1977093660916</v>
      </c>
      <c r="Q76" s="10" t="n">
        <v>1.5</v>
      </c>
      <c r="R76" s="12" t="n">
        <v>0.021</v>
      </c>
      <c r="S76" s="13" t="inlineStr">
        <is>
          <t>Success</t>
        </is>
      </c>
      <c r="T76" s="10" t="n">
        <v>0.3917965640491374</v>
      </c>
      <c r="U76" s="10" t="n">
        <v>0</v>
      </c>
      <c r="V76" s="10" t="n">
        <v>3.134372512393099</v>
      </c>
    </row>
    <row r="77">
      <c r="I77" s="8" t="inlineStr">
        <is>
          <t>ACE-10071</t>
        </is>
      </c>
      <c r="J77" s="8" t="inlineStr">
        <is>
          <t>2026-05-14 16:07:47</t>
        </is>
      </c>
      <c r="K77" s="8" t="inlineStr">
        <is>
          <t>CUST-54165</t>
        </is>
      </c>
      <c r="L77" s="9" t="inlineStr">
        <is>
          <t>GBP-PKR</t>
        </is>
      </c>
      <c r="M77" s="8" t="inlineStr">
        <is>
          <t>GBP</t>
        </is>
      </c>
      <c r="N77" s="10" t="n">
        <v>288.8562512128426</v>
      </c>
      <c r="O77" s="11" t="n">
        <v>1</v>
      </c>
      <c r="P77" s="10" t="n">
        <v>288.8562512128426</v>
      </c>
      <c r="Q77" s="10" t="n">
        <v>1.5</v>
      </c>
      <c r="R77" s="12" t="n">
        <v>0.021</v>
      </c>
      <c r="S77" s="13" t="inlineStr">
        <is>
          <t>Success</t>
        </is>
      </c>
      <c r="T77" s="10" t="n">
        <v>0.4332843768192639</v>
      </c>
      <c r="U77" s="10" t="n">
        <v>0.8665687536385278</v>
      </c>
      <c r="V77" s="10" t="n">
        <v>3.466275014554111</v>
      </c>
    </row>
    <row r="78">
      <c r="I78" s="8" t="inlineStr">
        <is>
          <t>ACE-10072</t>
        </is>
      </c>
      <c r="J78" s="8" t="inlineStr">
        <is>
          <t>2026-05-17 17:06:28</t>
        </is>
      </c>
      <c r="K78" s="8" t="inlineStr">
        <is>
          <t>CUST-83019</t>
        </is>
      </c>
      <c r="L78" s="9" t="inlineStr">
        <is>
          <t>GBP-PKR</t>
        </is>
      </c>
      <c r="M78" s="8" t="inlineStr">
        <is>
          <t>GBP</t>
        </is>
      </c>
      <c r="N78" s="10" t="n">
        <v>324.9246339228681</v>
      </c>
      <c r="O78" s="11" t="n">
        <v>1</v>
      </c>
      <c r="P78" s="10" t="n">
        <v>324.9246339228681</v>
      </c>
      <c r="Q78" s="10" t="n">
        <v>1.5</v>
      </c>
      <c r="R78" s="12" t="n">
        <v>0.021</v>
      </c>
      <c r="S78" s="13" t="inlineStr">
        <is>
          <t>Success</t>
        </is>
      </c>
      <c r="T78" s="10" t="n">
        <v>0.4873869508843022</v>
      </c>
      <c r="U78" s="10" t="n">
        <v>0.9747739017686043</v>
      </c>
      <c r="V78" s="10" t="n">
        <v>3.899095607074417</v>
      </c>
    </row>
    <row r="79">
      <c r="I79" s="8" t="inlineStr">
        <is>
          <t>ACE-10073</t>
        </is>
      </c>
      <c r="J79" s="8" t="inlineStr">
        <is>
          <t>2026-05-24 20:58:55</t>
        </is>
      </c>
      <c r="K79" s="8" t="inlineStr">
        <is>
          <t>CUST-93181</t>
        </is>
      </c>
      <c r="L79" s="9" t="inlineStr">
        <is>
          <t>GBP-PKR</t>
        </is>
      </c>
      <c r="M79" s="8" t="inlineStr">
        <is>
          <t>GBP</t>
        </is>
      </c>
      <c r="N79" s="10" t="n">
        <v>277.6071540178494</v>
      </c>
      <c r="O79" s="11" t="n">
        <v>1</v>
      </c>
      <c r="P79" s="10" t="n">
        <v>277.6071540178494</v>
      </c>
      <c r="Q79" s="10" t="n">
        <v>1.5</v>
      </c>
      <c r="R79" s="12" t="n">
        <v>0.021</v>
      </c>
      <c r="S79" s="13" t="inlineStr">
        <is>
          <t>Success</t>
        </is>
      </c>
      <c r="T79" s="10" t="n">
        <v>0.4164107310267741</v>
      </c>
      <c r="U79" s="10" t="n">
        <v>0</v>
      </c>
      <c r="V79" s="10" t="n">
        <v>3.331285848214192</v>
      </c>
    </row>
    <row r="80">
      <c r="I80" s="8" t="inlineStr">
        <is>
          <t>ACE-10074</t>
        </is>
      </c>
      <c r="J80" s="8" t="inlineStr">
        <is>
          <t>2026-05-01 08:30:54</t>
        </is>
      </c>
      <c r="K80" s="8" t="inlineStr">
        <is>
          <t>CUST-76320</t>
        </is>
      </c>
      <c r="L80" s="9" t="inlineStr">
        <is>
          <t>GBP-PKR</t>
        </is>
      </c>
      <c r="M80" s="8" t="inlineStr">
        <is>
          <t>GBP</t>
        </is>
      </c>
      <c r="N80" s="10" t="n">
        <v>325.7903149514017</v>
      </c>
      <c r="O80" s="11" t="n">
        <v>1</v>
      </c>
      <c r="P80" s="10" t="n">
        <v>325.7903149514017</v>
      </c>
      <c r="Q80" s="10" t="n">
        <v>1.5</v>
      </c>
      <c r="R80" s="12" t="n">
        <v>0.021</v>
      </c>
      <c r="S80" s="13" t="inlineStr">
        <is>
          <t>Success</t>
        </is>
      </c>
      <c r="T80" s="10" t="n">
        <v>0.4886854724271026</v>
      </c>
      <c r="U80" s="10" t="n">
        <v>0</v>
      </c>
      <c r="V80" s="10" t="n">
        <v>3.909483779416821</v>
      </c>
    </row>
    <row r="81">
      <c r="I81" s="8" t="inlineStr">
        <is>
          <t>ACE-10075</t>
        </is>
      </c>
      <c r="J81" s="8" t="inlineStr">
        <is>
          <t>2026-05-23 15:04:57</t>
        </is>
      </c>
      <c r="K81" s="8" t="inlineStr">
        <is>
          <t>CUST-55294</t>
        </is>
      </c>
      <c r="L81" s="9" t="inlineStr">
        <is>
          <t>GBP-PKR</t>
        </is>
      </c>
      <c r="M81" s="8" t="inlineStr">
        <is>
          <t>GBP</t>
        </is>
      </c>
      <c r="N81" s="10" t="n">
        <v>214.3939247541177</v>
      </c>
      <c r="O81" s="11" t="n">
        <v>1</v>
      </c>
      <c r="P81" s="10" t="n">
        <v>214.3939247541177</v>
      </c>
      <c r="Q81" s="10" t="n">
        <v>1.5</v>
      </c>
      <c r="R81" s="12" t="n">
        <v>0.021</v>
      </c>
      <c r="S81" s="13" t="inlineStr">
        <is>
          <t>Success</t>
        </is>
      </c>
      <c r="T81" s="10" t="n">
        <v>0.3215908871311766</v>
      </c>
      <c r="U81" s="10" t="n">
        <v>0</v>
      </c>
      <c r="V81" s="10" t="n">
        <v>2.572727097049413</v>
      </c>
    </row>
    <row r="82">
      <c r="I82" s="8" t="inlineStr">
        <is>
          <t>ACE-10076</t>
        </is>
      </c>
      <c r="J82" s="8" t="inlineStr">
        <is>
          <t>2026-05-05 12:39:40</t>
        </is>
      </c>
      <c r="K82" s="8" t="inlineStr">
        <is>
          <t>CUST-88362</t>
        </is>
      </c>
      <c r="L82" s="9" t="inlineStr">
        <is>
          <t>USD-PKR</t>
        </is>
      </c>
      <c r="M82" s="8" t="inlineStr">
        <is>
          <t>USD</t>
        </is>
      </c>
      <c r="N82" s="10" t="n">
        <v>237.6544663718723</v>
      </c>
      <c r="O82" s="11" t="n">
        <v>0.8</v>
      </c>
      <c r="P82" s="10" t="n">
        <v>190.1235730974979</v>
      </c>
      <c r="Q82" s="10" t="n">
        <v>1.6</v>
      </c>
      <c r="R82" s="12" t="n">
        <v>0.019</v>
      </c>
      <c r="S82" s="13" t="inlineStr">
        <is>
          <t>Success</t>
        </is>
      </c>
      <c r="T82" s="10" t="n">
        <v>0.2851853596462468</v>
      </c>
      <c r="U82" s="10" t="n">
        <v>0</v>
      </c>
      <c r="V82" s="10" t="n">
        <v>2.281482877169974</v>
      </c>
    </row>
    <row r="83">
      <c r="I83" s="8" t="inlineStr">
        <is>
          <t>ACE-10077</t>
        </is>
      </c>
      <c r="J83" s="8" t="inlineStr">
        <is>
          <t>2026-05-20 16:18:29</t>
        </is>
      </c>
      <c r="K83" s="8" t="inlineStr">
        <is>
          <t>CUST-83131</t>
        </is>
      </c>
      <c r="L83" s="9" t="inlineStr">
        <is>
          <t>USD-PKR</t>
        </is>
      </c>
      <c r="M83" s="8" t="inlineStr">
        <is>
          <t>USD</t>
        </is>
      </c>
      <c r="N83" s="10" t="n">
        <v>220.8165471011331</v>
      </c>
      <c r="O83" s="11" t="n">
        <v>0.8</v>
      </c>
      <c r="P83" s="10" t="n">
        <v>176.6532376809065</v>
      </c>
      <c r="Q83" s="10" t="n">
        <v>1.6</v>
      </c>
      <c r="R83" s="12" t="n">
        <v>0.019</v>
      </c>
      <c r="S83" s="13" t="inlineStr">
        <is>
          <t>Success</t>
        </is>
      </c>
      <c r="T83" s="10" t="n">
        <v>0.2649798565213597</v>
      </c>
      <c r="U83" s="10" t="n">
        <v>0</v>
      </c>
      <c r="V83" s="10" t="n">
        <v>2.119838852170878</v>
      </c>
    </row>
    <row r="84">
      <c r="I84" s="8" t="inlineStr">
        <is>
          <t>ACE-10078</t>
        </is>
      </c>
      <c r="J84" s="8" t="inlineStr">
        <is>
          <t>2026-05-23 09:54:41</t>
        </is>
      </c>
      <c r="K84" s="8" t="inlineStr">
        <is>
          <t>CUST-92658</t>
        </is>
      </c>
      <c r="L84" s="9" t="inlineStr">
        <is>
          <t>USD-PKR</t>
        </is>
      </c>
      <c r="M84" s="8" t="inlineStr">
        <is>
          <t>USD</t>
        </is>
      </c>
      <c r="N84" s="10" t="n">
        <v>212.4542797941732</v>
      </c>
      <c r="O84" s="11" t="n">
        <v>0.8</v>
      </c>
      <c r="P84" s="10" t="n">
        <v>169.9634238353385</v>
      </c>
      <c r="Q84" s="10" t="n">
        <v>1.6</v>
      </c>
      <c r="R84" s="12" t="n">
        <v>0.019</v>
      </c>
      <c r="S84" s="13" t="inlineStr">
        <is>
          <t>Success</t>
        </is>
      </c>
      <c r="T84" s="10" t="n">
        <v>0.2549451357530078</v>
      </c>
      <c r="U84" s="10" t="n">
        <v>0</v>
      </c>
      <c r="V84" s="10" t="n">
        <v>2.039561086024062</v>
      </c>
    </row>
    <row r="85">
      <c r="I85" s="8" t="inlineStr">
        <is>
          <t>ACE-10079</t>
        </is>
      </c>
      <c r="J85" s="8" t="inlineStr">
        <is>
          <t>2026-05-07 14:28:56</t>
        </is>
      </c>
      <c r="K85" s="8" t="inlineStr">
        <is>
          <t>CUST-64974</t>
        </is>
      </c>
      <c r="L85" s="9" t="inlineStr">
        <is>
          <t>GBP-PKR</t>
        </is>
      </c>
      <c r="M85" s="8" t="inlineStr">
        <is>
          <t>GBP</t>
        </is>
      </c>
      <c r="N85" s="10" t="n">
        <v>281.1717466926821</v>
      </c>
      <c r="O85" s="11" t="n">
        <v>1</v>
      </c>
      <c r="P85" s="10" t="n">
        <v>281.1717466926821</v>
      </c>
      <c r="Q85" s="10" t="n">
        <v>1.5</v>
      </c>
      <c r="R85" s="12" t="n">
        <v>0.021</v>
      </c>
      <c r="S85" s="13" t="inlineStr">
        <is>
          <t>Success</t>
        </is>
      </c>
      <c r="T85" s="10" t="n">
        <v>0.4217576200390232</v>
      </c>
      <c r="U85" s="10" t="n">
        <v>0.8435152400780463</v>
      </c>
      <c r="V85" s="10" t="n">
        <v>3.374060960312185</v>
      </c>
    </row>
    <row r="86">
      <c r="I86" s="8" t="inlineStr">
        <is>
          <t>ACE-10080</t>
        </is>
      </c>
      <c r="J86" s="8" t="inlineStr">
        <is>
          <t>2026-05-13 14:46:06</t>
        </is>
      </c>
      <c r="K86" s="8" t="inlineStr">
        <is>
          <t>CUST-70483</t>
        </is>
      </c>
      <c r="L86" s="9" t="inlineStr">
        <is>
          <t>EUR-PKR</t>
        </is>
      </c>
      <c r="M86" s="8" t="inlineStr">
        <is>
          <t>EUR</t>
        </is>
      </c>
      <c r="N86" s="10" t="n">
        <v>154.9755218191249</v>
      </c>
      <c r="O86" s="11" t="n">
        <v>0.85</v>
      </c>
      <c r="P86" s="10" t="n">
        <v>131.7291935462561</v>
      </c>
      <c r="Q86" s="10" t="n">
        <v>1.275</v>
      </c>
      <c r="R86" s="12" t="n">
        <v>0.023</v>
      </c>
      <c r="S86" s="13" t="inlineStr">
        <is>
          <t>Success</t>
        </is>
      </c>
      <c r="T86" s="10" t="n">
        <v>0.1975937903193842</v>
      </c>
      <c r="U86" s="10" t="n">
        <v>0.3951875806387684</v>
      </c>
      <c r="V86" s="10" t="n">
        <v>1.975937903193842</v>
      </c>
    </row>
    <row r="87">
      <c r="I87" s="8" t="inlineStr">
        <is>
          <t>ACE-10081</t>
        </is>
      </c>
      <c r="J87" s="8" t="inlineStr">
        <is>
          <t>2026-05-12 10:43:59</t>
        </is>
      </c>
      <c r="K87" s="8" t="inlineStr">
        <is>
          <t>CUST-81081</t>
        </is>
      </c>
      <c r="L87" s="9" t="inlineStr">
        <is>
          <t>USD-PKR</t>
        </is>
      </c>
      <c r="M87" s="8" t="inlineStr">
        <is>
          <t>USD</t>
        </is>
      </c>
      <c r="N87" s="10" t="n">
        <v>214.1464994271846</v>
      </c>
      <c r="O87" s="11" t="n">
        <v>0.8</v>
      </c>
      <c r="P87" s="10" t="n">
        <v>171.3171995417477</v>
      </c>
      <c r="Q87" s="10" t="n">
        <v>1.6</v>
      </c>
      <c r="R87" s="12" t="n">
        <v>0.019</v>
      </c>
      <c r="S87" s="13" t="inlineStr">
        <is>
          <t>Success</t>
        </is>
      </c>
      <c r="T87" s="10" t="n">
        <v>0.2569757993126215</v>
      </c>
      <c r="U87" s="10" t="n">
        <v>0.513951598625243</v>
      </c>
      <c r="V87" s="10" t="n">
        <v>2.055806394500972</v>
      </c>
    </row>
    <row r="88">
      <c r="I88" s="8" t="inlineStr">
        <is>
          <t>ACE-10082</t>
        </is>
      </c>
      <c r="J88" s="8" t="inlineStr">
        <is>
          <t>2026-05-03 14:06:47</t>
        </is>
      </c>
      <c r="K88" s="8" t="inlineStr">
        <is>
          <t>CUST-98417</t>
        </is>
      </c>
      <c r="L88" s="9" t="inlineStr">
        <is>
          <t>GBP-PKR</t>
        </is>
      </c>
      <c r="M88" s="8" t="inlineStr">
        <is>
          <t>GBP</t>
        </is>
      </c>
      <c r="N88" s="10" t="n">
        <v>288.7325595890956</v>
      </c>
      <c r="O88" s="11" t="n">
        <v>1</v>
      </c>
      <c r="P88" s="10" t="n">
        <v>288.7325595890956</v>
      </c>
      <c r="Q88" s="10" t="n">
        <v>1.5</v>
      </c>
      <c r="R88" s="12" t="n">
        <v>0.021</v>
      </c>
      <c r="S88" s="13" t="inlineStr">
        <is>
          <t>Success</t>
        </is>
      </c>
      <c r="T88" s="10" t="n">
        <v>0.4330988393836434</v>
      </c>
      <c r="U88" s="10" t="n">
        <v>0</v>
      </c>
      <c r="V88" s="10" t="n">
        <v>3.464790715069147</v>
      </c>
    </row>
    <row r="89">
      <c r="I89" s="8" t="inlineStr">
        <is>
          <t>ACE-10083</t>
        </is>
      </c>
      <c r="J89" s="8" t="inlineStr">
        <is>
          <t>2026-05-02 17:35:35</t>
        </is>
      </c>
      <c r="K89" s="8" t="inlineStr">
        <is>
          <t>CUST-71603</t>
        </is>
      </c>
      <c r="L89" s="9" t="inlineStr">
        <is>
          <t>GBP-PKR</t>
        </is>
      </c>
      <c r="M89" s="8" t="inlineStr">
        <is>
          <t>GBP</t>
        </is>
      </c>
      <c r="N89" s="10" t="n">
        <v>322.9763199359698</v>
      </c>
      <c r="O89" s="11" t="n">
        <v>1</v>
      </c>
      <c r="P89" s="10" t="n">
        <v>322.9763199359698</v>
      </c>
      <c r="Q89" s="10" t="n">
        <v>1.5</v>
      </c>
      <c r="R89" s="12" t="n">
        <v>0.021</v>
      </c>
      <c r="S89" s="13" t="inlineStr">
        <is>
          <t>Success</t>
        </is>
      </c>
      <c r="T89" s="10" t="n">
        <v>0.4844644799039547</v>
      </c>
      <c r="U89" s="10" t="n">
        <v>0</v>
      </c>
      <c r="V89" s="10" t="n">
        <v>3.875715839231638</v>
      </c>
    </row>
    <row r="90">
      <c r="I90" s="8" t="inlineStr">
        <is>
          <t>ACE-10084</t>
        </is>
      </c>
      <c r="J90" s="8" t="inlineStr">
        <is>
          <t>2026-05-22 20:27:55</t>
        </is>
      </c>
      <c r="K90" s="8" t="inlineStr">
        <is>
          <t>CUST-97255</t>
        </is>
      </c>
      <c r="L90" s="9" t="inlineStr">
        <is>
          <t>USD-PKR</t>
        </is>
      </c>
      <c r="M90" s="8" t="inlineStr">
        <is>
          <t>USD</t>
        </is>
      </c>
      <c r="N90" s="10" t="n">
        <v>207.8466450841332</v>
      </c>
      <c r="O90" s="11" t="n">
        <v>0.8</v>
      </c>
      <c r="P90" s="10" t="n">
        <v>166.2773160673065</v>
      </c>
      <c r="Q90" s="10" t="n">
        <v>1.6</v>
      </c>
      <c r="R90" s="12" t="n">
        <v>0.019</v>
      </c>
      <c r="S90" s="13" t="inlineStr">
        <is>
          <t>Success</t>
        </is>
      </c>
      <c r="T90" s="10" t="n">
        <v>0.2494159741009598</v>
      </c>
      <c r="U90" s="10" t="n">
        <v>0</v>
      </c>
      <c r="V90" s="10" t="n">
        <v>1.995327792807678</v>
      </c>
    </row>
    <row r="91">
      <c r="I91" s="8" t="inlineStr">
        <is>
          <t>ACE-10085</t>
        </is>
      </c>
      <c r="J91" s="8" t="inlineStr">
        <is>
          <t>2026-05-10 13:06:36</t>
        </is>
      </c>
      <c r="K91" s="8" t="inlineStr">
        <is>
          <t>CUST-83253</t>
        </is>
      </c>
      <c r="L91" s="9" t="inlineStr">
        <is>
          <t>GBP-PKR</t>
        </is>
      </c>
      <c r="M91" s="8" t="inlineStr">
        <is>
          <t>GBP</t>
        </is>
      </c>
      <c r="N91" s="10" t="n">
        <v>256.9650909731806</v>
      </c>
      <c r="O91" s="11" t="n">
        <v>1</v>
      </c>
      <c r="P91" s="10" t="n">
        <v>256.9650909731806</v>
      </c>
      <c r="Q91" s="10" t="n">
        <v>1.5</v>
      </c>
      <c r="R91" s="12" t="n">
        <v>0.021</v>
      </c>
      <c r="S91" s="13" t="inlineStr">
        <is>
          <t>Success</t>
        </is>
      </c>
      <c r="T91" s="10" t="n">
        <v>0.3854476364597709</v>
      </c>
      <c r="U91" s="10" t="n">
        <v>0.7708952729195417</v>
      </c>
      <c r="V91" s="10" t="n">
        <v>3.083581091678167</v>
      </c>
    </row>
    <row r="92">
      <c r="I92" s="8" t="inlineStr">
        <is>
          <t>ACE-10086</t>
        </is>
      </c>
      <c r="J92" s="8" t="inlineStr">
        <is>
          <t>2026-05-08 09:22:54</t>
        </is>
      </c>
      <c r="K92" s="8" t="inlineStr">
        <is>
          <t>CUST-86455</t>
        </is>
      </c>
      <c r="L92" s="9" t="inlineStr">
        <is>
          <t>USD-PKR</t>
        </is>
      </c>
      <c r="M92" s="8" t="inlineStr">
        <is>
          <t>USD</t>
        </is>
      </c>
      <c r="N92" s="10" t="n">
        <v>208.1901494193129</v>
      </c>
      <c r="O92" s="11" t="n">
        <v>0.8</v>
      </c>
      <c r="P92" s="10" t="n">
        <v>166.5521195354503</v>
      </c>
      <c r="Q92" s="10" t="n">
        <v>1.6</v>
      </c>
      <c r="R92" s="12" t="n">
        <v>0.019</v>
      </c>
      <c r="S92" s="13" t="inlineStr">
        <is>
          <t>Success</t>
        </is>
      </c>
      <c r="T92" s="10" t="n">
        <v>0.2498281793031754</v>
      </c>
      <c r="U92" s="10" t="n">
        <v>0.4996563586063509</v>
      </c>
      <c r="V92" s="10" t="n">
        <v>1.998625434425404</v>
      </c>
    </row>
    <row r="93">
      <c r="I93" s="8" t="inlineStr">
        <is>
          <t>ACE-10087</t>
        </is>
      </c>
      <c r="J93" s="8" t="inlineStr">
        <is>
          <t>2026-05-19 11:51:27</t>
        </is>
      </c>
      <c r="K93" s="8" t="inlineStr">
        <is>
          <t>CUST-86763</t>
        </is>
      </c>
      <c r="L93" s="9" t="inlineStr">
        <is>
          <t>EUR-PKR</t>
        </is>
      </c>
      <c r="M93" s="8" t="inlineStr">
        <is>
          <t>EUR</t>
        </is>
      </c>
      <c r="N93" s="10" t="n">
        <v>207.1750905760157</v>
      </c>
      <c r="O93" s="11" t="n">
        <v>0.85</v>
      </c>
      <c r="P93" s="10" t="n">
        <v>176.0988269896133</v>
      </c>
      <c r="Q93" s="10" t="n">
        <v>1.275</v>
      </c>
      <c r="R93" s="12" t="n">
        <v>0.023</v>
      </c>
      <c r="S93" s="13" t="inlineStr">
        <is>
          <t>Success</t>
        </is>
      </c>
      <c r="T93" s="10" t="n">
        <v>0.26414824048442</v>
      </c>
      <c r="U93" s="10" t="n">
        <v>0.5282964809688401</v>
      </c>
      <c r="V93" s="10" t="n">
        <v>2.6414824048442</v>
      </c>
    </row>
    <row r="94">
      <c r="I94" s="8" t="inlineStr">
        <is>
          <t>ACE-10088</t>
        </is>
      </c>
      <c r="J94" s="8" t="inlineStr">
        <is>
          <t>2026-05-20 18:41:35</t>
        </is>
      </c>
      <c r="K94" s="8" t="inlineStr">
        <is>
          <t>CUST-51720</t>
        </is>
      </c>
      <c r="L94" s="9" t="inlineStr">
        <is>
          <t>GBP-PKR</t>
        </is>
      </c>
      <c r="M94" s="8" t="inlineStr">
        <is>
          <t>GBP</t>
        </is>
      </c>
      <c r="N94" s="10" t="n">
        <v>287.9148319873125</v>
      </c>
      <c r="O94" s="11" t="n">
        <v>1</v>
      </c>
      <c r="P94" s="10" t="n">
        <v>287.9148319873125</v>
      </c>
      <c r="Q94" s="10" t="n">
        <v>1.5</v>
      </c>
      <c r="R94" s="12" t="n">
        <v>0.021</v>
      </c>
      <c r="S94" s="13" t="inlineStr">
        <is>
          <t>Success</t>
        </is>
      </c>
      <c r="T94" s="10" t="n">
        <v>0.4318722479809687</v>
      </c>
      <c r="U94" s="10" t="n">
        <v>0.8637444959619375</v>
      </c>
      <c r="V94" s="10" t="n">
        <v>3.45497798384775</v>
      </c>
    </row>
    <row r="95">
      <c r="I95" s="8" t="inlineStr">
        <is>
          <t>ACE-10089</t>
        </is>
      </c>
      <c r="J95" s="8" t="inlineStr">
        <is>
          <t>2026-05-23 12:01:11</t>
        </is>
      </c>
      <c r="K95" s="8" t="inlineStr">
        <is>
          <t>CUST-67909</t>
        </is>
      </c>
      <c r="L95" s="9" t="inlineStr">
        <is>
          <t>GBP-PKR</t>
        </is>
      </c>
      <c r="M95" s="8" t="inlineStr">
        <is>
          <t>GBP</t>
        </is>
      </c>
      <c r="N95" s="10" t="n">
        <v>264.2283213019445</v>
      </c>
      <c r="O95" s="11" t="n">
        <v>1</v>
      </c>
      <c r="P95" s="10" t="n">
        <v>264.2283213019445</v>
      </c>
      <c r="Q95" s="10" t="n">
        <v>1.5</v>
      </c>
      <c r="R95" s="12" t="n">
        <v>0.021</v>
      </c>
      <c r="S95" s="13" t="inlineStr">
        <is>
          <t>Success</t>
        </is>
      </c>
      <c r="T95" s="10" t="n">
        <v>0.3963424819529168</v>
      </c>
      <c r="U95" s="10" t="n">
        <v>0</v>
      </c>
      <c r="V95" s="10" t="n">
        <v>3.170739855623334</v>
      </c>
    </row>
    <row r="96">
      <c r="I96" s="8" t="inlineStr">
        <is>
          <t>ACE-10090</t>
        </is>
      </c>
      <c r="J96" s="8" t="inlineStr">
        <is>
          <t>2026-05-11 13:00:11</t>
        </is>
      </c>
      <c r="K96" s="8" t="inlineStr">
        <is>
          <t>CUST-59388</t>
        </is>
      </c>
      <c r="L96" s="9" t="inlineStr">
        <is>
          <t>GBP-PKR</t>
        </is>
      </c>
      <c r="M96" s="8" t="inlineStr">
        <is>
          <t>GBP</t>
        </is>
      </c>
      <c r="N96" s="10" t="n">
        <v>293.2766455966849</v>
      </c>
      <c r="O96" s="11" t="n">
        <v>1</v>
      </c>
      <c r="P96" s="10" t="n">
        <v>293.2766455966849</v>
      </c>
      <c r="Q96" s="10" t="n">
        <v>1.5</v>
      </c>
      <c r="R96" s="12" t="n">
        <v>0.021</v>
      </c>
      <c r="S96" s="13" t="inlineStr">
        <is>
          <t>Success</t>
        </is>
      </c>
      <c r="T96" s="10" t="n">
        <v>0.4399149683950274</v>
      </c>
      <c r="U96" s="10" t="n">
        <v>0</v>
      </c>
      <c r="V96" s="10" t="n">
        <v>3.519319747160219</v>
      </c>
    </row>
    <row r="97">
      <c r="I97" s="8" t="inlineStr">
        <is>
          <t>ACE-10091</t>
        </is>
      </c>
      <c r="J97" s="8" t="inlineStr">
        <is>
          <t>2026-05-05 19:40:01</t>
        </is>
      </c>
      <c r="K97" s="8" t="inlineStr">
        <is>
          <t>CUST-56013</t>
        </is>
      </c>
      <c r="L97" s="9" t="inlineStr">
        <is>
          <t>GBP-PKR</t>
        </is>
      </c>
      <c r="M97" s="8" t="inlineStr">
        <is>
          <t>GBP</t>
        </is>
      </c>
      <c r="N97" s="10" t="n">
        <v>281.3212790704906</v>
      </c>
      <c r="O97" s="11" t="n">
        <v>1</v>
      </c>
      <c r="P97" s="10" t="n">
        <v>281.3212790704906</v>
      </c>
      <c r="Q97" s="10" t="n">
        <v>1.5</v>
      </c>
      <c r="R97" s="12" t="n">
        <v>0.021</v>
      </c>
      <c r="S97" s="13" t="inlineStr">
        <is>
          <t>Success</t>
        </is>
      </c>
      <c r="T97" s="10" t="n">
        <v>0.4219819186057359</v>
      </c>
      <c r="U97" s="10" t="n">
        <v>0</v>
      </c>
      <c r="V97" s="10" t="n">
        <v>3.375855348845887</v>
      </c>
    </row>
    <row r="98">
      <c r="I98" s="8" t="inlineStr">
        <is>
          <t>ACE-10092</t>
        </is>
      </c>
      <c r="J98" s="8" t="inlineStr">
        <is>
          <t>2026-05-14 15:21:10</t>
        </is>
      </c>
      <c r="K98" s="8" t="inlineStr">
        <is>
          <t>CUST-74251</t>
        </is>
      </c>
      <c r="L98" s="9" t="inlineStr">
        <is>
          <t>GBP-PKR</t>
        </is>
      </c>
      <c r="M98" s="8" t="inlineStr">
        <is>
          <t>GBP</t>
        </is>
      </c>
      <c r="N98" s="10" t="n">
        <v>306.940556628702</v>
      </c>
      <c r="O98" s="11" t="n">
        <v>1</v>
      </c>
      <c r="P98" s="10" t="n">
        <v>306.940556628702</v>
      </c>
      <c r="Q98" s="10" t="n">
        <v>1.5</v>
      </c>
      <c r="R98" s="12" t="n">
        <v>0.021</v>
      </c>
      <c r="S98" s="13" t="inlineStr">
        <is>
          <t>Success</t>
        </is>
      </c>
      <c r="T98" s="10" t="n">
        <v>0.4604108349430531</v>
      </c>
      <c r="U98" s="10" t="n">
        <v>0</v>
      </c>
      <c r="V98" s="10" t="n">
        <v>3.683286679544425</v>
      </c>
    </row>
    <row r="99">
      <c r="I99" s="8" t="inlineStr">
        <is>
          <t>ACE-10093</t>
        </is>
      </c>
      <c r="J99" s="8" t="inlineStr">
        <is>
          <t>2026-05-19 17:05:56</t>
        </is>
      </c>
      <c r="K99" s="8" t="inlineStr">
        <is>
          <t>CUST-53447</t>
        </is>
      </c>
      <c r="L99" s="9" t="inlineStr">
        <is>
          <t>GBP-PKR</t>
        </is>
      </c>
      <c r="M99" s="8" t="inlineStr">
        <is>
          <t>GBP</t>
        </is>
      </c>
      <c r="N99" s="10" t="n">
        <v>259.7148488012839</v>
      </c>
      <c r="O99" s="11" t="n">
        <v>1</v>
      </c>
      <c r="P99" s="10" t="n">
        <v>259.7148488012839</v>
      </c>
      <c r="Q99" s="10" t="n">
        <v>1.5</v>
      </c>
      <c r="R99" s="12" t="n">
        <v>0.021</v>
      </c>
      <c r="S99" s="13" t="inlineStr">
        <is>
          <t>Success</t>
        </is>
      </c>
      <c r="T99" s="10" t="n">
        <v>0.3895722732019259</v>
      </c>
      <c r="U99" s="10" t="n">
        <v>0.7791445464038519</v>
      </c>
      <c r="V99" s="10" t="n">
        <v>3.116578185615408</v>
      </c>
    </row>
    <row r="100">
      <c r="I100" s="8" t="inlineStr">
        <is>
          <t>ACE-10094</t>
        </is>
      </c>
      <c r="J100" s="8" t="inlineStr">
        <is>
          <t>2026-05-02 18:05:17</t>
        </is>
      </c>
      <c r="K100" s="8" t="inlineStr">
        <is>
          <t>CUST-79039</t>
        </is>
      </c>
      <c r="L100" s="9" t="inlineStr">
        <is>
          <t>GBP-PKR</t>
        </is>
      </c>
      <c r="M100" s="8" t="inlineStr">
        <is>
          <t>GBP</t>
        </is>
      </c>
      <c r="N100" s="10" t="n">
        <v>269.622649904858</v>
      </c>
      <c r="O100" s="11" t="n">
        <v>1</v>
      </c>
      <c r="P100" s="10" t="n">
        <v>269.622649904858</v>
      </c>
      <c r="Q100" s="10" t="n">
        <v>1.5</v>
      </c>
      <c r="R100" s="12" t="n">
        <v>0.021</v>
      </c>
      <c r="S100" s="13" t="inlineStr">
        <is>
          <t>Success</t>
        </is>
      </c>
      <c r="T100" s="10" t="n">
        <v>0.404433974857287</v>
      </c>
      <c r="U100" s="10" t="n">
        <v>0</v>
      </c>
      <c r="V100" s="10" t="n">
        <v>3.235471798858296</v>
      </c>
    </row>
    <row r="101">
      <c r="I101" s="8" t="inlineStr">
        <is>
          <t>ACE-10095</t>
        </is>
      </c>
      <c r="J101" s="8" t="inlineStr">
        <is>
          <t>2026-05-15 14:17:13</t>
        </is>
      </c>
      <c r="K101" s="8" t="inlineStr">
        <is>
          <t>CUST-99475</t>
        </is>
      </c>
      <c r="L101" s="9" t="inlineStr">
        <is>
          <t>GBP-PKR</t>
        </is>
      </c>
      <c r="M101" s="8" t="inlineStr">
        <is>
          <t>GBP</t>
        </is>
      </c>
      <c r="N101" s="10" t="n">
        <v>267.8906266927164</v>
      </c>
      <c r="O101" s="11" t="n">
        <v>1</v>
      </c>
      <c r="P101" s="10" t="n">
        <v>267.8906266927164</v>
      </c>
      <c r="Q101" s="10" t="n">
        <v>1.5</v>
      </c>
      <c r="R101" s="12" t="n">
        <v>0.021</v>
      </c>
      <c r="S101" s="13" t="inlineStr">
        <is>
          <t>Success</t>
        </is>
      </c>
      <c r="T101" s="10" t="n">
        <v>0.4018359400390746</v>
      </c>
      <c r="U101" s="10" t="n">
        <v>0</v>
      </c>
      <c r="V101" s="10" t="n">
        <v>3.214687520312597</v>
      </c>
    </row>
    <row r="102">
      <c r="I102" s="8" t="inlineStr">
        <is>
          <t>ACE-10096</t>
        </is>
      </c>
      <c r="J102" s="8" t="inlineStr">
        <is>
          <t>2026-05-04 12:43:43</t>
        </is>
      </c>
      <c r="K102" s="8" t="inlineStr">
        <is>
          <t>CUST-88871</t>
        </is>
      </c>
      <c r="L102" s="9" t="inlineStr">
        <is>
          <t>EUR-PKR</t>
        </is>
      </c>
      <c r="M102" s="8" t="inlineStr">
        <is>
          <t>EUR</t>
        </is>
      </c>
      <c r="N102" s="10" t="n">
        <v>163.3136487550162</v>
      </c>
      <c r="O102" s="11" t="n">
        <v>0.85</v>
      </c>
      <c r="P102" s="10" t="n">
        <v>138.8166014417638</v>
      </c>
      <c r="Q102" s="10" t="n">
        <v>1.275</v>
      </c>
      <c r="R102" s="12" t="n">
        <v>0.023</v>
      </c>
      <c r="S102" s="13" t="inlineStr">
        <is>
          <t>Success</t>
        </is>
      </c>
      <c r="T102" s="10" t="n">
        <v>0.2082249021626457</v>
      </c>
      <c r="U102" s="10" t="n">
        <v>0.4164498043252913</v>
      </c>
      <c r="V102" s="10" t="n">
        <v>2.082249021626456</v>
      </c>
    </row>
    <row r="103">
      <c r="I103" s="8" t="inlineStr">
        <is>
          <t>ACE-10097</t>
        </is>
      </c>
      <c r="J103" s="8" t="inlineStr">
        <is>
          <t>2026-05-02 11:25:38</t>
        </is>
      </c>
      <c r="K103" s="8" t="inlineStr">
        <is>
          <t>CUST-53590</t>
        </is>
      </c>
      <c r="L103" s="9" t="inlineStr">
        <is>
          <t>GBP-PKR</t>
        </is>
      </c>
      <c r="M103" s="8" t="inlineStr">
        <is>
          <t>GBP</t>
        </is>
      </c>
      <c r="N103" s="10" t="n">
        <v>286.9768730701697</v>
      </c>
      <c r="O103" s="11" t="n">
        <v>1</v>
      </c>
      <c r="P103" s="10" t="n">
        <v>286.9768730701697</v>
      </c>
      <c r="Q103" s="10" t="n">
        <v>1.5</v>
      </c>
      <c r="R103" s="12" t="n">
        <v>0.021</v>
      </c>
      <c r="S103" s="13" t="inlineStr">
        <is>
          <t>Failed</t>
        </is>
      </c>
      <c r="T103" s="10" t="n">
        <v>0</v>
      </c>
      <c r="U103" s="10" t="n">
        <v>0</v>
      </c>
      <c r="V103" s="10" t="n">
        <v>0.5</v>
      </c>
    </row>
    <row r="104">
      <c r="I104" s="8" t="inlineStr">
        <is>
          <t>ACE-10098</t>
        </is>
      </c>
      <c r="J104" s="8" t="inlineStr">
        <is>
          <t>2026-05-10 11:49:08</t>
        </is>
      </c>
      <c r="K104" s="8" t="inlineStr">
        <is>
          <t>CUST-66745</t>
        </is>
      </c>
      <c r="L104" s="9" t="inlineStr">
        <is>
          <t>GBP-PKR</t>
        </is>
      </c>
      <c r="M104" s="8" t="inlineStr">
        <is>
          <t>GBP</t>
        </is>
      </c>
      <c r="N104" s="10" t="n">
        <v>285.9723507328653</v>
      </c>
      <c r="O104" s="11" t="n">
        <v>1</v>
      </c>
      <c r="P104" s="10" t="n">
        <v>285.9723507328653</v>
      </c>
      <c r="Q104" s="10" t="n">
        <v>1.5</v>
      </c>
      <c r="R104" s="12" t="n">
        <v>0.021</v>
      </c>
      <c r="S104" s="13" t="inlineStr">
        <is>
          <t>Success</t>
        </is>
      </c>
      <c r="T104" s="10" t="n">
        <v>0.428958526099298</v>
      </c>
      <c r="U104" s="10" t="n">
        <v>0</v>
      </c>
      <c r="V104" s="10" t="n">
        <v>3.431668208794384</v>
      </c>
    </row>
    <row r="105">
      <c r="I105" s="8" t="inlineStr">
        <is>
          <t>ACE-10099</t>
        </is>
      </c>
      <c r="J105" s="8" t="inlineStr">
        <is>
          <t>2026-05-16 19:27:11</t>
        </is>
      </c>
      <c r="K105" s="8" t="inlineStr">
        <is>
          <t>CUST-58466</t>
        </is>
      </c>
      <c r="L105" s="9" t="inlineStr">
        <is>
          <t>GBP-PKR</t>
        </is>
      </c>
      <c r="M105" s="8" t="inlineStr">
        <is>
          <t>GBP</t>
        </is>
      </c>
      <c r="N105" s="10" t="n">
        <v>278.7459932927889</v>
      </c>
      <c r="O105" s="11" t="n">
        <v>1</v>
      </c>
      <c r="P105" s="10" t="n">
        <v>278.7459932927889</v>
      </c>
      <c r="Q105" s="10" t="n">
        <v>1.5</v>
      </c>
      <c r="R105" s="12" t="n">
        <v>0.021</v>
      </c>
      <c r="S105" s="13" t="inlineStr">
        <is>
          <t>Success</t>
        </is>
      </c>
      <c r="T105" s="10" t="n">
        <v>0.4181189899391834</v>
      </c>
      <c r="U105" s="10" t="n">
        <v>0.8362379798783668</v>
      </c>
      <c r="V105" s="10" t="n">
        <v>3.344951919513467</v>
      </c>
    </row>
    <row r="106">
      <c r="I106" s="8" t="inlineStr">
        <is>
          <t>ACE-10100</t>
        </is>
      </c>
      <c r="J106" s="8" t="inlineStr">
        <is>
          <t>2026-05-17 16:53:42</t>
        </is>
      </c>
      <c r="K106" s="8" t="inlineStr">
        <is>
          <t>CUST-73210</t>
        </is>
      </c>
      <c r="L106" s="9" t="inlineStr">
        <is>
          <t>USD-PKR</t>
        </is>
      </c>
      <c r="M106" s="8" t="inlineStr">
        <is>
          <t>USD</t>
        </is>
      </c>
      <c r="N106" s="10" t="n">
        <v>213.827332746826</v>
      </c>
      <c r="O106" s="11" t="n">
        <v>0.8</v>
      </c>
      <c r="P106" s="10" t="n">
        <v>171.0618661974609</v>
      </c>
      <c r="Q106" s="10" t="n">
        <v>1.6</v>
      </c>
      <c r="R106" s="12" t="n">
        <v>0.019</v>
      </c>
      <c r="S106" s="13" t="inlineStr">
        <is>
          <t>Success</t>
        </is>
      </c>
      <c r="T106" s="10" t="n">
        <v>0.2565927992961913</v>
      </c>
      <c r="U106" s="10" t="n">
        <v>0.5131855985923826</v>
      </c>
      <c r="V106" s="10" t="n">
        <v>2.05274239436953</v>
      </c>
    </row>
    <row r="107">
      <c r="I107" s="8" t="inlineStr">
        <is>
          <t>ACE-10101</t>
        </is>
      </c>
      <c r="J107" s="8" t="inlineStr">
        <is>
          <t>2026-05-02 14:01:29</t>
        </is>
      </c>
      <c r="K107" s="8" t="inlineStr">
        <is>
          <t>CUST-55102</t>
        </is>
      </c>
      <c r="L107" s="9" t="inlineStr">
        <is>
          <t>GBP-PKR</t>
        </is>
      </c>
      <c r="M107" s="8" t="inlineStr">
        <is>
          <t>GBP</t>
        </is>
      </c>
      <c r="N107" s="10" t="n">
        <v>241.8342390753656</v>
      </c>
      <c r="O107" s="11" t="n">
        <v>1</v>
      </c>
      <c r="P107" s="10" t="n">
        <v>241.8342390753656</v>
      </c>
      <c r="Q107" s="10" t="n">
        <v>1.5</v>
      </c>
      <c r="R107" s="12" t="n">
        <v>0.021</v>
      </c>
      <c r="S107" s="13" t="inlineStr">
        <is>
          <t>Success</t>
        </is>
      </c>
      <c r="T107" s="10" t="n">
        <v>0.3627513586130484</v>
      </c>
      <c r="U107" s="10" t="n">
        <v>0</v>
      </c>
      <c r="V107" s="10" t="n">
        <v>2.902010868904387</v>
      </c>
    </row>
    <row r="108">
      <c r="I108" s="8" t="inlineStr">
        <is>
          <t>ACE-10102</t>
        </is>
      </c>
      <c r="J108" s="8" t="inlineStr">
        <is>
          <t>2026-05-19 14:45:40</t>
        </is>
      </c>
      <c r="K108" s="8" t="inlineStr">
        <is>
          <t>CUST-77373</t>
        </is>
      </c>
      <c r="L108" s="9" t="inlineStr">
        <is>
          <t>GBP-PKR</t>
        </is>
      </c>
      <c r="M108" s="8" t="inlineStr">
        <is>
          <t>GBP</t>
        </is>
      </c>
      <c r="N108" s="10" t="n">
        <v>267.1272324406435</v>
      </c>
      <c r="O108" s="11" t="n">
        <v>1</v>
      </c>
      <c r="P108" s="10" t="n">
        <v>267.1272324406435</v>
      </c>
      <c r="Q108" s="10" t="n">
        <v>1.5</v>
      </c>
      <c r="R108" s="12" t="n">
        <v>0.021</v>
      </c>
      <c r="S108" s="13" t="inlineStr">
        <is>
          <t>Success</t>
        </is>
      </c>
      <c r="T108" s="10" t="n">
        <v>0.4006908486609653</v>
      </c>
      <c r="U108" s="10" t="n">
        <v>0</v>
      </c>
      <c r="V108" s="10" t="n">
        <v>3.205526789287722</v>
      </c>
    </row>
    <row r="109">
      <c r="I109" s="8" t="inlineStr">
        <is>
          <t>ACE-10103</t>
        </is>
      </c>
      <c r="J109" s="8" t="inlineStr">
        <is>
          <t>2026-05-11 10:51:39</t>
        </is>
      </c>
      <c r="K109" s="8" t="inlineStr">
        <is>
          <t>CUST-80152</t>
        </is>
      </c>
      <c r="L109" s="9" t="inlineStr">
        <is>
          <t>EUR-PKR</t>
        </is>
      </c>
      <c r="M109" s="8" t="inlineStr">
        <is>
          <t>EUR</t>
        </is>
      </c>
      <c r="N109" s="10" t="n">
        <v>182.6830383939215</v>
      </c>
      <c r="O109" s="11" t="n">
        <v>0.85</v>
      </c>
      <c r="P109" s="10" t="n">
        <v>155.2805826348333</v>
      </c>
      <c r="Q109" s="10" t="n">
        <v>1.275</v>
      </c>
      <c r="R109" s="12" t="n">
        <v>0.023</v>
      </c>
      <c r="S109" s="13" t="inlineStr">
        <is>
          <t>Success</t>
        </is>
      </c>
      <c r="T109" s="10" t="n">
        <v>0.2329208739522499</v>
      </c>
      <c r="U109" s="10" t="n">
        <v>0.4658417479044998</v>
      </c>
      <c r="V109" s="10" t="n">
        <v>2.329208739522499</v>
      </c>
    </row>
    <row r="110">
      <c r="I110" s="8" t="inlineStr">
        <is>
          <t>ACE-10104</t>
        </is>
      </c>
      <c r="J110" s="8" t="inlineStr">
        <is>
          <t>2026-05-03 14:54:06</t>
        </is>
      </c>
      <c r="K110" s="8" t="inlineStr">
        <is>
          <t>CUST-65945</t>
        </is>
      </c>
      <c r="L110" s="9" t="inlineStr">
        <is>
          <t>EUR-PKR</t>
        </is>
      </c>
      <c r="M110" s="8" t="inlineStr">
        <is>
          <t>EUR</t>
        </is>
      </c>
      <c r="N110" s="10" t="n">
        <v>174.4775962657847</v>
      </c>
      <c r="O110" s="11" t="n">
        <v>0.85</v>
      </c>
      <c r="P110" s="10" t="n">
        <v>148.305956825917</v>
      </c>
      <c r="Q110" s="10" t="n">
        <v>1.275</v>
      </c>
      <c r="R110" s="12" t="n">
        <v>0.023</v>
      </c>
      <c r="S110" s="13" t="inlineStr">
        <is>
          <t>Success</t>
        </is>
      </c>
      <c r="T110" s="10" t="n">
        <v>0.2224589352388755</v>
      </c>
      <c r="U110" s="10" t="n">
        <v>0</v>
      </c>
      <c r="V110" s="10" t="n">
        <v>2.224589352388755</v>
      </c>
    </row>
    <row r="111">
      <c r="I111" s="8" t="inlineStr">
        <is>
          <t>ACE-10105</t>
        </is>
      </c>
      <c r="J111" s="8" t="inlineStr">
        <is>
          <t>2026-05-03 14:55:19</t>
        </is>
      </c>
      <c r="K111" s="8" t="inlineStr">
        <is>
          <t>CUST-98877</t>
        </is>
      </c>
      <c r="L111" s="9" t="inlineStr">
        <is>
          <t>GBP-PKR</t>
        </is>
      </c>
      <c r="M111" s="8" t="inlineStr">
        <is>
          <t>GBP</t>
        </is>
      </c>
      <c r="N111" s="10" t="n">
        <v>274.1460605346376</v>
      </c>
      <c r="O111" s="11" t="n">
        <v>1</v>
      </c>
      <c r="P111" s="10" t="n">
        <v>274.1460605346376</v>
      </c>
      <c r="Q111" s="10" t="n">
        <v>1.5</v>
      </c>
      <c r="R111" s="12" t="n">
        <v>0.021</v>
      </c>
      <c r="S111" s="13" t="inlineStr">
        <is>
          <t>Success</t>
        </is>
      </c>
      <c r="T111" s="10" t="n">
        <v>0.4112190908019563</v>
      </c>
      <c r="U111" s="10" t="n">
        <v>0</v>
      </c>
      <c r="V111" s="10" t="n">
        <v>3.289752726415651</v>
      </c>
    </row>
    <row r="112">
      <c r="I112" s="8" t="inlineStr">
        <is>
          <t>ACE-10106</t>
        </is>
      </c>
      <c r="J112" s="8" t="inlineStr">
        <is>
          <t>2026-05-06 09:32:40</t>
        </is>
      </c>
      <c r="K112" s="8" t="inlineStr">
        <is>
          <t>CUST-57472</t>
        </is>
      </c>
      <c r="L112" s="9" t="inlineStr">
        <is>
          <t>EUR-PKR</t>
        </is>
      </c>
      <c r="M112" s="8" t="inlineStr">
        <is>
          <t>EUR</t>
        </is>
      </c>
      <c r="N112" s="10" t="n">
        <v>196.8474686142906</v>
      </c>
      <c r="O112" s="11" t="n">
        <v>0.85</v>
      </c>
      <c r="P112" s="10" t="n">
        <v>167.320348322147</v>
      </c>
      <c r="Q112" s="10" t="n">
        <v>1.275</v>
      </c>
      <c r="R112" s="12" t="n">
        <v>0.023</v>
      </c>
      <c r="S112" s="13" t="inlineStr">
        <is>
          <t>Success</t>
        </is>
      </c>
      <c r="T112" s="10" t="n">
        <v>0.2509805224832204</v>
      </c>
      <c r="U112" s="10" t="n">
        <v>0</v>
      </c>
      <c r="V112" s="10" t="n">
        <v>2.509805224832204</v>
      </c>
    </row>
    <row r="113">
      <c r="I113" s="8" t="inlineStr">
        <is>
          <t>ACE-10107</t>
        </is>
      </c>
      <c r="J113" s="8" t="inlineStr">
        <is>
          <t>2026-05-12 13:46:52</t>
        </is>
      </c>
      <c r="K113" s="8" t="inlineStr">
        <is>
          <t>CUST-92299</t>
        </is>
      </c>
      <c r="L113" s="9" t="inlineStr">
        <is>
          <t>EUR-PKR</t>
        </is>
      </c>
      <c r="M113" s="8" t="inlineStr">
        <is>
          <t>EUR</t>
        </is>
      </c>
      <c r="N113" s="10" t="n">
        <v>228.2959154632026</v>
      </c>
      <c r="O113" s="11" t="n">
        <v>0.85</v>
      </c>
      <c r="P113" s="10" t="n">
        <v>194.0515281437222</v>
      </c>
      <c r="Q113" s="10" t="n">
        <v>1.275</v>
      </c>
      <c r="R113" s="12" t="n">
        <v>0.023</v>
      </c>
      <c r="S113" s="13" t="inlineStr">
        <is>
          <t>Success</t>
        </is>
      </c>
      <c r="T113" s="10" t="n">
        <v>0.2910772922155834</v>
      </c>
      <c r="U113" s="10" t="n">
        <v>0</v>
      </c>
      <c r="V113" s="10" t="n">
        <v>2.910772922155834</v>
      </c>
    </row>
    <row r="114">
      <c r="I114" s="8" t="inlineStr">
        <is>
          <t>ACE-10108</t>
        </is>
      </c>
      <c r="J114" s="8" t="inlineStr">
        <is>
          <t>2026-05-05 12:12:11</t>
        </is>
      </c>
      <c r="K114" s="8" t="inlineStr">
        <is>
          <t>CUST-89478</t>
        </is>
      </c>
      <c r="L114" s="9" t="inlineStr">
        <is>
          <t>USD-PKR</t>
        </is>
      </c>
      <c r="M114" s="8" t="inlineStr">
        <is>
          <t>USD</t>
        </is>
      </c>
      <c r="N114" s="10" t="n">
        <v>222.7578545896314</v>
      </c>
      <c r="O114" s="11" t="n">
        <v>0.8</v>
      </c>
      <c r="P114" s="10" t="n">
        <v>178.2062836717052</v>
      </c>
      <c r="Q114" s="10" t="n">
        <v>1.6</v>
      </c>
      <c r="R114" s="12" t="n">
        <v>0.019</v>
      </c>
      <c r="S114" s="13" t="inlineStr">
        <is>
          <t>Success</t>
        </is>
      </c>
      <c r="T114" s="10" t="n">
        <v>0.2673094255075578</v>
      </c>
      <c r="U114" s="10" t="n">
        <v>0.5346188510151155</v>
      </c>
      <c r="V114" s="10" t="n">
        <v>2.138475404060462</v>
      </c>
    </row>
    <row r="115">
      <c r="I115" s="8" t="inlineStr">
        <is>
          <t>ACE-10109</t>
        </is>
      </c>
      <c r="J115" s="8" t="inlineStr">
        <is>
          <t>2026-05-03 10:49:40</t>
        </is>
      </c>
      <c r="K115" s="8" t="inlineStr">
        <is>
          <t>CUST-82382</t>
        </is>
      </c>
      <c r="L115" s="9" t="inlineStr">
        <is>
          <t>GBP-PKR</t>
        </is>
      </c>
      <c r="M115" s="8" t="inlineStr">
        <is>
          <t>GBP</t>
        </is>
      </c>
      <c r="N115" s="10" t="n">
        <v>285.8721383765793</v>
      </c>
      <c r="O115" s="11" t="n">
        <v>1</v>
      </c>
      <c r="P115" s="10" t="n">
        <v>285.8721383765793</v>
      </c>
      <c r="Q115" s="10" t="n">
        <v>1.5</v>
      </c>
      <c r="R115" s="12" t="n">
        <v>0.021</v>
      </c>
      <c r="S115" s="13" t="inlineStr">
        <is>
          <t>Success</t>
        </is>
      </c>
      <c r="T115" s="10" t="n">
        <v>0.428808207564869</v>
      </c>
      <c r="U115" s="10" t="n">
        <v>0</v>
      </c>
      <c r="V115" s="10" t="n">
        <v>3.430465660518952</v>
      </c>
    </row>
    <row r="116">
      <c r="I116" s="8" t="inlineStr">
        <is>
          <t>ACE-10110</t>
        </is>
      </c>
      <c r="J116" s="8" t="inlineStr">
        <is>
          <t>2026-05-19 15:43:59</t>
        </is>
      </c>
      <c r="K116" s="8" t="inlineStr">
        <is>
          <t>CUST-86994</t>
        </is>
      </c>
      <c r="L116" s="9" t="inlineStr">
        <is>
          <t>GBP-PKR</t>
        </is>
      </c>
      <c r="M116" s="8" t="inlineStr">
        <is>
          <t>GBP</t>
        </is>
      </c>
      <c r="N116" s="10" t="n">
        <v>276.5371061988587</v>
      </c>
      <c r="O116" s="11" t="n">
        <v>1</v>
      </c>
      <c r="P116" s="10" t="n">
        <v>276.5371061988587</v>
      </c>
      <c r="Q116" s="10" t="n">
        <v>1.5</v>
      </c>
      <c r="R116" s="12" t="n">
        <v>0.021</v>
      </c>
      <c r="S116" s="13" t="inlineStr">
        <is>
          <t>Success</t>
        </is>
      </c>
      <c r="T116" s="10" t="n">
        <v>0.4148056592982881</v>
      </c>
      <c r="U116" s="10" t="n">
        <v>0.8296113185965761</v>
      </c>
      <c r="V116" s="10" t="n">
        <v>3.318445274386304</v>
      </c>
    </row>
    <row r="117">
      <c r="I117" s="8" t="inlineStr">
        <is>
          <t>ACE-10111</t>
        </is>
      </c>
      <c r="J117" s="8" t="inlineStr">
        <is>
          <t>2026-05-11 18:20:09</t>
        </is>
      </c>
      <c r="K117" s="8" t="inlineStr">
        <is>
          <t>CUST-78820</t>
        </is>
      </c>
      <c r="L117" s="9" t="inlineStr">
        <is>
          <t>USD-PKR</t>
        </is>
      </c>
      <c r="M117" s="8" t="inlineStr">
        <is>
          <t>USD</t>
        </is>
      </c>
      <c r="N117" s="10" t="n">
        <v>180.684140155468</v>
      </c>
      <c r="O117" s="11" t="n">
        <v>0.8</v>
      </c>
      <c r="P117" s="10" t="n">
        <v>144.5473121243744</v>
      </c>
      <c r="Q117" s="10" t="n">
        <v>1.6</v>
      </c>
      <c r="R117" s="12" t="n">
        <v>0.019</v>
      </c>
      <c r="S117" s="13" t="inlineStr">
        <is>
          <t>Success</t>
        </is>
      </c>
      <c r="T117" s="10" t="n">
        <v>0.2168209681865616</v>
      </c>
      <c r="U117" s="10" t="n">
        <v>0</v>
      </c>
      <c r="V117" s="10" t="n">
        <v>1.734567745492493</v>
      </c>
    </row>
    <row r="118">
      <c r="I118" s="8" t="inlineStr">
        <is>
          <t>ACE-10112</t>
        </is>
      </c>
      <c r="J118" s="8" t="inlineStr">
        <is>
          <t>2026-05-10 20:17:37</t>
        </is>
      </c>
      <c r="K118" s="8" t="inlineStr">
        <is>
          <t>CUST-53681</t>
        </is>
      </c>
      <c r="L118" s="9" t="inlineStr">
        <is>
          <t>GBP-PKR</t>
        </is>
      </c>
      <c r="M118" s="8" t="inlineStr">
        <is>
          <t>GBP</t>
        </is>
      </c>
      <c r="N118" s="10" t="n">
        <v>277.8657867458346</v>
      </c>
      <c r="O118" s="11" t="n">
        <v>1</v>
      </c>
      <c r="P118" s="10" t="n">
        <v>277.8657867458346</v>
      </c>
      <c r="Q118" s="10" t="n">
        <v>1.5</v>
      </c>
      <c r="R118" s="12" t="n">
        <v>0.021</v>
      </c>
      <c r="S118" s="13" t="inlineStr">
        <is>
          <t>Success</t>
        </is>
      </c>
      <c r="T118" s="10" t="n">
        <v>0.4167986801187518</v>
      </c>
      <c r="U118" s="10" t="n">
        <v>0</v>
      </c>
      <c r="V118" s="10" t="n">
        <v>3.334389440950015</v>
      </c>
    </row>
    <row r="119">
      <c r="I119" s="8" t="inlineStr">
        <is>
          <t>ACE-10113</t>
        </is>
      </c>
      <c r="J119" s="8" t="inlineStr">
        <is>
          <t>2026-05-15 15:02:03</t>
        </is>
      </c>
      <c r="K119" s="8" t="inlineStr">
        <is>
          <t>CUST-74165</t>
        </is>
      </c>
      <c r="L119" s="9" t="inlineStr">
        <is>
          <t>GBP-PKR</t>
        </is>
      </c>
      <c r="M119" s="8" t="inlineStr">
        <is>
          <t>GBP</t>
        </is>
      </c>
      <c r="N119" s="10" t="n">
        <v>280.2865924483993</v>
      </c>
      <c r="O119" s="11" t="n">
        <v>1</v>
      </c>
      <c r="P119" s="10" t="n">
        <v>280.2865924483993</v>
      </c>
      <c r="Q119" s="10" t="n">
        <v>1.5</v>
      </c>
      <c r="R119" s="12" t="n">
        <v>0.021</v>
      </c>
      <c r="S119" s="13" t="inlineStr">
        <is>
          <t>Success</t>
        </is>
      </c>
      <c r="T119" s="10" t="n">
        <v>0.420429888672599</v>
      </c>
      <c r="U119" s="10" t="n">
        <v>0</v>
      </c>
      <c r="V119" s="10" t="n">
        <v>3.363439109380792</v>
      </c>
    </row>
    <row r="120">
      <c r="I120" s="8" t="inlineStr">
        <is>
          <t>ACE-10114</t>
        </is>
      </c>
      <c r="J120" s="8" t="inlineStr">
        <is>
          <t>2026-05-03 17:38:32</t>
        </is>
      </c>
      <c r="K120" s="8" t="inlineStr">
        <is>
          <t>CUST-75197</t>
        </is>
      </c>
      <c r="L120" s="9" t="inlineStr">
        <is>
          <t>GBP-PKR</t>
        </is>
      </c>
      <c r="M120" s="8" t="inlineStr">
        <is>
          <t>GBP</t>
        </is>
      </c>
      <c r="N120" s="10" t="n">
        <v>356.4214269919247</v>
      </c>
      <c r="O120" s="11" t="n">
        <v>1</v>
      </c>
      <c r="P120" s="10" t="n">
        <v>356.4214269919247</v>
      </c>
      <c r="Q120" s="10" t="n">
        <v>1.5</v>
      </c>
      <c r="R120" s="12" t="n">
        <v>0.021</v>
      </c>
      <c r="S120" s="13" t="inlineStr">
        <is>
          <t>Success</t>
        </is>
      </c>
      <c r="T120" s="10" t="n">
        <v>0.5346321404878871</v>
      </c>
      <c r="U120" s="10" t="n">
        <v>0</v>
      </c>
      <c r="V120" s="10" t="n">
        <v>4.277057123903097</v>
      </c>
    </row>
    <row r="121">
      <c r="I121" s="8" t="inlineStr">
        <is>
          <t>ACE-10115</t>
        </is>
      </c>
      <c r="J121" s="8" t="inlineStr">
        <is>
          <t>2026-05-24 08:28:58</t>
        </is>
      </c>
      <c r="K121" s="8" t="inlineStr">
        <is>
          <t>CUST-87464</t>
        </is>
      </c>
      <c r="L121" s="9" t="inlineStr">
        <is>
          <t>GBP-PKR</t>
        </is>
      </c>
      <c r="M121" s="8" t="inlineStr">
        <is>
          <t>GBP</t>
        </is>
      </c>
      <c r="N121" s="10" t="n">
        <v>273.2954670174122</v>
      </c>
      <c r="O121" s="11" t="n">
        <v>1</v>
      </c>
      <c r="P121" s="10" t="n">
        <v>273.2954670174122</v>
      </c>
      <c r="Q121" s="10" t="n">
        <v>1.5</v>
      </c>
      <c r="R121" s="12" t="n">
        <v>0.021</v>
      </c>
      <c r="S121" s="13" t="inlineStr">
        <is>
          <t>Success</t>
        </is>
      </c>
      <c r="T121" s="10" t="n">
        <v>0.4099432005261184</v>
      </c>
      <c r="U121" s="10" t="n">
        <v>0</v>
      </c>
      <c r="V121" s="10" t="n">
        <v>3.279545604208947</v>
      </c>
    </row>
    <row r="122">
      <c r="I122" s="8" t="inlineStr">
        <is>
          <t>ACE-10116</t>
        </is>
      </c>
      <c r="J122" s="8" t="inlineStr">
        <is>
          <t>2026-05-16 16:09:03</t>
        </is>
      </c>
      <c r="K122" s="8" t="inlineStr">
        <is>
          <t>CUST-79525</t>
        </is>
      </c>
      <c r="L122" s="9" t="inlineStr">
        <is>
          <t>USD-PKR</t>
        </is>
      </c>
      <c r="M122" s="8" t="inlineStr">
        <is>
          <t>USD</t>
        </is>
      </c>
      <c r="N122" s="10" t="n">
        <v>225.6042325126895</v>
      </c>
      <c r="O122" s="11" t="n">
        <v>0.8</v>
      </c>
      <c r="P122" s="10" t="n">
        <v>180.4833860101516</v>
      </c>
      <c r="Q122" s="10" t="n">
        <v>1.6</v>
      </c>
      <c r="R122" s="12" t="n">
        <v>0.019</v>
      </c>
      <c r="S122" s="13" t="inlineStr">
        <is>
          <t>Success</t>
        </is>
      </c>
      <c r="T122" s="10" t="n">
        <v>0.2707250790152274</v>
      </c>
      <c r="U122" s="10" t="n">
        <v>0.5414501580304547</v>
      </c>
      <c r="V122" s="10" t="n">
        <v>2.165800632121819</v>
      </c>
    </row>
    <row r="123">
      <c r="I123" s="8" t="inlineStr">
        <is>
          <t>ACE-10117</t>
        </is>
      </c>
      <c r="J123" s="8" t="inlineStr">
        <is>
          <t>2026-05-11 19:05:32</t>
        </is>
      </c>
      <c r="K123" s="8" t="inlineStr">
        <is>
          <t>CUST-92344</t>
        </is>
      </c>
      <c r="L123" s="9" t="inlineStr">
        <is>
          <t>GBP-PKR</t>
        </is>
      </c>
      <c r="M123" s="8" t="inlineStr">
        <is>
          <t>GBP</t>
        </is>
      </c>
      <c r="N123" s="10" t="n">
        <v>277.6380886571183</v>
      </c>
      <c r="O123" s="11" t="n">
        <v>1</v>
      </c>
      <c r="P123" s="10" t="n">
        <v>277.6380886571183</v>
      </c>
      <c r="Q123" s="10" t="n">
        <v>1.5</v>
      </c>
      <c r="R123" s="12" t="n">
        <v>0.021</v>
      </c>
      <c r="S123" s="13" t="inlineStr">
        <is>
          <t>Success</t>
        </is>
      </c>
      <c r="T123" s="10" t="n">
        <v>0.4164571329856774</v>
      </c>
      <c r="U123" s="10" t="n">
        <v>0</v>
      </c>
      <c r="V123" s="10" t="n">
        <v>3.331657063885419</v>
      </c>
    </row>
    <row r="124">
      <c r="I124" s="8" t="inlineStr">
        <is>
          <t>ACE-10118</t>
        </is>
      </c>
      <c r="J124" s="8" t="inlineStr">
        <is>
          <t>2026-05-15 15:33:33</t>
        </is>
      </c>
      <c r="K124" s="8" t="inlineStr">
        <is>
          <t>CUST-89964</t>
        </is>
      </c>
      <c r="L124" s="9" t="inlineStr">
        <is>
          <t>GBP-PKR</t>
        </is>
      </c>
      <c r="M124" s="8" t="inlineStr">
        <is>
          <t>GBP</t>
        </is>
      </c>
      <c r="N124" s="10" t="n">
        <v>247.8743090660915</v>
      </c>
      <c r="O124" s="11" t="n">
        <v>1</v>
      </c>
      <c r="P124" s="10" t="n">
        <v>247.8743090660915</v>
      </c>
      <c r="Q124" s="10" t="n">
        <v>1.5</v>
      </c>
      <c r="R124" s="12" t="n">
        <v>0.021</v>
      </c>
      <c r="S124" s="13" t="inlineStr">
        <is>
          <t>Success</t>
        </is>
      </c>
      <c r="T124" s="10" t="n">
        <v>0.3718114635991372</v>
      </c>
      <c r="U124" s="10" t="n">
        <v>0</v>
      </c>
      <c r="V124" s="10" t="n">
        <v>2.974491708793098</v>
      </c>
    </row>
    <row r="125">
      <c r="I125" s="8" t="inlineStr">
        <is>
          <t>ACE-10119</t>
        </is>
      </c>
      <c r="J125" s="8" t="inlineStr">
        <is>
          <t>2026-05-10 14:26:49</t>
        </is>
      </c>
      <c r="K125" s="8" t="inlineStr">
        <is>
          <t>CUST-72175</t>
        </is>
      </c>
      <c r="L125" s="9" t="inlineStr">
        <is>
          <t>GBP-PKR</t>
        </is>
      </c>
      <c r="M125" s="8" t="inlineStr">
        <is>
          <t>GBP</t>
        </is>
      </c>
      <c r="N125" s="10" t="n">
        <v>312.3336116382112</v>
      </c>
      <c r="O125" s="11" t="n">
        <v>1</v>
      </c>
      <c r="P125" s="10" t="n">
        <v>312.3336116382112</v>
      </c>
      <c r="Q125" s="10" t="n">
        <v>1.5</v>
      </c>
      <c r="R125" s="12" t="n">
        <v>0.021</v>
      </c>
      <c r="S125" s="13" t="inlineStr">
        <is>
          <t>Success</t>
        </is>
      </c>
      <c r="T125" s="10" t="n">
        <v>0.4685004174573167</v>
      </c>
      <c r="U125" s="10" t="n">
        <v>0</v>
      </c>
      <c r="V125" s="10" t="n">
        <v>3.748003339658534</v>
      </c>
    </row>
    <row r="126">
      <c r="I126" s="8" t="inlineStr">
        <is>
          <t>ACE-10120</t>
        </is>
      </c>
      <c r="J126" s="8" t="inlineStr">
        <is>
          <t>2026-05-21 18:21:04</t>
        </is>
      </c>
      <c r="K126" s="8" t="inlineStr">
        <is>
          <t>CUST-71606</t>
        </is>
      </c>
      <c r="L126" s="9" t="inlineStr">
        <is>
          <t>GBP-PKR</t>
        </is>
      </c>
      <c r="M126" s="8" t="inlineStr">
        <is>
          <t>GBP</t>
        </is>
      </c>
      <c r="N126" s="10" t="n">
        <v>300.3603457765063</v>
      </c>
      <c r="O126" s="11" t="n">
        <v>1</v>
      </c>
      <c r="P126" s="10" t="n">
        <v>300.3603457765063</v>
      </c>
      <c r="Q126" s="10" t="n">
        <v>1.5</v>
      </c>
      <c r="R126" s="12" t="n">
        <v>0.021</v>
      </c>
      <c r="S126" s="13" t="inlineStr">
        <is>
          <t>Success</t>
        </is>
      </c>
      <c r="T126" s="10" t="n">
        <v>0.4505405186647595</v>
      </c>
      <c r="U126" s="10" t="n">
        <v>0.9010810373295191</v>
      </c>
      <c r="V126" s="10" t="n">
        <v>3.604324149318076</v>
      </c>
    </row>
    <row r="127">
      <c r="I127" s="8" t="inlineStr">
        <is>
          <t>ACE-10121</t>
        </is>
      </c>
      <c r="J127" s="8" t="inlineStr">
        <is>
          <t>2026-05-10 12:46:54</t>
        </is>
      </c>
      <c r="K127" s="8" t="inlineStr">
        <is>
          <t>CUST-93028</t>
        </is>
      </c>
      <c r="L127" s="9" t="inlineStr">
        <is>
          <t>GBP-PKR</t>
        </is>
      </c>
      <c r="M127" s="8" t="inlineStr">
        <is>
          <t>GBP</t>
        </is>
      </c>
      <c r="N127" s="10" t="n">
        <v>301.5370209571554</v>
      </c>
      <c r="O127" s="11" t="n">
        <v>1</v>
      </c>
      <c r="P127" s="10" t="n">
        <v>301.5370209571554</v>
      </c>
      <c r="Q127" s="10" t="n">
        <v>1.5</v>
      </c>
      <c r="R127" s="12" t="n">
        <v>0.021</v>
      </c>
      <c r="S127" s="13" t="inlineStr">
        <is>
          <t>Success</t>
        </is>
      </c>
      <c r="T127" s="10" t="n">
        <v>0.4523055314357331</v>
      </c>
      <c r="U127" s="10" t="n">
        <v>0.9046110628714662</v>
      </c>
      <c r="V127" s="10" t="n">
        <v>3.618444251485865</v>
      </c>
    </row>
    <row r="128">
      <c r="I128" s="8" t="inlineStr">
        <is>
          <t>ACE-10122</t>
        </is>
      </c>
      <c r="J128" s="8" t="inlineStr">
        <is>
          <t>2026-05-05 13:05:37</t>
        </is>
      </c>
      <c r="K128" s="8" t="inlineStr">
        <is>
          <t>CUST-93490</t>
        </is>
      </c>
      <c r="L128" s="9" t="inlineStr">
        <is>
          <t>GBP-PKR</t>
        </is>
      </c>
      <c r="M128" s="8" t="inlineStr">
        <is>
          <t>GBP</t>
        </is>
      </c>
      <c r="N128" s="10" t="n">
        <v>254.3855062842216</v>
      </c>
      <c r="O128" s="11" t="n">
        <v>1</v>
      </c>
      <c r="P128" s="10" t="n">
        <v>254.3855062842216</v>
      </c>
      <c r="Q128" s="10" t="n">
        <v>1.5</v>
      </c>
      <c r="R128" s="12" t="n">
        <v>0.021</v>
      </c>
      <c r="S128" s="13" t="inlineStr">
        <is>
          <t>Success</t>
        </is>
      </c>
      <c r="T128" s="10" t="n">
        <v>0.3815782594263324</v>
      </c>
      <c r="U128" s="10" t="n">
        <v>0</v>
      </c>
      <c r="V128" s="10" t="n">
        <v>3.052626075410659</v>
      </c>
    </row>
    <row r="129">
      <c r="I129" s="8" t="inlineStr">
        <is>
          <t>ACE-10123</t>
        </is>
      </c>
      <c r="J129" s="8" t="inlineStr">
        <is>
          <t>2026-05-21 19:42:25</t>
        </is>
      </c>
      <c r="K129" s="8" t="inlineStr">
        <is>
          <t>CUST-58450</t>
        </is>
      </c>
      <c r="L129" s="9" t="inlineStr">
        <is>
          <t>GBP-PKR</t>
        </is>
      </c>
      <c r="M129" s="8" t="inlineStr">
        <is>
          <t>GBP</t>
        </is>
      </c>
      <c r="N129" s="10" t="n">
        <v>320.559861497264</v>
      </c>
      <c r="O129" s="11" t="n">
        <v>1</v>
      </c>
      <c r="P129" s="10" t="n">
        <v>320.559861497264</v>
      </c>
      <c r="Q129" s="10" t="n">
        <v>1.5</v>
      </c>
      <c r="R129" s="12" t="n">
        <v>0.021</v>
      </c>
      <c r="S129" s="13" t="inlineStr">
        <is>
          <t>Success</t>
        </is>
      </c>
      <c r="T129" s="10" t="n">
        <v>0.4808397922458961</v>
      </c>
      <c r="U129" s="10" t="n">
        <v>0.9616795844917921</v>
      </c>
      <c r="V129" s="10" t="n">
        <v>3.846718337967169</v>
      </c>
    </row>
    <row r="130">
      <c r="I130" s="8" t="inlineStr">
        <is>
          <t>ACE-10124</t>
        </is>
      </c>
      <c r="J130" s="8" t="inlineStr">
        <is>
          <t>2026-05-10 16:24:41</t>
        </is>
      </c>
      <c r="K130" s="8" t="inlineStr">
        <is>
          <t>CUST-71527</t>
        </is>
      </c>
      <c r="L130" s="9" t="inlineStr">
        <is>
          <t>GBP-PKR</t>
        </is>
      </c>
      <c r="M130" s="8" t="inlineStr">
        <is>
          <t>GBP</t>
        </is>
      </c>
      <c r="N130" s="10" t="n">
        <v>242.1614123239938</v>
      </c>
      <c r="O130" s="11" t="n">
        <v>1</v>
      </c>
      <c r="P130" s="10" t="n">
        <v>242.1614123239938</v>
      </c>
      <c r="Q130" s="10" t="n">
        <v>1.5</v>
      </c>
      <c r="R130" s="12" t="n">
        <v>0.021</v>
      </c>
      <c r="S130" s="13" t="inlineStr">
        <is>
          <t>Success</t>
        </is>
      </c>
      <c r="T130" s="10" t="n">
        <v>0.3632421184859907</v>
      </c>
      <c r="U130" s="10" t="n">
        <v>0.7264842369719814</v>
      </c>
      <c r="V130" s="10" t="n">
        <v>2.905936947887926</v>
      </c>
    </row>
    <row r="131">
      <c r="I131" s="8" t="inlineStr">
        <is>
          <t>ACE-10125</t>
        </is>
      </c>
      <c r="J131" s="8" t="inlineStr">
        <is>
          <t>2026-05-24 18:58:33</t>
        </is>
      </c>
      <c r="K131" s="8" t="inlineStr">
        <is>
          <t>CUST-56124</t>
        </is>
      </c>
      <c r="L131" s="9" t="inlineStr">
        <is>
          <t>GBP-PKR</t>
        </is>
      </c>
      <c r="M131" s="8" t="inlineStr">
        <is>
          <t>GBP</t>
        </is>
      </c>
      <c r="N131" s="10" t="n">
        <v>295.4428191033979</v>
      </c>
      <c r="O131" s="11" t="n">
        <v>1</v>
      </c>
      <c r="P131" s="10" t="n">
        <v>295.4428191033979</v>
      </c>
      <c r="Q131" s="10" t="n">
        <v>1.5</v>
      </c>
      <c r="R131" s="12" t="n">
        <v>0.021</v>
      </c>
      <c r="S131" s="13" t="inlineStr">
        <is>
          <t>Success</t>
        </is>
      </c>
      <c r="T131" s="10" t="n">
        <v>0.4431642286550969</v>
      </c>
      <c r="U131" s="10" t="n">
        <v>0</v>
      </c>
      <c r="V131" s="10" t="n">
        <v>3.545313829240775</v>
      </c>
    </row>
    <row r="132">
      <c r="I132" s="8" t="inlineStr">
        <is>
          <t>ACE-10126</t>
        </is>
      </c>
      <c r="J132" s="8" t="inlineStr">
        <is>
          <t>2026-05-12 08:23:19</t>
        </is>
      </c>
      <c r="K132" s="8" t="inlineStr">
        <is>
          <t>CUST-61813</t>
        </is>
      </c>
      <c r="L132" s="9" t="inlineStr">
        <is>
          <t>GBP-PKR</t>
        </is>
      </c>
      <c r="M132" s="8" t="inlineStr">
        <is>
          <t>GBP</t>
        </is>
      </c>
      <c r="N132" s="10" t="n">
        <v>346.8301454587663</v>
      </c>
      <c r="O132" s="11" t="n">
        <v>1</v>
      </c>
      <c r="P132" s="10" t="n">
        <v>346.8301454587663</v>
      </c>
      <c r="Q132" s="10" t="n">
        <v>1.5</v>
      </c>
      <c r="R132" s="12" t="n">
        <v>0.021</v>
      </c>
      <c r="S132" s="13" t="inlineStr">
        <is>
          <t>Success</t>
        </is>
      </c>
      <c r="T132" s="10" t="n">
        <v>0.5202452181881495</v>
      </c>
      <c r="U132" s="10" t="n">
        <v>0</v>
      </c>
      <c r="V132" s="10" t="n">
        <v>4.161961745505196</v>
      </c>
    </row>
    <row r="133">
      <c r="I133" s="8" t="inlineStr">
        <is>
          <t>ACE-10127</t>
        </is>
      </c>
      <c r="J133" s="8" t="inlineStr">
        <is>
          <t>2026-05-16 11:14:08</t>
        </is>
      </c>
      <c r="K133" s="8" t="inlineStr">
        <is>
          <t>CUST-60154</t>
        </is>
      </c>
      <c r="L133" s="9" t="inlineStr">
        <is>
          <t>USD-PKR</t>
        </is>
      </c>
      <c r="M133" s="8" t="inlineStr">
        <is>
          <t>USD</t>
        </is>
      </c>
      <c r="N133" s="10" t="n">
        <v>198.2589320227567</v>
      </c>
      <c r="O133" s="11" t="n">
        <v>0.8</v>
      </c>
      <c r="P133" s="10" t="n">
        <v>158.6071456182054</v>
      </c>
      <c r="Q133" s="10" t="n">
        <v>1.6</v>
      </c>
      <c r="R133" s="12" t="n">
        <v>0.019</v>
      </c>
      <c r="S133" s="13" t="inlineStr">
        <is>
          <t>Success</t>
        </is>
      </c>
      <c r="T133" s="10" t="n">
        <v>0.237910718427308</v>
      </c>
      <c r="U133" s="10" t="n">
        <v>0.4758214368546161</v>
      </c>
      <c r="V133" s="10" t="n">
        <v>1.903285747418464</v>
      </c>
    </row>
    <row r="134">
      <c r="I134" s="8" t="inlineStr">
        <is>
          <t>ACE-10128</t>
        </is>
      </c>
      <c r="J134" s="8" t="inlineStr">
        <is>
          <t>2026-05-04 16:49:34</t>
        </is>
      </c>
      <c r="K134" s="8" t="inlineStr">
        <is>
          <t>CUST-98407</t>
        </is>
      </c>
      <c r="L134" s="9" t="inlineStr">
        <is>
          <t>USD-PKR</t>
        </is>
      </c>
      <c r="M134" s="8" t="inlineStr">
        <is>
          <t>USD</t>
        </is>
      </c>
      <c r="N134" s="10" t="n">
        <v>206.8508026798102</v>
      </c>
      <c r="O134" s="11" t="n">
        <v>0.8</v>
      </c>
      <c r="P134" s="10" t="n">
        <v>165.4806421438482</v>
      </c>
      <c r="Q134" s="10" t="n">
        <v>1.6</v>
      </c>
      <c r="R134" s="12" t="n">
        <v>0.019</v>
      </c>
      <c r="S134" s="13" t="inlineStr">
        <is>
          <t>Success</t>
        </is>
      </c>
      <c r="T134" s="10" t="n">
        <v>0.2482209632157723</v>
      </c>
      <c r="U134" s="10" t="n">
        <v>0</v>
      </c>
      <c r="V134" s="10" t="n">
        <v>1.985767705726178</v>
      </c>
    </row>
    <row r="135">
      <c r="I135" s="8" t="inlineStr">
        <is>
          <t>ACE-10129</t>
        </is>
      </c>
      <c r="J135" s="8" t="inlineStr">
        <is>
          <t>2026-05-11 20:39:08</t>
        </is>
      </c>
      <c r="K135" s="8" t="inlineStr">
        <is>
          <t>CUST-89141</t>
        </is>
      </c>
      <c r="L135" s="9" t="inlineStr">
        <is>
          <t>EUR-PKR</t>
        </is>
      </c>
      <c r="M135" s="8" t="inlineStr">
        <is>
          <t>EUR</t>
        </is>
      </c>
      <c r="N135" s="10" t="n">
        <v>190.9457218127423</v>
      </c>
      <c r="O135" s="11" t="n">
        <v>0.85</v>
      </c>
      <c r="P135" s="10" t="n">
        <v>162.3038635408309</v>
      </c>
      <c r="Q135" s="10" t="n">
        <v>1.275</v>
      </c>
      <c r="R135" s="12" t="n">
        <v>0.023</v>
      </c>
      <c r="S135" s="13" t="inlineStr">
        <is>
          <t>Success</t>
        </is>
      </c>
      <c r="T135" s="10" t="n">
        <v>0.2434557953112464</v>
      </c>
      <c r="U135" s="10" t="n">
        <v>0</v>
      </c>
      <c r="V135" s="10" t="n">
        <v>2.434557953112464</v>
      </c>
    </row>
    <row r="136">
      <c r="I136" s="8" t="inlineStr">
        <is>
          <t>ACE-10130</t>
        </is>
      </c>
      <c r="J136" s="8" t="inlineStr">
        <is>
          <t>2026-05-23 20:39:51</t>
        </is>
      </c>
      <c r="K136" s="8" t="inlineStr">
        <is>
          <t>CUST-60848</t>
        </is>
      </c>
      <c r="L136" s="9" t="inlineStr">
        <is>
          <t>GBP-PKR</t>
        </is>
      </c>
      <c r="M136" s="8" t="inlineStr">
        <is>
          <t>GBP</t>
        </is>
      </c>
      <c r="N136" s="10" t="n">
        <v>264.9237470922938</v>
      </c>
      <c r="O136" s="11" t="n">
        <v>1</v>
      </c>
      <c r="P136" s="10" t="n">
        <v>264.9237470922938</v>
      </c>
      <c r="Q136" s="10" t="n">
        <v>1.5</v>
      </c>
      <c r="R136" s="12" t="n">
        <v>0.021</v>
      </c>
      <c r="S136" s="13" t="inlineStr">
        <is>
          <t>Success</t>
        </is>
      </c>
      <c r="T136" s="10" t="n">
        <v>0.3973856206384406</v>
      </c>
      <c r="U136" s="10" t="n">
        <v>0</v>
      </c>
      <c r="V136" s="10" t="n">
        <v>3.179084965107525</v>
      </c>
    </row>
    <row r="137">
      <c r="I137" s="8" t="inlineStr">
        <is>
          <t>ACE-10131</t>
        </is>
      </c>
      <c r="J137" s="8" t="inlineStr">
        <is>
          <t>2026-05-12 18:46:15</t>
        </is>
      </c>
      <c r="K137" s="8" t="inlineStr">
        <is>
          <t>CUST-79111</t>
        </is>
      </c>
      <c r="L137" s="9" t="inlineStr">
        <is>
          <t>USD-PKR</t>
        </is>
      </c>
      <c r="M137" s="8" t="inlineStr">
        <is>
          <t>USD</t>
        </is>
      </c>
      <c r="N137" s="10" t="n">
        <v>187.459196534554</v>
      </c>
      <c r="O137" s="11" t="n">
        <v>0.8</v>
      </c>
      <c r="P137" s="10" t="n">
        <v>149.9673572276432</v>
      </c>
      <c r="Q137" s="10" t="n">
        <v>1.6</v>
      </c>
      <c r="R137" s="12" t="n">
        <v>0.019</v>
      </c>
      <c r="S137" s="13" t="inlineStr">
        <is>
          <t>Success</t>
        </is>
      </c>
      <c r="T137" s="10" t="n">
        <v>0.2249510358414648</v>
      </c>
      <c r="U137" s="10" t="n">
        <v>0.4499020716829296</v>
      </c>
      <c r="V137" s="10" t="n">
        <v>1.799608286731718</v>
      </c>
    </row>
    <row r="138">
      <c r="I138" s="8" t="inlineStr">
        <is>
          <t>ACE-10132</t>
        </is>
      </c>
      <c r="J138" s="8" t="inlineStr">
        <is>
          <t>2026-05-15 11:34:15</t>
        </is>
      </c>
      <c r="K138" s="8" t="inlineStr">
        <is>
          <t>CUST-70281</t>
        </is>
      </c>
      <c r="L138" s="9" t="inlineStr">
        <is>
          <t>USD-PKR</t>
        </is>
      </c>
      <c r="M138" s="8" t="inlineStr">
        <is>
          <t>USD</t>
        </is>
      </c>
      <c r="N138" s="10" t="n">
        <v>220.4087647228171</v>
      </c>
      <c r="O138" s="11" t="n">
        <v>0.8</v>
      </c>
      <c r="P138" s="10" t="n">
        <v>176.3270117782537</v>
      </c>
      <c r="Q138" s="10" t="n">
        <v>1.6</v>
      </c>
      <c r="R138" s="12" t="n">
        <v>0.019</v>
      </c>
      <c r="S138" s="13" t="inlineStr">
        <is>
          <t>Success</t>
        </is>
      </c>
      <c r="T138" s="10" t="n">
        <v>0.2644905176673806</v>
      </c>
      <c r="U138" s="10" t="n">
        <v>0.5289810353347612</v>
      </c>
      <c r="V138" s="10" t="n">
        <v>2.115924141339045</v>
      </c>
    </row>
    <row r="139">
      <c r="I139" s="8" t="inlineStr">
        <is>
          <t>ACE-10133</t>
        </is>
      </c>
      <c r="J139" s="8" t="inlineStr">
        <is>
          <t>2026-05-07 13:43:36</t>
        </is>
      </c>
      <c r="K139" s="8" t="inlineStr">
        <is>
          <t>CUST-78874</t>
        </is>
      </c>
      <c r="L139" s="9" t="inlineStr">
        <is>
          <t>USD-PKR</t>
        </is>
      </c>
      <c r="M139" s="8" t="inlineStr">
        <is>
          <t>USD</t>
        </is>
      </c>
      <c r="N139" s="10" t="n">
        <v>196.8411729695065</v>
      </c>
      <c r="O139" s="11" t="n">
        <v>0.8</v>
      </c>
      <c r="P139" s="10" t="n">
        <v>157.4729383756053</v>
      </c>
      <c r="Q139" s="10" t="n">
        <v>1.6</v>
      </c>
      <c r="R139" s="12" t="n">
        <v>0.019</v>
      </c>
      <c r="S139" s="13" t="inlineStr">
        <is>
          <t>Success</t>
        </is>
      </c>
      <c r="T139" s="10" t="n">
        <v>0.2362094075634079</v>
      </c>
      <c r="U139" s="10" t="n">
        <v>0</v>
      </c>
      <c r="V139" s="10" t="n">
        <v>1.889675260507263</v>
      </c>
    </row>
    <row r="140">
      <c r="I140" s="8" t="inlineStr">
        <is>
          <t>ACE-10134</t>
        </is>
      </c>
      <c r="J140" s="8" t="inlineStr">
        <is>
          <t>2026-05-13 16:33:26</t>
        </is>
      </c>
      <c r="K140" s="8" t="inlineStr">
        <is>
          <t>CUST-60620</t>
        </is>
      </c>
      <c r="L140" s="9" t="inlineStr">
        <is>
          <t>GBP-PKR</t>
        </is>
      </c>
      <c r="M140" s="8" t="inlineStr">
        <is>
          <t>GBP</t>
        </is>
      </c>
      <c r="N140" s="10" t="n">
        <v>292.1153756253515</v>
      </c>
      <c r="O140" s="11" t="n">
        <v>1</v>
      </c>
      <c r="P140" s="10" t="n">
        <v>292.1153756253515</v>
      </c>
      <c r="Q140" s="10" t="n">
        <v>1.5</v>
      </c>
      <c r="R140" s="12" t="n">
        <v>0.021</v>
      </c>
      <c r="S140" s="13" t="inlineStr">
        <is>
          <t>Success</t>
        </is>
      </c>
      <c r="T140" s="10" t="n">
        <v>0.4381730634380273</v>
      </c>
      <c r="U140" s="10" t="n">
        <v>0.8763461268760546</v>
      </c>
      <c r="V140" s="10" t="n">
        <v>3.505384507504218</v>
      </c>
    </row>
    <row r="141">
      <c r="I141" s="8" t="inlineStr">
        <is>
          <t>ACE-10135</t>
        </is>
      </c>
      <c r="J141" s="8" t="inlineStr">
        <is>
          <t>2026-05-05 12:03:41</t>
        </is>
      </c>
      <c r="K141" s="8" t="inlineStr">
        <is>
          <t>CUST-81495</t>
        </is>
      </c>
      <c r="L141" s="9" t="inlineStr">
        <is>
          <t>GBP-PKR</t>
        </is>
      </c>
      <c r="M141" s="8" t="inlineStr">
        <is>
          <t>GBP</t>
        </is>
      </c>
      <c r="N141" s="10" t="n">
        <v>254.1303132495477</v>
      </c>
      <c r="O141" s="11" t="n">
        <v>1</v>
      </c>
      <c r="P141" s="10" t="n">
        <v>254.1303132495477</v>
      </c>
      <c r="Q141" s="10" t="n">
        <v>1.5</v>
      </c>
      <c r="R141" s="12" t="n">
        <v>0.021</v>
      </c>
      <c r="S141" s="13" t="inlineStr">
        <is>
          <t>Success</t>
        </is>
      </c>
      <c r="T141" s="10" t="n">
        <v>0.3811954698743215</v>
      </c>
      <c r="U141" s="10" t="n">
        <v>0</v>
      </c>
      <c r="V141" s="10" t="n">
        <v>3.049563758994572</v>
      </c>
    </row>
    <row r="142">
      <c r="I142" s="8" t="inlineStr">
        <is>
          <t>ACE-10136</t>
        </is>
      </c>
      <c r="J142" s="8" t="inlineStr">
        <is>
          <t>2026-05-04 19:54:33</t>
        </is>
      </c>
      <c r="K142" s="8" t="inlineStr">
        <is>
          <t>CUST-58170</t>
        </is>
      </c>
      <c r="L142" s="9" t="inlineStr">
        <is>
          <t>USD-PKR</t>
        </is>
      </c>
      <c r="M142" s="8" t="inlineStr">
        <is>
          <t>USD</t>
        </is>
      </c>
      <c r="N142" s="10" t="n">
        <v>255.6018567747924</v>
      </c>
      <c r="O142" s="11" t="n">
        <v>0.8</v>
      </c>
      <c r="P142" s="10" t="n">
        <v>204.4814854198339</v>
      </c>
      <c r="Q142" s="10" t="n">
        <v>1.6</v>
      </c>
      <c r="R142" s="12" t="n">
        <v>0.019</v>
      </c>
      <c r="S142" s="13" t="inlineStr">
        <is>
          <t>Success</t>
        </is>
      </c>
      <c r="T142" s="10" t="n">
        <v>0.3067222281297509</v>
      </c>
      <c r="U142" s="10" t="n">
        <v>0.6134444562595018</v>
      </c>
      <c r="V142" s="10" t="n">
        <v>2.453777825038007</v>
      </c>
    </row>
    <row r="143">
      <c r="I143" s="8" t="inlineStr">
        <is>
          <t>ACE-10137</t>
        </is>
      </c>
      <c r="J143" s="8" t="inlineStr">
        <is>
          <t>2026-05-09 15:57:32</t>
        </is>
      </c>
      <c r="K143" s="8" t="inlineStr">
        <is>
          <t>CUST-59656</t>
        </is>
      </c>
      <c r="L143" s="9" t="inlineStr">
        <is>
          <t>GBP-PKR</t>
        </is>
      </c>
      <c r="M143" s="8" t="inlineStr">
        <is>
          <t>GBP</t>
        </is>
      </c>
      <c r="N143" s="10" t="n">
        <v>257.6144980600874</v>
      </c>
      <c r="O143" s="11" t="n">
        <v>1</v>
      </c>
      <c r="P143" s="10" t="n">
        <v>257.6144980600874</v>
      </c>
      <c r="Q143" s="10" t="n">
        <v>1.5</v>
      </c>
      <c r="R143" s="12" t="n">
        <v>0.021</v>
      </c>
      <c r="S143" s="13" t="inlineStr">
        <is>
          <t>Success</t>
        </is>
      </c>
      <c r="T143" s="10" t="n">
        <v>0.3864217470901312</v>
      </c>
      <c r="U143" s="10" t="n">
        <v>0</v>
      </c>
      <c r="V143" s="10" t="n">
        <v>3.091373976721049</v>
      </c>
    </row>
    <row r="144">
      <c r="I144" s="8" t="inlineStr">
        <is>
          <t>ACE-10138</t>
        </is>
      </c>
      <c r="J144" s="8" t="inlineStr">
        <is>
          <t>2026-05-08 15:56:22</t>
        </is>
      </c>
      <c r="K144" s="8" t="inlineStr">
        <is>
          <t>CUST-51747</t>
        </is>
      </c>
      <c r="L144" s="9" t="inlineStr">
        <is>
          <t>GBP-PKR</t>
        </is>
      </c>
      <c r="M144" s="8" t="inlineStr">
        <is>
          <t>GBP</t>
        </is>
      </c>
      <c r="N144" s="10" t="n">
        <v>269.7736978798491</v>
      </c>
      <c r="O144" s="11" t="n">
        <v>1</v>
      </c>
      <c r="P144" s="10" t="n">
        <v>269.7736978798491</v>
      </c>
      <c r="Q144" s="10" t="n">
        <v>1.5</v>
      </c>
      <c r="R144" s="12" t="n">
        <v>0.021</v>
      </c>
      <c r="S144" s="13" t="inlineStr">
        <is>
          <t>Success</t>
        </is>
      </c>
      <c r="T144" s="10" t="n">
        <v>0.4046605468197737</v>
      </c>
      <c r="U144" s="10" t="n">
        <v>0</v>
      </c>
      <c r="V144" s="10" t="n">
        <v>3.23728437455819</v>
      </c>
    </row>
    <row r="145">
      <c r="I145" s="8" t="inlineStr">
        <is>
          <t>ACE-10139</t>
        </is>
      </c>
      <c r="J145" s="8" t="inlineStr">
        <is>
          <t>2026-05-12 11:24:05</t>
        </is>
      </c>
      <c r="K145" s="8" t="inlineStr">
        <is>
          <t>CUST-74570</t>
        </is>
      </c>
      <c r="L145" s="9" t="inlineStr">
        <is>
          <t>GBP-PKR</t>
        </is>
      </c>
      <c r="M145" s="8" t="inlineStr">
        <is>
          <t>GBP</t>
        </is>
      </c>
      <c r="N145" s="10" t="n">
        <v>302.2157979383373</v>
      </c>
      <c r="O145" s="11" t="n">
        <v>1</v>
      </c>
      <c r="P145" s="10" t="n">
        <v>302.2157979383373</v>
      </c>
      <c r="Q145" s="10" t="n">
        <v>1.5</v>
      </c>
      <c r="R145" s="12" t="n">
        <v>0.021</v>
      </c>
      <c r="S145" s="13" t="inlineStr">
        <is>
          <t>Success</t>
        </is>
      </c>
      <c r="T145" s="10" t="n">
        <v>0.453323696907506</v>
      </c>
      <c r="U145" s="10" t="n">
        <v>0</v>
      </c>
      <c r="V145" s="10" t="n">
        <v>3.626589575260048</v>
      </c>
    </row>
    <row r="146">
      <c r="I146" s="8" t="inlineStr">
        <is>
          <t>ACE-10140</t>
        </is>
      </c>
      <c r="J146" s="8" t="inlineStr">
        <is>
          <t>2026-05-04 19:41:21</t>
        </is>
      </c>
      <c r="K146" s="8" t="inlineStr">
        <is>
          <t>CUST-59571</t>
        </is>
      </c>
      <c r="L146" s="9" t="inlineStr">
        <is>
          <t>USD-PKR</t>
        </is>
      </c>
      <c r="M146" s="8" t="inlineStr">
        <is>
          <t>USD</t>
        </is>
      </c>
      <c r="N146" s="10" t="n">
        <v>193.5510137566465</v>
      </c>
      <c r="O146" s="11" t="n">
        <v>0.8</v>
      </c>
      <c r="P146" s="10" t="n">
        <v>154.8408110053172</v>
      </c>
      <c r="Q146" s="10" t="n">
        <v>1.6</v>
      </c>
      <c r="R146" s="12" t="n">
        <v>0.019</v>
      </c>
      <c r="S146" s="13" t="inlineStr">
        <is>
          <t>Success</t>
        </is>
      </c>
      <c r="T146" s="10" t="n">
        <v>0.2322612165079758</v>
      </c>
      <c r="U146" s="10" t="n">
        <v>0</v>
      </c>
      <c r="V146" s="10" t="n">
        <v>1.858089732063807</v>
      </c>
    </row>
    <row r="147">
      <c r="I147" s="8" t="inlineStr">
        <is>
          <t>ACE-10141</t>
        </is>
      </c>
      <c r="J147" s="8" t="inlineStr">
        <is>
          <t>2026-05-16 19:53:08</t>
        </is>
      </c>
      <c r="K147" s="8" t="inlineStr">
        <is>
          <t>CUST-99731</t>
        </is>
      </c>
      <c r="L147" s="9" t="inlineStr">
        <is>
          <t>EUR-PKR</t>
        </is>
      </c>
      <c r="M147" s="8" t="inlineStr">
        <is>
          <t>EUR</t>
        </is>
      </c>
      <c r="N147" s="10" t="n">
        <v>193.4018339438651</v>
      </c>
      <c r="O147" s="11" t="n">
        <v>0.85</v>
      </c>
      <c r="P147" s="10" t="n">
        <v>164.3915588522853</v>
      </c>
      <c r="Q147" s="10" t="n">
        <v>1.275</v>
      </c>
      <c r="R147" s="12" t="n">
        <v>0.023</v>
      </c>
      <c r="S147" s="13" t="inlineStr">
        <is>
          <t>Success</t>
        </is>
      </c>
      <c r="T147" s="10" t="n">
        <v>0.246587338278428</v>
      </c>
      <c r="U147" s="10" t="n">
        <v>0</v>
      </c>
      <c r="V147" s="10" t="n">
        <v>2.46587338278428</v>
      </c>
    </row>
    <row r="148">
      <c r="I148" s="8" t="inlineStr">
        <is>
          <t>ACE-10142</t>
        </is>
      </c>
      <c r="J148" s="8" t="inlineStr">
        <is>
          <t>2026-05-01 09:01:16</t>
        </is>
      </c>
      <c r="K148" s="8" t="inlineStr">
        <is>
          <t>CUST-64133</t>
        </is>
      </c>
      <c r="L148" s="9" t="inlineStr">
        <is>
          <t>EUR-PKR</t>
        </is>
      </c>
      <c r="M148" s="8" t="inlineStr">
        <is>
          <t>EUR</t>
        </is>
      </c>
      <c r="N148" s="10" t="n">
        <v>215.4520432355553</v>
      </c>
      <c r="O148" s="11" t="n">
        <v>0.85</v>
      </c>
      <c r="P148" s="10" t="n">
        <v>183.134236750222</v>
      </c>
      <c r="Q148" s="10" t="n">
        <v>1.275</v>
      </c>
      <c r="R148" s="12" t="n">
        <v>0.023</v>
      </c>
      <c r="S148" s="13" t="inlineStr">
        <is>
          <t>Success</t>
        </is>
      </c>
      <c r="T148" s="10" t="n">
        <v>0.274701355125333</v>
      </c>
      <c r="U148" s="10" t="n">
        <v>0</v>
      </c>
      <c r="V148" s="10" t="n">
        <v>2.74701355125333</v>
      </c>
    </row>
    <row r="149">
      <c r="I149" s="8" t="inlineStr">
        <is>
          <t>ACE-10143</t>
        </is>
      </c>
      <c r="J149" s="8" t="inlineStr">
        <is>
          <t>2026-05-24 17:33:27</t>
        </is>
      </c>
      <c r="K149" s="8" t="inlineStr">
        <is>
          <t>CUST-57286</t>
        </is>
      </c>
      <c r="L149" s="9" t="inlineStr">
        <is>
          <t>EUR-PKR</t>
        </is>
      </c>
      <c r="M149" s="8" t="inlineStr">
        <is>
          <t>EUR</t>
        </is>
      </c>
      <c r="N149" s="10" t="n">
        <v>160.9792941104897</v>
      </c>
      <c r="O149" s="11" t="n">
        <v>0.85</v>
      </c>
      <c r="P149" s="10" t="n">
        <v>136.8323999939163</v>
      </c>
      <c r="Q149" s="10" t="n">
        <v>1.275</v>
      </c>
      <c r="R149" s="12" t="n">
        <v>0.023</v>
      </c>
      <c r="S149" s="13" t="inlineStr">
        <is>
          <t>Success</t>
        </is>
      </c>
      <c r="T149" s="10" t="n">
        <v>0.2052485999908744</v>
      </c>
      <c r="U149" s="10" t="n">
        <v>0</v>
      </c>
      <c r="V149" s="10" t="n">
        <v>2.052485999908744</v>
      </c>
    </row>
    <row r="150">
      <c r="I150" s="8" t="inlineStr">
        <is>
          <t>ACE-10144</t>
        </is>
      </c>
      <c r="J150" s="8" t="inlineStr">
        <is>
          <t>2026-05-04 08:15:26</t>
        </is>
      </c>
      <c r="K150" s="8" t="inlineStr">
        <is>
          <t>CUST-91874</t>
        </is>
      </c>
      <c r="L150" s="9" t="inlineStr">
        <is>
          <t>GBP-PKR</t>
        </is>
      </c>
      <c r="M150" s="8" t="inlineStr">
        <is>
          <t>GBP</t>
        </is>
      </c>
      <c r="N150" s="10" t="n">
        <v>283.7952390952913</v>
      </c>
      <c r="O150" s="11" t="n">
        <v>1</v>
      </c>
      <c r="P150" s="10" t="n">
        <v>283.7952390952913</v>
      </c>
      <c r="Q150" s="10" t="n">
        <v>1.5</v>
      </c>
      <c r="R150" s="12" t="n">
        <v>0.021</v>
      </c>
      <c r="S150" s="13" t="inlineStr">
        <is>
          <t>Success</t>
        </is>
      </c>
      <c r="T150" s="10" t="n">
        <v>0.425692858642937</v>
      </c>
      <c r="U150" s="10" t="n">
        <v>0</v>
      </c>
      <c r="V150" s="10" t="n">
        <v>3.405542869143496</v>
      </c>
    </row>
    <row r="151">
      <c r="I151" s="8" t="inlineStr">
        <is>
          <t>ACE-10145</t>
        </is>
      </c>
      <c r="J151" s="8" t="inlineStr">
        <is>
          <t>2026-05-04 15:38:34</t>
        </is>
      </c>
      <c r="K151" s="8" t="inlineStr">
        <is>
          <t>CUST-51077</t>
        </is>
      </c>
      <c r="L151" s="9" t="inlineStr">
        <is>
          <t>USD-PKR</t>
        </is>
      </c>
      <c r="M151" s="8" t="inlineStr">
        <is>
          <t>USD</t>
        </is>
      </c>
      <c r="N151" s="10" t="n">
        <v>224.66621812753</v>
      </c>
      <c r="O151" s="11" t="n">
        <v>0.8</v>
      </c>
      <c r="P151" s="10" t="n">
        <v>179.732974502024</v>
      </c>
      <c r="Q151" s="10" t="n">
        <v>1.6</v>
      </c>
      <c r="R151" s="12" t="n">
        <v>0.019</v>
      </c>
      <c r="S151" s="13" t="inlineStr">
        <is>
          <t>Success</t>
        </is>
      </c>
      <c r="T151" s="10" t="n">
        <v>0.269599461753036</v>
      </c>
      <c r="U151" s="10" t="n">
        <v>0</v>
      </c>
      <c r="V151" s="10" t="n">
        <v>2.156795694024288</v>
      </c>
    </row>
    <row r="152">
      <c r="I152" s="8" t="inlineStr">
        <is>
          <t>ACE-10146</t>
        </is>
      </c>
      <c r="J152" s="8" t="inlineStr">
        <is>
          <t>2026-05-23 10:18:27</t>
        </is>
      </c>
      <c r="K152" s="8" t="inlineStr">
        <is>
          <t>CUST-50102</t>
        </is>
      </c>
      <c r="L152" s="9" t="inlineStr">
        <is>
          <t>GBP-PKR</t>
        </is>
      </c>
      <c r="M152" s="8" t="inlineStr">
        <is>
          <t>GBP</t>
        </is>
      </c>
      <c r="N152" s="10" t="n">
        <v>301.2594610681267</v>
      </c>
      <c r="O152" s="11" t="n">
        <v>1</v>
      </c>
      <c r="P152" s="10" t="n">
        <v>301.2594610681267</v>
      </c>
      <c r="Q152" s="10" t="n">
        <v>1.5</v>
      </c>
      <c r="R152" s="12" t="n">
        <v>0.021</v>
      </c>
      <c r="S152" s="13" t="inlineStr">
        <is>
          <t>Success</t>
        </is>
      </c>
      <c r="T152" s="10" t="n">
        <v>0.45188919160219</v>
      </c>
      <c r="U152" s="10" t="n">
        <v>0</v>
      </c>
      <c r="V152" s="10" t="n">
        <v>3.61511353281752</v>
      </c>
    </row>
    <row r="153">
      <c r="I153" s="8" t="inlineStr">
        <is>
          <t>ACE-10147</t>
        </is>
      </c>
      <c r="J153" s="8" t="inlineStr">
        <is>
          <t>2026-05-14 10:42:42</t>
        </is>
      </c>
      <c r="K153" s="8" t="inlineStr">
        <is>
          <t>CUST-55610</t>
        </is>
      </c>
      <c r="L153" s="9" t="inlineStr">
        <is>
          <t>GBP-PKR</t>
        </is>
      </c>
      <c r="M153" s="8" t="inlineStr">
        <is>
          <t>GBP</t>
        </is>
      </c>
      <c r="N153" s="10" t="n">
        <v>246.1877686769527</v>
      </c>
      <c r="O153" s="11" t="n">
        <v>1</v>
      </c>
      <c r="P153" s="10" t="n">
        <v>246.1877686769527</v>
      </c>
      <c r="Q153" s="10" t="n">
        <v>1.5</v>
      </c>
      <c r="R153" s="12" t="n">
        <v>0.021</v>
      </c>
      <c r="S153" s="13" t="inlineStr">
        <is>
          <t>Success</t>
        </is>
      </c>
      <c r="T153" s="10" t="n">
        <v>0.369281653015429</v>
      </c>
      <c r="U153" s="10" t="n">
        <v>0</v>
      </c>
      <c r="V153" s="10" t="n">
        <v>2.954253224123432</v>
      </c>
    </row>
    <row r="154">
      <c r="I154" s="8" t="inlineStr">
        <is>
          <t>ACE-10148</t>
        </is>
      </c>
      <c r="J154" s="8" t="inlineStr">
        <is>
          <t>2026-05-17 16:32:50</t>
        </is>
      </c>
      <c r="K154" s="8" t="inlineStr">
        <is>
          <t>CUST-83267</t>
        </is>
      </c>
      <c r="L154" s="9" t="inlineStr">
        <is>
          <t>GBP-PKR</t>
        </is>
      </c>
      <c r="M154" s="8" t="inlineStr">
        <is>
          <t>GBP</t>
        </is>
      </c>
      <c r="N154" s="10" t="n">
        <v>244.1405152871076</v>
      </c>
      <c r="O154" s="11" t="n">
        <v>1</v>
      </c>
      <c r="P154" s="10" t="n">
        <v>244.1405152871076</v>
      </c>
      <c r="Q154" s="10" t="n">
        <v>1.5</v>
      </c>
      <c r="R154" s="12" t="n">
        <v>0.021</v>
      </c>
      <c r="S154" s="13" t="inlineStr">
        <is>
          <t>Success</t>
        </is>
      </c>
      <c r="T154" s="10" t="n">
        <v>0.3662107729306613</v>
      </c>
      <c r="U154" s="10" t="n">
        <v>0</v>
      </c>
      <c r="V154" s="10" t="n">
        <v>2.929686183445291</v>
      </c>
    </row>
    <row r="155">
      <c r="I155" s="8" t="inlineStr">
        <is>
          <t>ACE-10149</t>
        </is>
      </c>
      <c r="J155" s="8" t="inlineStr">
        <is>
          <t>2026-05-16 08:40:24</t>
        </is>
      </c>
      <c r="K155" s="8" t="inlineStr">
        <is>
          <t>CUST-74464</t>
        </is>
      </c>
      <c r="L155" s="9" t="inlineStr">
        <is>
          <t>GBP-PKR</t>
        </is>
      </c>
      <c r="M155" s="8" t="inlineStr">
        <is>
          <t>GBP</t>
        </is>
      </c>
      <c r="N155" s="10" t="n">
        <v>293.5311480085196</v>
      </c>
      <c r="O155" s="11" t="n">
        <v>1</v>
      </c>
      <c r="P155" s="10" t="n">
        <v>293.5311480085196</v>
      </c>
      <c r="Q155" s="10" t="n">
        <v>1.5</v>
      </c>
      <c r="R155" s="12" t="n">
        <v>0.021</v>
      </c>
      <c r="S155" s="13" t="inlineStr">
        <is>
          <t>Success</t>
        </is>
      </c>
      <c r="T155" s="10" t="n">
        <v>0.4402967220127794</v>
      </c>
      <c r="U155" s="10" t="n">
        <v>0</v>
      </c>
      <c r="V155" s="10" t="n">
        <v>3.522373776102235</v>
      </c>
    </row>
    <row r="156">
      <c r="I156" s="8" t="inlineStr">
        <is>
          <t>ACE-10150</t>
        </is>
      </c>
      <c r="J156" s="8" t="inlineStr">
        <is>
          <t>2026-05-03 13:15:46</t>
        </is>
      </c>
      <c r="K156" s="8" t="inlineStr">
        <is>
          <t>CUST-93063</t>
        </is>
      </c>
      <c r="L156" s="9" t="inlineStr">
        <is>
          <t>GBP-PKR</t>
        </is>
      </c>
      <c r="M156" s="8" t="inlineStr">
        <is>
          <t>GBP</t>
        </is>
      </c>
      <c r="N156" s="10" t="n">
        <v>287.0016803132746</v>
      </c>
      <c r="O156" s="11" t="n">
        <v>1</v>
      </c>
      <c r="P156" s="10" t="n">
        <v>287.0016803132746</v>
      </c>
      <c r="Q156" s="10" t="n">
        <v>1.5</v>
      </c>
      <c r="R156" s="12" t="n">
        <v>0.021</v>
      </c>
      <c r="S156" s="13" t="inlineStr">
        <is>
          <t>Success</t>
        </is>
      </c>
      <c r="T156" s="10" t="n">
        <v>0.4305025204699119</v>
      </c>
      <c r="U156" s="10" t="n">
        <v>0.8610050409398239</v>
      </c>
      <c r="V156" s="10" t="n">
        <v>3.444020163759296</v>
      </c>
    </row>
    <row r="157">
      <c r="I157" s="8" t="inlineStr">
        <is>
          <t>ACE-10151</t>
        </is>
      </c>
      <c r="J157" s="8" t="inlineStr">
        <is>
          <t>2026-05-24 20:21:08</t>
        </is>
      </c>
      <c r="K157" s="8" t="inlineStr">
        <is>
          <t>CUST-52905</t>
        </is>
      </c>
      <c r="L157" s="9" t="inlineStr">
        <is>
          <t>USD-PKR</t>
        </is>
      </c>
      <c r="M157" s="8" t="inlineStr">
        <is>
          <t>USD</t>
        </is>
      </c>
      <c r="N157" s="10" t="n">
        <v>224.4553568233127</v>
      </c>
      <c r="O157" s="11" t="n">
        <v>0.8</v>
      </c>
      <c r="P157" s="10" t="n">
        <v>179.5642854586502</v>
      </c>
      <c r="Q157" s="10" t="n">
        <v>1.6</v>
      </c>
      <c r="R157" s="12" t="n">
        <v>0.019</v>
      </c>
      <c r="S157" s="13" t="inlineStr">
        <is>
          <t>Success</t>
        </is>
      </c>
      <c r="T157" s="10" t="n">
        <v>0.2693464281879753</v>
      </c>
      <c r="U157" s="10" t="n">
        <v>0</v>
      </c>
      <c r="V157" s="10" t="n">
        <v>2.154771425503802</v>
      </c>
    </row>
    <row r="158">
      <c r="I158" s="8" t="inlineStr">
        <is>
          <t>ACE-10152</t>
        </is>
      </c>
      <c r="J158" s="8" t="inlineStr">
        <is>
          <t>2026-05-21 10:53:49</t>
        </is>
      </c>
      <c r="K158" s="8" t="inlineStr">
        <is>
          <t>CUST-94871</t>
        </is>
      </c>
      <c r="L158" s="9" t="inlineStr">
        <is>
          <t>EUR-PKR</t>
        </is>
      </c>
      <c r="M158" s="8" t="inlineStr">
        <is>
          <t>EUR</t>
        </is>
      </c>
      <c r="N158" s="10" t="n">
        <v>195.7168345852199</v>
      </c>
      <c r="O158" s="11" t="n">
        <v>0.85</v>
      </c>
      <c r="P158" s="10" t="n">
        <v>166.3593093974369</v>
      </c>
      <c r="Q158" s="10" t="n">
        <v>1.275</v>
      </c>
      <c r="R158" s="12" t="n">
        <v>0.023</v>
      </c>
      <c r="S158" s="13" t="inlineStr">
        <is>
          <t>Success</t>
        </is>
      </c>
      <c r="T158" s="10" t="n">
        <v>0.2495389640961554</v>
      </c>
      <c r="U158" s="10" t="n">
        <v>0.4990779281923107</v>
      </c>
      <c r="V158" s="10" t="n">
        <v>2.495389640961553</v>
      </c>
    </row>
    <row r="159">
      <c r="I159" s="8" t="inlineStr">
        <is>
          <t>ACE-10153</t>
        </is>
      </c>
      <c r="J159" s="8" t="inlineStr">
        <is>
          <t>2026-05-21 10:51:08</t>
        </is>
      </c>
      <c r="K159" s="8" t="inlineStr">
        <is>
          <t>CUST-54135</t>
        </is>
      </c>
      <c r="L159" s="9" t="inlineStr">
        <is>
          <t>GBP-PKR</t>
        </is>
      </c>
      <c r="M159" s="8" t="inlineStr">
        <is>
          <t>GBP</t>
        </is>
      </c>
      <c r="N159" s="10" t="n">
        <v>260.2875889344206</v>
      </c>
      <c r="O159" s="11" t="n">
        <v>1</v>
      </c>
      <c r="P159" s="10" t="n">
        <v>260.2875889344206</v>
      </c>
      <c r="Q159" s="10" t="n">
        <v>1.5</v>
      </c>
      <c r="R159" s="12" t="n">
        <v>0.021</v>
      </c>
      <c r="S159" s="13" t="inlineStr">
        <is>
          <t>Success</t>
        </is>
      </c>
      <c r="T159" s="10" t="n">
        <v>0.390431383401631</v>
      </c>
      <c r="U159" s="10" t="n">
        <v>0.7808627668032619</v>
      </c>
      <c r="V159" s="10" t="n">
        <v>3.123451067213048</v>
      </c>
    </row>
    <row r="160">
      <c r="I160" s="8" t="inlineStr">
        <is>
          <t>ACE-10154</t>
        </is>
      </c>
      <c r="J160" s="8" t="inlineStr">
        <is>
          <t>2026-05-02 12:12:02</t>
        </is>
      </c>
      <c r="K160" s="8" t="inlineStr">
        <is>
          <t>CUST-63072</t>
        </is>
      </c>
      <c r="L160" s="9" t="inlineStr">
        <is>
          <t>GBP-PKR</t>
        </is>
      </c>
      <c r="M160" s="8" t="inlineStr">
        <is>
          <t>GBP</t>
        </is>
      </c>
      <c r="N160" s="10" t="n">
        <v>285.1498902979121</v>
      </c>
      <c r="O160" s="11" t="n">
        <v>1</v>
      </c>
      <c r="P160" s="10" t="n">
        <v>285.1498902979121</v>
      </c>
      <c r="Q160" s="10" t="n">
        <v>1.5</v>
      </c>
      <c r="R160" s="12" t="n">
        <v>0.021</v>
      </c>
      <c r="S160" s="13" t="inlineStr">
        <is>
          <t>Success</t>
        </is>
      </c>
      <c r="T160" s="10" t="n">
        <v>0.4277248354468681</v>
      </c>
      <c r="U160" s="10" t="n">
        <v>0</v>
      </c>
      <c r="V160" s="10" t="n">
        <v>3.421798683574945</v>
      </c>
    </row>
    <row r="161">
      <c r="I161" s="8" t="inlineStr">
        <is>
          <t>ACE-10155</t>
        </is>
      </c>
      <c r="J161" s="8" t="inlineStr">
        <is>
          <t>2026-05-10 16:25:52</t>
        </is>
      </c>
      <c r="K161" s="8" t="inlineStr">
        <is>
          <t>CUST-85588</t>
        </is>
      </c>
      <c r="L161" s="9" t="inlineStr">
        <is>
          <t>GBP-PKR</t>
        </is>
      </c>
      <c r="M161" s="8" t="inlineStr">
        <is>
          <t>GBP</t>
        </is>
      </c>
      <c r="N161" s="10" t="n">
        <v>286.8894214781643</v>
      </c>
      <c r="O161" s="11" t="n">
        <v>1</v>
      </c>
      <c r="P161" s="10" t="n">
        <v>286.8894214781643</v>
      </c>
      <c r="Q161" s="10" t="n">
        <v>1.5</v>
      </c>
      <c r="R161" s="12" t="n">
        <v>0.021</v>
      </c>
      <c r="S161" s="13" t="inlineStr">
        <is>
          <t>Success</t>
        </is>
      </c>
      <c r="T161" s="10" t="n">
        <v>0.4303341322172465</v>
      </c>
      <c r="U161" s="10" t="n">
        <v>0</v>
      </c>
      <c r="V161" s="10" t="n">
        <v>3.442673057737972</v>
      </c>
    </row>
    <row r="162">
      <c r="I162" s="8" t="inlineStr">
        <is>
          <t>ACE-10156</t>
        </is>
      </c>
      <c r="J162" s="8" t="inlineStr">
        <is>
          <t>2026-05-21 11:18:22</t>
        </is>
      </c>
      <c r="K162" s="8" t="inlineStr">
        <is>
          <t>CUST-53132</t>
        </is>
      </c>
      <c r="L162" s="9" t="inlineStr">
        <is>
          <t>GBP-PKR</t>
        </is>
      </c>
      <c r="M162" s="8" t="inlineStr">
        <is>
          <t>GBP</t>
        </is>
      </c>
      <c r="N162" s="10" t="n">
        <v>259.3956393888716</v>
      </c>
      <c r="O162" s="11" t="n">
        <v>1</v>
      </c>
      <c r="P162" s="10" t="n">
        <v>259.3956393888716</v>
      </c>
      <c r="Q162" s="10" t="n">
        <v>1.5</v>
      </c>
      <c r="R162" s="12" t="n">
        <v>0.021</v>
      </c>
      <c r="S162" s="13" t="inlineStr">
        <is>
          <t>Success</t>
        </is>
      </c>
      <c r="T162" s="10" t="n">
        <v>0.3890934590833074</v>
      </c>
      <c r="U162" s="10" t="n">
        <v>0</v>
      </c>
      <c r="V162" s="10" t="n">
        <v>3.11274767266646</v>
      </c>
    </row>
    <row r="163">
      <c r="I163" s="8" t="inlineStr">
        <is>
          <t>ACE-10157</t>
        </is>
      </c>
      <c r="J163" s="8" t="inlineStr">
        <is>
          <t>2026-05-04 20:23:27</t>
        </is>
      </c>
      <c r="K163" s="8" t="inlineStr">
        <is>
          <t>CUST-76215</t>
        </is>
      </c>
      <c r="L163" s="9" t="inlineStr">
        <is>
          <t>GBP-PKR</t>
        </is>
      </c>
      <c r="M163" s="8" t="inlineStr">
        <is>
          <t>GBP</t>
        </is>
      </c>
      <c r="N163" s="10" t="n">
        <v>335.7500734890949</v>
      </c>
      <c r="O163" s="11" t="n">
        <v>1</v>
      </c>
      <c r="P163" s="10" t="n">
        <v>335.7500734890949</v>
      </c>
      <c r="Q163" s="10" t="n">
        <v>1.5</v>
      </c>
      <c r="R163" s="12" t="n">
        <v>0.021</v>
      </c>
      <c r="S163" s="13" t="inlineStr">
        <is>
          <t>Success</t>
        </is>
      </c>
      <c r="T163" s="10" t="n">
        <v>0.5036251102336423</v>
      </c>
      <c r="U163" s="10" t="n">
        <v>1.007250220467285</v>
      </c>
      <c r="V163" s="10" t="n">
        <v>4.029000881869139</v>
      </c>
    </row>
    <row r="164">
      <c r="I164" s="8" t="inlineStr">
        <is>
          <t>ACE-10158</t>
        </is>
      </c>
      <c r="J164" s="8" t="inlineStr">
        <is>
          <t>2026-05-13 13:11:31</t>
        </is>
      </c>
      <c r="K164" s="8" t="inlineStr">
        <is>
          <t>CUST-95355</t>
        </is>
      </c>
      <c r="L164" s="9" t="inlineStr">
        <is>
          <t>GBP-PKR</t>
        </is>
      </c>
      <c r="M164" s="8" t="inlineStr">
        <is>
          <t>GBP</t>
        </is>
      </c>
      <c r="N164" s="10" t="n">
        <v>292.1224008005741</v>
      </c>
      <c r="O164" s="11" t="n">
        <v>1</v>
      </c>
      <c r="P164" s="10" t="n">
        <v>292.1224008005741</v>
      </c>
      <c r="Q164" s="10" t="n">
        <v>1.5</v>
      </c>
      <c r="R164" s="12" t="n">
        <v>0.021</v>
      </c>
      <c r="S164" s="13" t="inlineStr">
        <is>
          <t>Success</t>
        </is>
      </c>
      <c r="T164" s="10" t="n">
        <v>0.4381836012008611</v>
      </c>
      <c r="U164" s="10" t="n">
        <v>0.8763672024017223</v>
      </c>
      <c r="V164" s="10" t="n">
        <v>3.505468809606889</v>
      </c>
    </row>
    <row r="165">
      <c r="I165" s="8" t="inlineStr">
        <is>
          <t>ACE-10159</t>
        </is>
      </c>
      <c r="J165" s="8" t="inlineStr">
        <is>
          <t>2026-05-17 12:51:05</t>
        </is>
      </c>
      <c r="K165" s="8" t="inlineStr">
        <is>
          <t>CUST-97650</t>
        </is>
      </c>
      <c r="L165" s="9" t="inlineStr">
        <is>
          <t>GBP-PKR</t>
        </is>
      </c>
      <c r="M165" s="8" t="inlineStr">
        <is>
          <t>GBP</t>
        </is>
      </c>
      <c r="N165" s="10" t="n">
        <v>247.314116020175</v>
      </c>
      <c r="O165" s="11" t="n">
        <v>1</v>
      </c>
      <c r="P165" s="10" t="n">
        <v>247.314116020175</v>
      </c>
      <c r="Q165" s="10" t="n">
        <v>1.5</v>
      </c>
      <c r="R165" s="12" t="n">
        <v>0.021</v>
      </c>
      <c r="S165" s="13" t="inlineStr">
        <is>
          <t>Success</t>
        </is>
      </c>
      <c r="T165" s="10" t="n">
        <v>0.3709711740302625</v>
      </c>
      <c r="U165" s="10" t="n">
        <v>0</v>
      </c>
      <c r="V165" s="10" t="n">
        <v>2.9677693922421</v>
      </c>
    </row>
    <row r="166">
      <c r="I166" s="8" t="inlineStr">
        <is>
          <t>ACE-10160</t>
        </is>
      </c>
      <c r="J166" s="8" t="inlineStr">
        <is>
          <t>2026-05-06 16:18:20</t>
        </is>
      </c>
      <c r="K166" s="8" t="inlineStr">
        <is>
          <t>CUST-56723</t>
        </is>
      </c>
      <c r="L166" s="9" t="inlineStr">
        <is>
          <t>USD-PKR</t>
        </is>
      </c>
      <c r="M166" s="8" t="inlineStr">
        <is>
          <t>USD</t>
        </is>
      </c>
      <c r="N166" s="10" t="n">
        <v>233.7571853626593</v>
      </c>
      <c r="O166" s="11" t="n">
        <v>0.8</v>
      </c>
      <c r="P166" s="10" t="n">
        <v>187.0057482901275</v>
      </c>
      <c r="Q166" s="10" t="n">
        <v>1.6</v>
      </c>
      <c r="R166" s="12" t="n">
        <v>0.019</v>
      </c>
      <c r="S166" s="13" t="inlineStr">
        <is>
          <t>Success</t>
        </is>
      </c>
      <c r="T166" s="10" t="n">
        <v>0.2805086224351913</v>
      </c>
      <c r="U166" s="10" t="n">
        <v>0.5610172448703825</v>
      </c>
      <c r="V166" s="10" t="n">
        <v>2.24406897948153</v>
      </c>
    </row>
    <row r="167">
      <c r="I167" s="8" t="inlineStr">
        <is>
          <t>ACE-10161</t>
        </is>
      </c>
      <c r="J167" s="8" t="inlineStr">
        <is>
          <t>2026-05-10 15:38:45</t>
        </is>
      </c>
      <c r="K167" s="8" t="inlineStr">
        <is>
          <t>CUST-77925</t>
        </is>
      </c>
      <c r="L167" s="9" t="inlineStr">
        <is>
          <t>GBP-PKR</t>
        </is>
      </c>
      <c r="M167" s="8" t="inlineStr">
        <is>
          <t>GBP</t>
        </is>
      </c>
      <c r="N167" s="10" t="n">
        <v>252.7299269487895</v>
      </c>
      <c r="O167" s="11" t="n">
        <v>1</v>
      </c>
      <c r="P167" s="10" t="n">
        <v>252.7299269487895</v>
      </c>
      <c r="Q167" s="10" t="n">
        <v>1.5</v>
      </c>
      <c r="R167" s="12" t="n">
        <v>0.021</v>
      </c>
      <c r="S167" s="13" t="inlineStr">
        <is>
          <t>Success</t>
        </is>
      </c>
      <c r="T167" s="10" t="n">
        <v>0.3790948904231843</v>
      </c>
      <c r="U167" s="10" t="n">
        <v>0</v>
      </c>
      <c r="V167" s="10" t="n">
        <v>3.032759123385475</v>
      </c>
    </row>
    <row r="168">
      <c r="I168" s="8" t="inlineStr">
        <is>
          <t>ACE-10162</t>
        </is>
      </c>
      <c r="J168" s="8" t="inlineStr">
        <is>
          <t>2026-05-15 08:46:55</t>
        </is>
      </c>
      <c r="K168" s="8" t="inlineStr">
        <is>
          <t>CUST-73105</t>
        </is>
      </c>
      <c r="L168" s="9" t="inlineStr">
        <is>
          <t>GBP-PKR</t>
        </is>
      </c>
      <c r="M168" s="8" t="inlineStr">
        <is>
          <t>GBP</t>
        </is>
      </c>
      <c r="N168" s="10" t="n">
        <v>301.4180174321332</v>
      </c>
      <c r="O168" s="11" t="n">
        <v>1</v>
      </c>
      <c r="P168" s="10" t="n">
        <v>301.4180174321332</v>
      </c>
      <c r="Q168" s="10" t="n">
        <v>1.5</v>
      </c>
      <c r="R168" s="12" t="n">
        <v>0.021</v>
      </c>
      <c r="S168" s="13" t="inlineStr">
        <is>
          <t>Success</t>
        </is>
      </c>
      <c r="T168" s="10" t="n">
        <v>0.4521270261481998</v>
      </c>
      <c r="U168" s="10" t="n">
        <v>0</v>
      </c>
      <c r="V168" s="10" t="n">
        <v>3.617016209185598</v>
      </c>
    </row>
    <row r="169">
      <c r="I169" s="8" t="inlineStr">
        <is>
          <t>ACE-10163</t>
        </is>
      </c>
      <c r="J169" s="8" t="inlineStr">
        <is>
          <t>2026-05-21 20:03:04</t>
        </is>
      </c>
      <c r="K169" s="8" t="inlineStr">
        <is>
          <t>CUST-93986</t>
        </is>
      </c>
      <c r="L169" s="9" t="inlineStr">
        <is>
          <t>GBP-PKR</t>
        </is>
      </c>
      <c r="M169" s="8" t="inlineStr">
        <is>
          <t>GBP</t>
        </is>
      </c>
      <c r="N169" s="10" t="n">
        <v>312.826636804433</v>
      </c>
      <c r="O169" s="11" t="n">
        <v>1</v>
      </c>
      <c r="P169" s="10" t="n">
        <v>312.826636804433</v>
      </c>
      <c r="Q169" s="10" t="n">
        <v>1.5</v>
      </c>
      <c r="R169" s="12" t="n">
        <v>0.021</v>
      </c>
      <c r="S169" s="13" t="inlineStr">
        <is>
          <t>Success</t>
        </is>
      </c>
      <c r="T169" s="10" t="n">
        <v>0.4692399552066495</v>
      </c>
      <c r="U169" s="10" t="n">
        <v>0</v>
      </c>
      <c r="V169" s="10" t="n">
        <v>3.753919641653196</v>
      </c>
    </row>
    <row r="170">
      <c r="I170" s="8" t="inlineStr">
        <is>
          <t>ACE-10164</t>
        </is>
      </c>
      <c r="J170" s="8" t="inlineStr">
        <is>
          <t>2026-05-24 18:10:01</t>
        </is>
      </c>
      <c r="K170" s="8" t="inlineStr">
        <is>
          <t>CUST-59357</t>
        </is>
      </c>
      <c r="L170" s="9" t="inlineStr">
        <is>
          <t>GBP-PKR</t>
        </is>
      </c>
      <c r="M170" s="8" t="inlineStr">
        <is>
          <t>GBP</t>
        </is>
      </c>
      <c r="N170" s="10" t="n">
        <v>256.6520743378039</v>
      </c>
      <c r="O170" s="11" t="n">
        <v>1</v>
      </c>
      <c r="P170" s="10" t="n">
        <v>256.6520743378039</v>
      </c>
      <c r="Q170" s="10" t="n">
        <v>1.5</v>
      </c>
      <c r="R170" s="12" t="n">
        <v>0.021</v>
      </c>
      <c r="S170" s="13" t="inlineStr">
        <is>
          <t>Success</t>
        </is>
      </c>
      <c r="T170" s="10" t="n">
        <v>0.3849781115067059</v>
      </c>
      <c r="U170" s="10" t="n">
        <v>0.7699562230134118</v>
      </c>
      <c r="V170" s="10" t="n">
        <v>3.079824892053647</v>
      </c>
    </row>
    <row r="171">
      <c r="I171" s="8" t="inlineStr">
        <is>
          <t>ACE-10165</t>
        </is>
      </c>
      <c r="J171" s="8" t="inlineStr">
        <is>
          <t>2026-05-15 08:08:04</t>
        </is>
      </c>
      <c r="K171" s="8" t="inlineStr">
        <is>
          <t>CUST-65466</t>
        </is>
      </c>
      <c r="L171" s="9" t="inlineStr">
        <is>
          <t>EUR-PKR</t>
        </is>
      </c>
      <c r="M171" s="8" t="inlineStr">
        <is>
          <t>EUR</t>
        </is>
      </c>
      <c r="N171" s="10" t="n">
        <v>208.1713804850463</v>
      </c>
      <c r="O171" s="11" t="n">
        <v>0.85</v>
      </c>
      <c r="P171" s="10" t="n">
        <v>176.9456734122894</v>
      </c>
      <c r="Q171" s="10" t="n">
        <v>1.275</v>
      </c>
      <c r="R171" s="12" t="n">
        <v>0.023</v>
      </c>
      <c r="S171" s="13" t="inlineStr">
        <is>
          <t>Success</t>
        </is>
      </c>
      <c r="T171" s="10" t="n">
        <v>0.265418510118434</v>
      </c>
      <c r="U171" s="10" t="n">
        <v>0</v>
      </c>
      <c r="V171" s="10" t="n">
        <v>2.65418510118434</v>
      </c>
    </row>
    <row r="172">
      <c r="I172" s="8" t="inlineStr">
        <is>
          <t>ACE-10166</t>
        </is>
      </c>
      <c r="J172" s="8" t="inlineStr">
        <is>
          <t>2026-05-13 17:02:38</t>
        </is>
      </c>
      <c r="K172" s="8" t="inlineStr">
        <is>
          <t>CUST-60055</t>
        </is>
      </c>
      <c r="L172" s="9" t="inlineStr">
        <is>
          <t>GBP-PKR</t>
        </is>
      </c>
      <c r="M172" s="8" t="inlineStr">
        <is>
          <t>GBP</t>
        </is>
      </c>
      <c r="N172" s="10" t="n">
        <v>290.3443684390344</v>
      </c>
      <c r="O172" s="11" t="n">
        <v>1</v>
      </c>
      <c r="P172" s="10" t="n">
        <v>290.3443684390344</v>
      </c>
      <c r="Q172" s="10" t="n">
        <v>1.5</v>
      </c>
      <c r="R172" s="12" t="n">
        <v>0.021</v>
      </c>
      <c r="S172" s="13" t="inlineStr">
        <is>
          <t>Success</t>
        </is>
      </c>
      <c r="T172" s="10" t="n">
        <v>0.4355165526585517</v>
      </c>
      <c r="U172" s="10" t="n">
        <v>0.8710331053171033</v>
      </c>
      <c r="V172" s="10" t="n">
        <v>3.484132421268413</v>
      </c>
    </row>
    <row r="173">
      <c r="I173" s="8" t="inlineStr">
        <is>
          <t>ACE-10167</t>
        </is>
      </c>
      <c r="J173" s="8" t="inlineStr">
        <is>
          <t>2026-05-12 15:48:04</t>
        </is>
      </c>
      <c r="K173" s="8" t="inlineStr">
        <is>
          <t>CUST-87612</t>
        </is>
      </c>
      <c r="L173" s="9" t="inlineStr">
        <is>
          <t>GBP-PKR</t>
        </is>
      </c>
      <c r="M173" s="8" t="inlineStr">
        <is>
          <t>GBP</t>
        </is>
      </c>
      <c r="N173" s="10" t="n">
        <v>302.4740894733269</v>
      </c>
      <c r="O173" s="11" t="n">
        <v>1</v>
      </c>
      <c r="P173" s="10" t="n">
        <v>302.4740894733269</v>
      </c>
      <c r="Q173" s="10" t="n">
        <v>1.5</v>
      </c>
      <c r="R173" s="12" t="n">
        <v>0.021</v>
      </c>
      <c r="S173" s="13" t="inlineStr">
        <is>
          <t>Success</t>
        </is>
      </c>
      <c r="T173" s="10" t="n">
        <v>0.4537111342099904</v>
      </c>
      <c r="U173" s="10" t="n">
        <v>0</v>
      </c>
      <c r="V173" s="10" t="n">
        <v>3.629689073679923</v>
      </c>
    </row>
    <row r="174">
      <c r="I174" s="8" t="inlineStr">
        <is>
          <t>ACE-10168</t>
        </is>
      </c>
      <c r="J174" s="8" t="inlineStr">
        <is>
          <t>2026-05-11 18:17:15</t>
        </is>
      </c>
      <c r="K174" s="8" t="inlineStr">
        <is>
          <t>CUST-57434</t>
        </is>
      </c>
      <c r="L174" s="9" t="inlineStr">
        <is>
          <t>USD-PKR</t>
        </is>
      </c>
      <c r="M174" s="8" t="inlineStr">
        <is>
          <t>USD</t>
        </is>
      </c>
      <c r="N174" s="10" t="n">
        <v>264.6231781062085</v>
      </c>
      <c r="O174" s="11" t="n">
        <v>0.8</v>
      </c>
      <c r="P174" s="10" t="n">
        <v>211.6985424849668</v>
      </c>
      <c r="Q174" s="10" t="n">
        <v>1.6</v>
      </c>
      <c r="R174" s="12" t="n">
        <v>0.019</v>
      </c>
      <c r="S174" s="13" t="inlineStr">
        <is>
          <t>Success</t>
        </is>
      </c>
      <c r="T174" s="10" t="n">
        <v>0.3175478137274502</v>
      </c>
      <c r="U174" s="10" t="n">
        <v>0</v>
      </c>
      <c r="V174" s="10" t="n">
        <v>2.540382509819601</v>
      </c>
    </row>
    <row r="175">
      <c r="I175" s="8" t="inlineStr">
        <is>
          <t>ACE-10169</t>
        </is>
      </c>
      <c r="J175" s="8" t="inlineStr">
        <is>
          <t>2026-05-17 14:58:35</t>
        </is>
      </c>
      <c r="K175" s="8" t="inlineStr">
        <is>
          <t>CUST-57717</t>
        </is>
      </c>
      <c r="L175" s="9" t="inlineStr">
        <is>
          <t>GBP-PKR</t>
        </is>
      </c>
      <c r="M175" s="8" t="inlineStr">
        <is>
          <t>GBP</t>
        </is>
      </c>
      <c r="N175" s="10" t="n">
        <v>271.8500945975728</v>
      </c>
      <c r="O175" s="11" t="n">
        <v>1</v>
      </c>
      <c r="P175" s="10" t="n">
        <v>271.8500945975728</v>
      </c>
      <c r="Q175" s="10" t="n">
        <v>1.5</v>
      </c>
      <c r="R175" s="12" t="n">
        <v>0.021</v>
      </c>
      <c r="S175" s="13" t="inlineStr">
        <is>
          <t>Success</t>
        </is>
      </c>
      <c r="T175" s="10" t="n">
        <v>0.4077751418963592</v>
      </c>
      <c r="U175" s="10" t="n">
        <v>0</v>
      </c>
      <c r="V175" s="10" t="n">
        <v>3.262201135170873</v>
      </c>
    </row>
    <row r="176">
      <c r="I176" s="8" t="inlineStr">
        <is>
          <t>ACE-10170</t>
        </is>
      </c>
      <c r="J176" s="8" t="inlineStr">
        <is>
          <t>2026-05-15 11:39:18</t>
        </is>
      </c>
      <c r="K176" s="8" t="inlineStr">
        <is>
          <t>CUST-95480</t>
        </is>
      </c>
      <c r="L176" s="9" t="inlineStr">
        <is>
          <t>GBP-PKR</t>
        </is>
      </c>
      <c r="M176" s="8" t="inlineStr">
        <is>
          <t>GBP</t>
        </is>
      </c>
      <c r="N176" s="10" t="n">
        <v>258.3760254230538</v>
      </c>
      <c r="O176" s="11" t="n">
        <v>1</v>
      </c>
      <c r="P176" s="10" t="n">
        <v>258.3760254230538</v>
      </c>
      <c r="Q176" s="10" t="n">
        <v>1.5</v>
      </c>
      <c r="R176" s="12" t="n">
        <v>0.021</v>
      </c>
      <c r="S176" s="13" t="inlineStr">
        <is>
          <t>Success</t>
        </is>
      </c>
      <c r="T176" s="10" t="n">
        <v>0.3875640381345807</v>
      </c>
      <c r="U176" s="10" t="n">
        <v>0</v>
      </c>
      <c r="V176" s="10" t="n">
        <v>3.100512305076646</v>
      </c>
    </row>
    <row r="177">
      <c r="I177" s="8" t="inlineStr">
        <is>
          <t>ACE-10171</t>
        </is>
      </c>
      <c r="J177" s="8" t="inlineStr">
        <is>
          <t>2026-05-04 10:54:04</t>
        </is>
      </c>
      <c r="K177" s="8" t="inlineStr">
        <is>
          <t>CUST-79625</t>
        </is>
      </c>
      <c r="L177" s="9" t="inlineStr">
        <is>
          <t>EUR-PKR</t>
        </is>
      </c>
      <c r="M177" s="8" t="inlineStr">
        <is>
          <t>EUR</t>
        </is>
      </c>
      <c r="N177" s="10" t="n">
        <v>172.962123150136</v>
      </c>
      <c r="O177" s="11" t="n">
        <v>0.85</v>
      </c>
      <c r="P177" s="10" t="n">
        <v>147.0178046776156</v>
      </c>
      <c r="Q177" s="10" t="n">
        <v>1.275</v>
      </c>
      <c r="R177" s="12" t="n">
        <v>0.023</v>
      </c>
      <c r="S177" s="13" t="inlineStr">
        <is>
          <t>Success</t>
        </is>
      </c>
      <c r="T177" s="10" t="n">
        <v>0.2205267070164234</v>
      </c>
      <c r="U177" s="10" t="n">
        <v>0.4410534140328468</v>
      </c>
      <c r="V177" s="10" t="n">
        <v>2.205267070164234</v>
      </c>
    </row>
    <row r="178">
      <c r="I178" s="8" t="inlineStr">
        <is>
          <t>ACE-10172</t>
        </is>
      </c>
      <c r="J178" s="8" t="inlineStr">
        <is>
          <t>2026-05-03 20:43:54</t>
        </is>
      </c>
      <c r="K178" s="8" t="inlineStr">
        <is>
          <t>CUST-70944</t>
        </is>
      </c>
      <c r="L178" s="9" t="inlineStr">
        <is>
          <t>GBP-PKR</t>
        </is>
      </c>
      <c r="M178" s="8" t="inlineStr">
        <is>
          <t>GBP</t>
        </is>
      </c>
      <c r="N178" s="10" t="n">
        <v>256.7771465506128</v>
      </c>
      <c r="O178" s="11" t="n">
        <v>1</v>
      </c>
      <c r="P178" s="10" t="n">
        <v>256.7771465506128</v>
      </c>
      <c r="Q178" s="10" t="n">
        <v>1.5</v>
      </c>
      <c r="R178" s="12" t="n">
        <v>0.021</v>
      </c>
      <c r="S178" s="13" t="inlineStr">
        <is>
          <t>Success</t>
        </is>
      </c>
      <c r="T178" s="10" t="n">
        <v>0.3851657198259192</v>
      </c>
      <c r="U178" s="10" t="n">
        <v>0.7703314396518384</v>
      </c>
      <c r="V178" s="10" t="n">
        <v>3.081325758607353</v>
      </c>
    </row>
    <row r="179">
      <c r="I179" s="8" t="inlineStr">
        <is>
          <t>ACE-10173</t>
        </is>
      </c>
      <c r="J179" s="8" t="inlineStr">
        <is>
          <t>2026-05-18 16:18:57</t>
        </is>
      </c>
      <c r="K179" s="8" t="inlineStr">
        <is>
          <t>CUST-69657</t>
        </is>
      </c>
      <c r="L179" s="9" t="inlineStr">
        <is>
          <t>GBP-PKR</t>
        </is>
      </c>
      <c r="M179" s="8" t="inlineStr">
        <is>
          <t>GBP</t>
        </is>
      </c>
      <c r="N179" s="10" t="n">
        <v>276.4636734014019</v>
      </c>
      <c r="O179" s="11" t="n">
        <v>1</v>
      </c>
      <c r="P179" s="10" t="n">
        <v>276.4636734014019</v>
      </c>
      <c r="Q179" s="10" t="n">
        <v>1.5</v>
      </c>
      <c r="R179" s="12" t="n">
        <v>0.021</v>
      </c>
      <c r="S179" s="13" t="inlineStr">
        <is>
          <t>Success</t>
        </is>
      </c>
      <c r="T179" s="10" t="n">
        <v>0.4146955101021028</v>
      </c>
      <c r="U179" s="10" t="n">
        <v>0.8293910202042056</v>
      </c>
      <c r="V179" s="10" t="n">
        <v>3.317564080816823</v>
      </c>
    </row>
    <row r="180">
      <c r="I180" s="8" t="inlineStr">
        <is>
          <t>ACE-10174</t>
        </is>
      </c>
      <c r="J180" s="8" t="inlineStr">
        <is>
          <t>2026-05-23 18:11:50</t>
        </is>
      </c>
      <c r="K180" s="8" t="inlineStr">
        <is>
          <t>CUST-73690</t>
        </is>
      </c>
      <c r="L180" s="9" t="inlineStr">
        <is>
          <t>GBP-PKR</t>
        </is>
      </c>
      <c r="M180" s="8" t="inlineStr">
        <is>
          <t>GBP</t>
        </is>
      </c>
      <c r="N180" s="10" t="n">
        <v>288.2720927594785</v>
      </c>
      <c r="O180" s="11" t="n">
        <v>1</v>
      </c>
      <c r="P180" s="10" t="n">
        <v>288.2720927594785</v>
      </c>
      <c r="Q180" s="10" t="n">
        <v>1.5</v>
      </c>
      <c r="R180" s="12" t="n">
        <v>0.021</v>
      </c>
      <c r="S180" s="13" t="inlineStr">
        <is>
          <t>Success</t>
        </is>
      </c>
      <c r="T180" s="10" t="n">
        <v>0.4324081391392177</v>
      </c>
      <c r="U180" s="10" t="n">
        <v>0</v>
      </c>
      <c r="V180" s="10" t="n">
        <v>3.459265113113742</v>
      </c>
    </row>
    <row r="181">
      <c r="I181" s="8" t="inlineStr">
        <is>
          <t>ACE-10175</t>
        </is>
      </c>
      <c r="J181" s="8" t="inlineStr">
        <is>
          <t>2026-05-07 20:08:15</t>
        </is>
      </c>
      <c r="K181" s="8" t="inlineStr">
        <is>
          <t>CUST-82376</t>
        </is>
      </c>
      <c r="L181" s="9" t="inlineStr">
        <is>
          <t>GBP-PKR</t>
        </is>
      </c>
      <c r="M181" s="8" t="inlineStr">
        <is>
          <t>GBP</t>
        </is>
      </c>
      <c r="N181" s="10" t="n">
        <v>286.4198333184149</v>
      </c>
      <c r="O181" s="11" t="n">
        <v>1</v>
      </c>
      <c r="P181" s="10" t="n">
        <v>286.4198333184149</v>
      </c>
      <c r="Q181" s="10" t="n">
        <v>1.5</v>
      </c>
      <c r="R181" s="12" t="n">
        <v>0.021</v>
      </c>
      <c r="S181" s="13" t="inlineStr">
        <is>
          <t>Success</t>
        </is>
      </c>
      <c r="T181" s="10" t="n">
        <v>0.4296297499776224</v>
      </c>
      <c r="U181" s="10" t="n">
        <v>0</v>
      </c>
      <c r="V181" s="10" t="n">
        <v>3.437037999820979</v>
      </c>
    </row>
    <row r="182">
      <c r="I182" s="8" t="inlineStr">
        <is>
          <t>ACE-10176</t>
        </is>
      </c>
      <c r="J182" s="8" t="inlineStr">
        <is>
          <t>2026-05-12 15:51:35</t>
        </is>
      </c>
      <c r="K182" s="8" t="inlineStr">
        <is>
          <t>CUST-58504</t>
        </is>
      </c>
      <c r="L182" s="9" t="inlineStr">
        <is>
          <t>USD-PKR</t>
        </is>
      </c>
      <c r="M182" s="8" t="inlineStr">
        <is>
          <t>USD</t>
        </is>
      </c>
      <c r="N182" s="10" t="n">
        <v>237.7799987696231</v>
      </c>
      <c r="O182" s="11" t="n">
        <v>0.8</v>
      </c>
      <c r="P182" s="10" t="n">
        <v>190.2239990156985</v>
      </c>
      <c r="Q182" s="10" t="n">
        <v>1.6</v>
      </c>
      <c r="R182" s="12" t="n">
        <v>0.019</v>
      </c>
      <c r="S182" s="13" t="inlineStr">
        <is>
          <t>Success</t>
        </is>
      </c>
      <c r="T182" s="10" t="n">
        <v>0.2853359985235477</v>
      </c>
      <c r="U182" s="10" t="n">
        <v>0</v>
      </c>
      <c r="V182" s="10" t="n">
        <v>2.282687988188382</v>
      </c>
    </row>
    <row r="183">
      <c r="I183" s="8" t="inlineStr">
        <is>
          <t>ACE-10177</t>
        </is>
      </c>
      <c r="J183" s="8" t="inlineStr">
        <is>
          <t>2026-05-10 14:45:46</t>
        </is>
      </c>
      <c r="K183" s="8" t="inlineStr">
        <is>
          <t>CUST-81369</t>
        </is>
      </c>
      <c r="L183" s="9" t="inlineStr">
        <is>
          <t>GBP-PKR</t>
        </is>
      </c>
      <c r="M183" s="8" t="inlineStr">
        <is>
          <t>GBP</t>
        </is>
      </c>
      <c r="N183" s="10" t="n">
        <v>278.9659670153281</v>
      </c>
      <c r="O183" s="11" t="n">
        <v>1</v>
      </c>
      <c r="P183" s="10" t="n">
        <v>278.9659670153281</v>
      </c>
      <c r="Q183" s="10" t="n">
        <v>1.5</v>
      </c>
      <c r="R183" s="12" t="n">
        <v>0.021</v>
      </c>
      <c r="S183" s="13" t="inlineStr">
        <is>
          <t>Success</t>
        </is>
      </c>
      <c r="T183" s="10" t="n">
        <v>0.4184489505229921</v>
      </c>
      <c r="U183" s="10" t="n">
        <v>0.8368979010459843</v>
      </c>
      <c r="V183" s="10" t="n">
        <v>3.347591604183937</v>
      </c>
    </row>
    <row r="184">
      <c r="I184" s="8" t="inlineStr">
        <is>
          <t>ACE-10178</t>
        </is>
      </c>
      <c r="J184" s="8" t="inlineStr">
        <is>
          <t>2026-05-19 09:08:20</t>
        </is>
      </c>
      <c r="K184" s="8" t="inlineStr">
        <is>
          <t>CUST-92096</t>
        </is>
      </c>
      <c r="L184" s="9" t="inlineStr">
        <is>
          <t>GBP-PKR</t>
        </is>
      </c>
      <c r="M184" s="8" t="inlineStr">
        <is>
          <t>GBP</t>
        </is>
      </c>
      <c r="N184" s="10" t="n">
        <v>322.1905081736014</v>
      </c>
      <c r="O184" s="11" t="n">
        <v>1</v>
      </c>
      <c r="P184" s="10" t="n">
        <v>322.1905081736014</v>
      </c>
      <c r="Q184" s="10" t="n">
        <v>1.5</v>
      </c>
      <c r="R184" s="12" t="n">
        <v>0.021</v>
      </c>
      <c r="S184" s="13" t="inlineStr">
        <is>
          <t>Success</t>
        </is>
      </c>
      <c r="T184" s="10" t="n">
        <v>0.4832857622604022</v>
      </c>
      <c r="U184" s="10" t="n">
        <v>0</v>
      </c>
      <c r="V184" s="10" t="n">
        <v>3.866286098083217</v>
      </c>
    </row>
    <row r="185">
      <c r="I185" s="8" t="inlineStr">
        <is>
          <t>ACE-10179</t>
        </is>
      </c>
      <c r="J185" s="8" t="inlineStr">
        <is>
          <t>2026-05-17 13:08:56</t>
        </is>
      </c>
      <c r="K185" s="8" t="inlineStr">
        <is>
          <t>CUST-86130</t>
        </is>
      </c>
      <c r="L185" s="9" t="inlineStr">
        <is>
          <t>GBP-PKR</t>
        </is>
      </c>
      <c r="M185" s="8" t="inlineStr">
        <is>
          <t>GBP</t>
        </is>
      </c>
      <c r="N185" s="10" t="n">
        <v>271.3267786804965</v>
      </c>
      <c r="O185" s="11" t="n">
        <v>1</v>
      </c>
      <c r="P185" s="10" t="n">
        <v>271.3267786804965</v>
      </c>
      <c r="Q185" s="10" t="n">
        <v>1.5</v>
      </c>
      <c r="R185" s="12" t="n">
        <v>0.021</v>
      </c>
      <c r="S185" s="13" t="inlineStr">
        <is>
          <t>Success</t>
        </is>
      </c>
      <c r="T185" s="10" t="n">
        <v>0.4069901680207448</v>
      </c>
      <c r="U185" s="10" t="n">
        <v>0</v>
      </c>
      <c r="V185" s="10" t="n">
        <v>3.255921344165959</v>
      </c>
    </row>
    <row r="186">
      <c r="I186" s="8" t="inlineStr">
        <is>
          <t>ACE-10180</t>
        </is>
      </c>
      <c r="J186" s="8" t="inlineStr">
        <is>
          <t>2026-05-05 14:32:58</t>
        </is>
      </c>
      <c r="K186" s="8" t="inlineStr">
        <is>
          <t>CUST-53631</t>
        </is>
      </c>
      <c r="L186" s="9" t="inlineStr">
        <is>
          <t>EUR-PKR</t>
        </is>
      </c>
      <c r="M186" s="8" t="inlineStr">
        <is>
          <t>EUR</t>
        </is>
      </c>
      <c r="N186" s="10" t="n">
        <v>248.1518826680872</v>
      </c>
      <c r="O186" s="11" t="n">
        <v>0.85</v>
      </c>
      <c r="P186" s="10" t="n">
        <v>210.9291002678741</v>
      </c>
      <c r="Q186" s="10" t="n">
        <v>1.275</v>
      </c>
      <c r="R186" s="12" t="n">
        <v>0.023</v>
      </c>
      <c r="S186" s="13" t="inlineStr">
        <is>
          <t>Success</t>
        </is>
      </c>
      <c r="T186" s="10" t="n">
        <v>0.3163936504018112</v>
      </c>
      <c r="U186" s="10" t="n">
        <v>0</v>
      </c>
      <c r="V186" s="10" t="n">
        <v>3.163936504018111</v>
      </c>
    </row>
    <row r="187">
      <c r="I187" s="8" t="inlineStr">
        <is>
          <t>ACE-10181</t>
        </is>
      </c>
      <c r="J187" s="8" t="inlineStr">
        <is>
          <t>2026-05-10 10:10:20</t>
        </is>
      </c>
      <c r="K187" s="8" t="inlineStr">
        <is>
          <t>CUST-96486</t>
        </is>
      </c>
      <c r="L187" s="9" t="inlineStr">
        <is>
          <t>GBP-PKR</t>
        </is>
      </c>
      <c r="M187" s="8" t="inlineStr">
        <is>
          <t>GBP</t>
        </is>
      </c>
      <c r="N187" s="10" t="n">
        <v>296.5916681015823</v>
      </c>
      <c r="O187" s="11" t="n">
        <v>1</v>
      </c>
      <c r="P187" s="10" t="n">
        <v>296.5916681015823</v>
      </c>
      <c r="Q187" s="10" t="n">
        <v>1.5</v>
      </c>
      <c r="R187" s="12" t="n">
        <v>0.021</v>
      </c>
      <c r="S187" s="13" t="inlineStr">
        <is>
          <t>Success</t>
        </is>
      </c>
      <c r="T187" s="10" t="n">
        <v>0.4448875021523734</v>
      </c>
      <c r="U187" s="10" t="n">
        <v>0.8897750043047469</v>
      </c>
      <c r="V187" s="10" t="n">
        <v>3.559100017218987</v>
      </c>
    </row>
    <row r="188">
      <c r="I188" s="8" t="inlineStr">
        <is>
          <t>ACE-10182</t>
        </is>
      </c>
      <c r="J188" s="8" t="inlineStr">
        <is>
          <t>2026-05-17 12:54:05</t>
        </is>
      </c>
      <c r="K188" s="8" t="inlineStr">
        <is>
          <t>CUST-66423</t>
        </is>
      </c>
      <c r="L188" s="9" t="inlineStr">
        <is>
          <t>GBP-PKR</t>
        </is>
      </c>
      <c r="M188" s="8" t="inlineStr">
        <is>
          <t>GBP</t>
        </is>
      </c>
      <c r="N188" s="10" t="n">
        <v>255.7176350175284</v>
      </c>
      <c r="O188" s="11" t="n">
        <v>1</v>
      </c>
      <c r="P188" s="10" t="n">
        <v>255.7176350175284</v>
      </c>
      <c r="Q188" s="10" t="n">
        <v>1.5</v>
      </c>
      <c r="R188" s="12" t="n">
        <v>0.021</v>
      </c>
      <c r="S188" s="13" t="inlineStr">
        <is>
          <t>Success</t>
        </is>
      </c>
      <c r="T188" s="10" t="n">
        <v>0.3835764525262926</v>
      </c>
      <c r="U188" s="10" t="n">
        <v>0.7671529050525853</v>
      </c>
      <c r="V188" s="10" t="n">
        <v>3.068611620210341</v>
      </c>
    </row>
    <row r="189">
      <c r="I189" s="8" t="inlineStr">
        <is>
          <t>ACE-10183</t>
        </is>
      </c>
      <c r="J189" s="8" t="inlineStr">
        <is>
          <t>2026-05-09 10:40:19</t>
        </is>
      </c>
      <c r="K189" s="8" t="inlineStr">
        <is>
          <t>CUST-90267</t>
        </is>
      </c>
      <c r="L189" s="9" t="inlineStr">
        <is>
          <t>GBP-PKR</t>
        </is>
      </c>
      <c r="M189" s="8" t="inlineStr">
        <is>
          <t>GBP</t>
        </is>
      </c>
      <c r="N189" s="10" t="n">
        <v>250.3100509796269</v>
      </c>
      <c r="O189" s="11" t="n">
        <v>1</v>
      </c>
      <c r="P189" s="10" t="n">
        <v>250.3100509796269</v>
      </c>
      <c r="Q189" s="10" t="n">
        <v>1.5</v>
      </c>
      <c r="R189" s="12" t="n">
        <v>0.021</v>
      </c>
      <c r="S189" s="13" t="inlineStr">
        <is>
          <t>Success</t>
        </is>
      </c>
      <c r="T189" s="10" t="n">
        <v>0.3754650764694403</v>
      </c>
      <c r="U189" s="10" t="n">
        <v>0</v>
      </c>
      <c r="V189" s="10" t="n">
        <v>3.003720611755523</v>
      </c>
    </row>
    <row r="190">
      <c r="I190" s="8" t="inlineStr">
        <is>
          <t>ACE-10184</t>
        </is>
      </c>
      <c r="J190" s="8" t="inlineStr">
        <is>
          <t>2026-05-06 17:37:09</t>
        </is>
      </c>
      <c r="K190" s="8" t="inlineStr">
        <is>
          <t>CUST-61219</t>
        </is>
      </c>
      <c r="L190" s="9" t="inlineStr">
        <is>
          <t>GBP-PKR</t>
        </is>
      </c>
      <c r="M190" s="8" t="inlineStr">
        <is>
          <t>GBP</t>
        </is>
      </c>
      <c r="N190" s="10" t="n">
        <v>292.3748888358958</v>
      </c>
      <c r="O190" s="11" t="n">
        <v>1</v>
      </c>
      <c r="P190" s="10" t="n">
        <v>292.3748888358958</v>
      </c>
      <c r="Q190" s="10" t="n">
        <v>1.5</v>
      </c>
      <c r="R190" s="12" t="n">
        <v>0.021</v>
      </c>
      <c r="S190" s="13" t="inlineStr">
        <is>
          <t>Success</t>
        </is>
      </c>
      <c r="T190" s="10" t="n">
        <v>0.4385623332538437</v>
      </c>
      <c r="U190" s="10" t="n">
        <v>0.8771246665076874</v>
      </c>
      <c r="V190" s="10" t="n">
        <v>3.50849866603075</v>
      </c>
    </row>
    <row r="191">
      <c r="I191" s="8" t="inlineStr">
        <is>
          <t>ACE-10185</t>
        </is>
      </c>
      <c r="J191" s="8" t="inlineStr">
        <is>
          <t>2026-05-20 13:53:59</t>
        </is>
      </c>
      <c r="K191" s="8" t="inlineStr">
        <is>
          <t>CUST-86937</t>
        </is>
      </c>
      <c r="L191" s="9" t="inlineStr">
        <is>
          <t>GBP-PKR</t>
        </is>
      </c>
      <c r="M191" s="8" t="inlineStr">
        <is>
          <t>GBP</t>
        </is>
      </c>
      <c r="N191" s="10" t="n">
        <v>272.446788816303</v>
      </c>
      <c r="O191" s="11" t="n">
        <v>1</v>
      </c>
      <c r="P191" s="10" t="n">
        <v>272.446788816303</v>
      </c>
      <c r="Q191" s="10" t="n">
        <v>1.5</v>
      </c>
      <c r="R191" s="12" t="n">
        <v>0.021</v>
      </c>
      <c r="S191" s="13" t="inlineStr">
        <is>
          <t>Success</t>
        </is>
      </c>
      <c r="T191" s="10" t="n">
        <v>0.4086701832244545</v>
      </c>
      <c r="U191" s="10" t="n">
        <v>0.8173403664489091</v>
      </c>
      <c r="V191" s="10" t="n">
        <v>3.269361465795636</v>
      </c>
    </row>
    <row r="192">
      <c r="I192" s="8" t="inlineStr">
        <is>
          <t>ACE-10186</t>
        </is>
      </c>
      <c r="J192" s="8" t="inlineStr">
        <is>
          <t>2026-05-03 08:41:49</t>
        </is>
      </c>
      <c r="K192" s="8" t="inlineStr">
        <is>
          <t>CUST-87799</t>
        </is>
      </c>
      <c r="L192" s="9" t="inlineStr">
        <is>
          <t>GBP-PKR</t>
        </is>
      </c>
      <c r="M192" s="8" t="inlineStr">
        <is>
          <t>GBP</t>
        </is>
      </c>
      <c r="N192" s="10" t="n">
        <v>299.2231609146492</v>
      </c>
      <c r="O192" s="11" t="n">
        <v>1</v>
      </c>
      <c r="P192" s="10" t="n">
        <v>299.2231609146492</v>
      </c>
      <c r="Q192" s="10" t="n">
        <v>1.5</v>
      </c>
      <c r="R192" s="12" t="n">
        <v>0.021</v>
      </c>
      <c r="S192" s="13" t="inlineStr">
        <is>
          <t>Success</t>
        </is>
      </c>
      <c r="T192" s="10" t="n">
        <v>0.4488347413719738</v>
      </c>
      <c r="U192" s="10" t="n">
        <v>0</v>
      </c>
      <c r="V192" s="10" t="n">
        <v>3.59067793097579</v>
      </c>
    </row>
    <row r="193">
      <c r="I193" s="8" t="inlineStr">
        <is>
          <t>ACE-10187</t>
        </is>
      </c>
      <c r="J193" s="8" t="inlineStr">
        <is>
          <t>2026-05-19 14:39:40</t>
        </is>
      </c>
      <c r="K193" s="8" t="inlineStr">
        <is>
          <t>CUST-51984</t>
        </is>
      </c>
      <c r="L193" s="9" t="inlineStr">
        <is>
          <t>EUR-PKR</t>
        </is>
      </c>
      <c r="M193" s="8" t="inlineStr">
        <is>
          <t>EUR</t>
        </is>
      </c>
      <c r="N193" s="10" t="n">
        <v>198.2141148640641</v>
      </c>
      <c r="O193" s="11" t="n">
        <v>0.85</v>
      </c>
      <c r="P193" s="10" t="n">
        <v>168.4819976344545</v>
      </c>
      <c r="Q193" s="10" t="n">
        <v>1.275</v>
      </c>
      <c r="R193" s="12" t="n">
        <v>0.023</v>
      </c>
      <c r="S193" s="13" t="inlineStr">
        <is>
          <t>Success</t>
        </is>
      </c>
      <c r="T193" s="10" t="n">
        <v>0.2527229964516817</v>
      </c>
      <c r="U193" s="10" t="n">
        <v>0.5054459929033635</v>
      </c>
      <c r="V193" s="10" t="n">
        <v>2.527229964516817</v>
      </c>
    </row>
    <row r="194">
      <c r="I194" s="8" t="inlineStr">
        <is>
          <t>ACE-10188</t>
        </is>
      </c>
      <c r="J194" s="8" t="inlineStr">
        <is>
          <t>2026-05-10 18:19:30</t>
        </is>
      </c>
      <c r="K194" s="8" t="inlineStr">
        <is>
          <t>CUST-66048</t>
        </is>
      </c>
      <c r="L194" s="9" t="inlineStr">
        <is>
          <t>USD-PKR</t>
        </is>
      </c>
      <c r="M194" s="8" t="inlineStr">
        <is>
          <t>USD</t>
        </is>
      </c>
      <c r="N194" s="10" t="n">
        <v>217.3142918181842</v>
      </c>
      <c r="O194" s="11" t="n">
        <v>0.8</v>
      </c>
      <c r="P194" s="10" t="n">
        <v>173.8514334545474</v>
      </c>
      <c r="Q194" s="10" t="n">
        <v>1.6</v>
      </c>
      <c r="R194" s="12" t="n">
        <v>0.019</v>
      </c>
      <c r="S194" s="13" t="inlineStr">
        <is>
          <t>Success</t>
        </is>
      </c>
      <c r="T194" s="10" t="n">
        <v>0.2607771501818211</v>
      </c>
      <c r="U194" s="10" t="n">
        <v>0.5215543003636421</v>
      </c>
      <c r="V194" s="10" t="n">
        <v>2.086217201454569</v>
      </c>
    </row>
    <row r="195">
      <c r="I195" s="8" t="inlineStr">
        <is>
          <t>ACE-10189</t>
        </is>
      </c>
      <c r="J195" s="8" t="inlineStr">
        <is>
          <t>2026-05-10 15:04:44</t>
        </is>
      </c>
      <c r="K195" s="8" t="inlineStr">
        <is>
          <t>CUST-53926</t>
        </is>
      </c>
      <c r="L195" s="9" t="inlineStr">
        <is>
          <t>USD-PKR</t>
        </is>
      </c>
      <c r="M195" s="8" t="inlineStr">
        <is>
          <t>USD</t>
        </is>
      </c>
      <c r="N195" s="10" t="n">
        <v>201.1293381587671</v>
      </c>
      <c r="O195" s="11" t="n">
        <v>0.8</v>
      </c>
      <c r="P195" s="10" t="n">
        <v>160.9034705270137</v>
      </c>
      <c r="Q195" s="10" t="n">
        <v>1.6</v>
      </c>
      <c r="R195" s="12" t="n">
        <v>0.019</v>
      </c>
      <c r="S195" s="13" t="inlineStr">
        <is>
          <t>Success</t>
        </is>
      </c>
      <c r="T195" s="10" t="n">
        <v>0.2413552057905206</v>
      </c>
      <c r="U195" s="10" t="n">
        <v>0</v>
      </c>
      <c r="V195" s="10" t="n">
        <v>1.930841646324164</v>
      </c>
    </row>
    <row r="196">
      <c r="I196" s="8" t="inlineStr">
        <is>
          <t>ACE-10190</t>
        </is>
      </c>
      <c r="J196" s="8" t="inlineStr">
        <is>
          <t>2026-05-15 11:21:38</t>
        </is>
      </c>
      <c r="K196" s="8" t="inlineStr">
        <is>
          <t>CUST-59415</t>
        </is>
      </c>
      <c r="L196" s="9" t="inlineStr">
        <is>
          <t>GBP-PKR</t>
        </is>
      </c>
      <c r="M196" s="8" t="inlineStr">
        <is>
          <t>GBP</t>
        </is>
      </c>
      <c r="N196" s="10" t="n">
        <v>239.4404829883724</v>
      </c>
      <c r="O196" s="11" t="n">
        <v>1</v>
      </c>
      <c r="P196" s="10" t="n">
        <v>239.4404829883724</v>
      </c>
      <c r="Q196" s="10" t="n">
        <v>1.5</v>
      </c>
      <c r="R196" s="12" t="n">
        <v>0.021</v>
      </c>
      <c r="S196" s="13" t="inlineStr">
        <is>
          <t>Success</t>
        </is>
      </c>
      <c r="T196" s="10" t="n">
        <v>0.3591607244825585</v>
      </c>
      <c r="U196" s="10" t="n">
        <v>0.7183214489651171</v>
      </c>
      <c r="V196" s="10" t="n">
        <v>2.873285795860468</v>
      </c>
    </row>
    <row r="197">
      <c r="I197" s="8" t="inlineStr">
        <is>
          <t>ACE-10191</t>
        </is>
      </c>
      <c r="J197" s="8" t="inlineStr">
        <is>
          <t>2026-05-24 13:25:08</t>
        </is>
      </c>
      <c r="K197" s="8" t="inlineStr">
        <is>
          <t>CUST-99850</t>
        </is>
      </c>
      <c r="L197" s="9" t="inlineStr">
        <is>
          <t>GBP-PKR</t>
        </is>
      </c>
      <c r="M197" s="8" t="inlineStr">
        <is>
          <t>GBP</t>
        </is>
      </c>
      <c r="N197" s="10" t="n">
        <v>266.4370772804875</v>
      </c>
      <c r="O197" s="11" t="n">
        <v>1</v>
      </c>
      <c r="P197" s="10" t="n">
        <v>266.4370772804875</v>
      </c>
      <c r="Q197" s="10" t="n">
        <v>1.5</v>
      </c>
      <c r="R197" s="12" t="n">
        <v>0.021</v>
      </c>
      <c r="S197" s="13" t="inlineStr">
        <is>
          <t>Success</t>
        </is>
      </c>
      <c r="T197" s="10" t="n">
        <v>0.3996556159207312</v>
      </c>
      <c r="U197" s="10" t="n">
        <v>0</v>
      </c>
      <c r="V197" s="10" t="n">
        <v>3.19724492736585</v>
      </c>
    </row>
    <row r="198">
      <c r="I198" s="8" t="inlineStr">
        <is>
          <t>ACE-10192</t>
        </is>
      </c>
      <c r="J198" s="8" t="inlineStr">
        <is>
          <t>2026-05-11 11:29:07</t>
        </is>
      </c>
      <c r="K198" s="8" t="inlineStr">
        <is>
          <t>CUST-67529</t>
        </is>
      </c>
      <c r="L198" s="9" t="inlineStr">
        <is>
          <t>GBP-PKR</t>
        </is>
      </c>
      <c r="M198" s="8" t="inlineStr">
        <is>
          <t>GBP</t>
        </is>
      </c>
      <c r="N198" s="10" t="n">
        <v>303.514529530747</v>
      </c>
      <c r="O198" s="11" t="n">
        <v>1</v>
      </c>
      <c r="P198" s="10" t="n">
        <v>303.514529530747</v>
      </c>
      <c r="Q198" s="10" t="n">
        <v>1.5</v>
      </c>
      <c r="R198" s="12" t="n">
        <v>0.021</v>
      </c>
      <c r="S198" s="13" t="inlineStr">
        <is>
          <t>Success</t>
        </is>
      </c>
      <c r="T198" s="10" t="n">
        <v>0.4552717942961205</v>
      </c>
      <c r="U198" s="10" t="n">
        <v>0</v>
      </c>
      <c r="V198" s="10" t="n">
        <v>3.642174354368964</v>
      </c>
    </row>
    <row r="199">
      <c r="I199" s="8" t="inlineStr">
        <is>
          <t>ACE-10193</t>
        </is>
      </c>
      <c r="J199" s="8" t="inlineStr">
        <is>
          <t>2026-05-02 12:24:55</t>
        </is>
      </c>
      <c r="K199" s="8" t="inlineStr">
        <is>
          <t>CUST-90329</t>
        </is>
      </c>
      <c r="L199" s="9" t="inlineStr">
        <is>
          <t>GBP-PKR</t>
        </is>
      </c>
      <c r="M199" s="8" t="inlineStr">
        <is>
          <t>GBP</t>
        </is>
      </c>
      <c r="N199" s="10" t="n">
        <v>284.6325293411722</v>
      </c>
      <c r="O199" s="11" t="n">
        <v>1</v>
      </c>
      <c r="P199" s="10" t="n">
        <v>284.6325293411722</v>
      </c>
      <c r="Q199" s="10" t="n">
        <v>1.5</v>
      </c>
      <c r="R199" s="12" t="n">
        <v>0.021</v>
      </c>
      <c r="S199" s="13" t="inlineStr">
        <is>
          <t>Success</t>
        </is>
      </c>
      <c r="T199" s="10" t="n">
        <v>0.4269487940117583</v>
      </c>
      <c r="U199" s="10" t="n">
        <v>0.8538975880235166</v>
      </c>
      <c r="V199" s="10" t="n">
        <v>3.415590352094066</v>
      </c>
    </row>
    <row r="200">
      <c r="I200" s="8" t="inlineStr">
        <is>
          <t>ACE-10194</t>
        </is>
      </c>
      <c r="J200" s="8" t="inlineStr">
        <is>
          <t>2026-05-06 13:59:36</t>
        </is>
      </c>
      <c r="K200" s="8" t="inlineStr">
        <is>
          <t>CUST-97259</t>
        </is>
      </c>
      <c r="L200" s="9" t="inlineStr">
        <is>
          <t>GBP-PKR</t>
        </is>
      </c>
      <c r="M200" s="8" t="inlineStr">
        <is>
          <t>GBP</t>
        </is>
      </c>
      <c r="N200" s="10" t="n">
        <v>245.9715122335842</v>
      </c>
      <c r="O200" s="11" t="n">
        <v>1</v>
      </c>
      <c r="P200" s="10" t="n">
        <v>245.9715122335842</v>
      </c>
      <c r="Q200" s="10" t="n">
        <v>1.5</v>
      </c>
      <c r="R200" s="12" t="n">
        <v>0.021</v>
      </c>
      <c r="S200" s="13" t="inlineStr">
        <is>
          <t>Success</t>
        </is>
      </c>
      <c r="T200" s="10" t="n">
        <v>0.3689572683503763</v>
      </c>
      <c r="U200" s="10" t="n">
        <v>0.7379145367007527</v>
      </c>
      <c r="V200" s="10" t="n">
        <v>2.951658146803011</v>
      </c>
    </row>
    <row r="201">
      <c r="I201" s="8" t="inlineStr">
        <is>
          <t>ACE-10195</t>
        </is>
      </c>
      <c r="J201" s="8" t="inlineStr">
        <is>
          <t>2026-05-16 16:29:31</t>
        </is>
      </c>
      <c r="K201" s="8" t="inlineStr">
        <is>
          <t>CUST-70220</t>
        </is>
      </c>
      <c r="L201" s="9" t="inlineStr">
        <is>
          <t>GBP-PKR</t>
        </is>
      </c>
      <c r="M201" s="8" t="inlineStr">
        <is>
          <t>GBP</t>
        </is>
      </c>
      <c r="N201" s="10" t="n">
        <v>283.4703963740321</v>
      </c>
      <c r="O201" s="11" t="n">
        <v>1</v>
      </c>
      <c r="P201" s="10" t="n">
        <v>283.4703963740321</v>
      </c>
      <c r="Q201" s="10" t="n">
        <v>1.5</v>
      </c>
      <c r="R201" s="12" t="n">
        <v>0.021</v>
      </c>
      <c r="S201" s="13" t="inlineStr">
        <is>
          <t>Success</t>
        </is>
      </c>
      <c r="T201" s="10" t="n">
        <v>0.4252055945610481</v>
      </c>
      <c r="U201" s="10" t="n">
        <v>0</v>
      </c>
      <c r="V201" s="10" t="n">
        <v>3.401644756488385</v>
      </c>
    </row>
    <row r="202">
      <c r="I202" s="8" t="inlineStr">
        <is>
          <t>ACE-10196</t>
        </is>
      </c>
      <c r="J202" s="8" t="inlineStr">
        <is>
          <t>2026-05-13 16:29:15</t>
        </is>
      </c>
      <c r="K202" s="8" t="inlineStr">
        <is>
          <t>CUST-64099</t>
        </is>
      </c>
      <c r="L202" s="9" t="inlineStr">
        <is>
          <t>GBP-PKR</t>
        </is>
      </c>
      <c r="M202" s="8" t="inlineStr">
        <is>
          <t>GBP</t>
        </is>
      </c>
      <c r="N202" s="10" t="n">
        <v>289.5480737664424</v>
      </c>
      <c r="O202" s="11" t="n">
        <v>1</v>
      </c>
      <c r="P202" s="10" t="n">
        <v>289.5480737664424</v>
      </c>
      <c r="Q202" s="10" t="n">
        <v>1.5</v>
      </c>
      <c r="R202" s="12" t="n">
        <v>0.021</v>
      </c>
      <c r="S202" s="13" t="inlineStr">
        <is>
          <t>Success</t>
        </is>
      </c>
      <c r="T202" s="10" t="n">
        <v>0.4343221106496636</v>
      </c>
      <c r="U202" s="10" t="n">
        <v>0</v>
      </c>
      <c r="V202" s="10" t="n">
        <v>3.474576885197309</v>
      </c>
    </row>
    <row r="203">
      <c r="I203" s="8" t="inlineStr">
        <is>
          <t>ACE-10197</t>
        </is>
      </c>
      <c r="J203" s="8" t="inlineStr">
        <is>
          <t>2026-05-10 15:38:56</t>
        </is>
      </c>
      <c r="K203" s="8" t="inlineStr">
        <is>
          <t>CUST-92877</t>
        </is>
      </c>
      <c r="L203" s="9" t="inlineStr">
        <is>
          <t>GBP-PKR</t>
        </is>
      </c>
      <c r="M203" s="8" t="inlineStr">
        <is>
          <t>GBP</t>
        </is>
      </c>
      <c r="N203" s="10" t="n">
        <v>255.0357826799847</v>
      </c>
      <c r="O203" s="11" t="n">
        <v>1</v>
      </c>
      <c r="P203" s="10" t="n">
        <v>255.0357826799847</v>
      </c>
      <c r="Q203" s="10" t="n">
        <v>1.5</v>
      </c>
      <c r="R203" s="12" t="n">
        <v>0.021</v>
      </c>
      <c r="S203" s="13" t="inlineStr">
        <is>
          <t>Success</t>
        </is>
      </c>
      <c r="T203" s="10" t="n">
        <v>0.382553674019977</v>
      </c>
      <c r="U203" s="10" t="n">
        <v>0</v>
      </c>
      <c r="V203" s="10" t="n">
        <v>3.060429392159816</v>
      </c>
    </row>
    <row r="204">
      <c r="I204" s="8" t="inlineStr">
        <is>
          <t>ACE-10198</t>
        </is>
      </c>
      <c r="J204" s="8" t="inlineStr">
        <is>
          <t>2026-05-01 09:27:08</t>
        </is>
      </c>
      <c r="K204" s="8" t="inlineStr">
        <is>
          <t>CUST-67332</t>
        </is>
      </c>
      <c r="L204" s="9" t="inlineStr">
        <is>
          <t>GBP-PKR</t>
        </is>
      </c>
      <c r="M204" s="8" t="inlineStr">
        <is>
          <t>GBP</t>
        </is>
      </c>
      <c r="N204" s="10" t="n">
        <v>282.9194176369433</v>
      </c>
      <c r="O204" s="11" t="n">
        <v>1</v>
      </c>
      <c r="P204" s="10" t="n">
        <v>282.9194176369433</v>
      </c>
      <c r="Q204" s="10" t="n">
        <v>1.5</v>
      </c>
      <c r="R204" s="12" t="n">
        <v>0.021</v>
      </c>
      <c r="S204" s="13" t="inlineStr">
        <is>
          <t>Success</t>
        </is>
      </c>
      <c r="T204" s="10" t="n">
        <v>0.424379126455415</v>
      </c>
      <c r="U204" s="10" t="n">
        <v>0.84875825291083</v>
      </c>
      <c r="V204" s="10" t="n">
        <v>3.39503301164332</v>
      </c>
    </row>
    <row r="205">
      <c r="I205" s="8" t="inlineStr">
        <is>
          <t>ACE-10199</t>
        </is>
      </c>
      <c r="J205" s="8" t="inlineStr">
        <is>
          <t>2026-05-12 08:25:03</t>
        </is>
      </c>
      <c r="K205" s="8" t="inlineStr">
        <is>
          <t>CUST-87373</t>
        </is>
      </c>
      <c r="L205" s="9" t="inlineStr">
        <is>
          <t>GBP-PKR</t>
        </is>
      </c>
      <c r="M205" s="8" t="inlineStr">
        <is>
          <t>GBP</t>
        </is>
      </c>
      <c r="N205" s="10" t="n">
        <v>280.2299384785878</v>
      </c>
      <c r="O205" s="11" t="n">
        <v>1</v>
      </c>
      <c r="P205" s="10" t="n">
        <v>280.2299384785878</v>
      </c>
      <c r="Q205" s="10" t="n">
        <v>1.5</v>
      </c>
      <c r="R205" s="12" t="n">
        <v>0.021</v>
      </c>
      <c r="S205" s="13" t="inlineStr">
        <is>
          <t>Success</t>
        </is>
      </c>
      <c r="T205" s="10" t="n">
        <v>0.4203449077178817</v>
      </c>
      <c r="U205" s="10" t="n">
        <v>0</v>
      </c>
      <c r="V205" s="10" t="n">
        <v>3.362759261743054</v>
      </c>
    </row>
    <row r="206">
      <c r="I206" s="8" t="inlineStr">
        <is>
          <t>ACE-10200</t>
        </is>
      </c>
      <c r="J206" s="8" t="inlineStr">
        <is>
          <t>2026-05-10 09:24:32</t>
        </is>
      </c>
      <c r="K206" s="8" t="inlineStr">
        <is>
          <t>CUST-79514</t>
        </is>
      </c>
      <c r="L206" s="9" t="inlineStr">
        <is>
          <t>GBP-PKR</t>
        </is>
      </c>
      <c r="M206" s="8" t="inlineStr">
        <is>
          <t>GBP</t>
        </is>
      </c>
      <c r="N206" s="10" t="n">
        <v>248.5123576778596</v>
      </c>
      <c r="O206" s="11" t="n">
        <v>1</v>
      </c>
      <c r="P206" s="10" t="n">
        <v>248.5123576778596</v>
      </c>
      <c r="Q206" s="10" t="n">
        <v>1.5</v>
      </c>
      <c r="R206" s="12" t="n">
        <v>0.021</v>
      </c>
      <c r="S206" s="13" t="inlineStr">
        <is>
          <t>Success</t>
        </is>
      </c>
      <c r="T206" s="10" t="n">
        <v>0.3727685365167894</v>
      </c>
      <c r="U206" s="10" t="n">
        <v>0</v>
      </c>
      <c r="V206" s="10" t="n">
        <v>2.982148292134315</v>
      </c>
    </row>
    <row r="207">
      <c r="I207" s="8" t="inlineStr">
        <is>
          <t>ACE-10201</t>
        </is>
      </c>
      <c r="J207" s="8" t="inlineStr">
        <is>
          <t>2026-05-20 18:39:07</t>
        </is>
      </c>
      <c r="K207" s="8" t="inlineStr">
        <is>
          <t>CUST-58432</t>
        </is>
      </c>
      <c r="L207" s="9" t="inlineStr">
        <is>
          <t>USD-PKR</t>
        </is>
      </c>
      <c r="M207" s="8" t="inlineStr">
        <is>
          <t>USD</t>
        </is>
      </c>
      <c r="N207" s="10" t="n">
        <v>226.876605683564</v>
      </c>
      <c r="O207" s="11" t="n">
        <v>0.8</v>
      </c>
      <c r="P207" s="10" t="n">
        <v>181.5012845468513</v>
      </c>
      <c r="Q207" s="10" t="n">
        <v>1.6</v>
      </c>
      <c r="R207" s="12" t="n">
        <v>0.019</v>
      </c>
      <c r="S207" s="13" t="inlineStr">
        <is>
          <t>Success</t>
        </is>
      </c>
      <c r="T207" s="10" t="n">
        <v>0.2722519268202769</v>
      </c>
      <c r="U207" s="10" t="n">
        <v>0</v>
      </c>
      <c r="V207" s="10" t="n">
        <v>2.178015414562215</v>
      </c>
    </row>
    <row r="208">
      <c r="I208" s="8" t="inlineStr">
        <is>
          <t>ACE-10202</t>
        </is>
      </c>
      <c r="J208" s="8" t="inlineStr">
        <is>
          <t>2026-05-11 16:23:48</t>
        </is>
      </c>
      <c r="K208" s="8" t="inlineStr">
        <is>
          <t>CUST-59454</t>
        </is>
      </c>
      <c r="L208" s="9" t="inlineStr">
        <is>
          <t>GBP-PKR</t>
        </is>
      </c>
      <c r="M208" s="8" t="inlineStr">
        <is>
          <t>GBP</t>
        </is>
      </c>
      <c r="N208" s="10" t="n">
        <v>294.6735271276953</v>
      </c>
      <c r="O208" s="11" t="n">
        <v>1</v>
      </c>
      <c r="P208" s="10" t="n">
        <v>294.6735271276953</v>
      </c>
      <c r="Q208" s="10" t="n">
        <v>1.5</v>
      </c>
      <c r="R208" s="12" t="n">
        <v>0.021</v>
      </c>
      <c r="S208" s="13" t="inlineStr">
        <is>
          <t>Success</t>
        </is>
      </c>
      <c r="T208" s="10" t="n">
        <v>0.4420102906915429</v>
      </c>
      <c r="U208" s="10" t="n">
        <v>0</v>
      </c>
      <c r="V208" s="10" t="n">
        <v>3.536082325532343</v>
      </c>
    </row>
    <row r="209">
      <c r="I209" s="8" t="inlineStr">
        <is>
          <t>ACE-10203</t>
        </is>
      </c>
      <c r="J209" s="8" t="inlineStr">
        <is>
          <t>2026-05-17 08:02:02</t>
        </is>
      </c>
      <c r="K209" s="8" t="inlineStr">
        <is>
          <t>CUST-58980</t>
        </is>
      </c>
      <c r="L209" s="9" t="inlineStr">
        <is>
          <t>GBP-PKR</t>
        </is>
      </c>
      <c r="M209" s="8" t="inlineStr">
        <is>
          <t>GBP</t>
        </is>
      </c>
      <c r="N209" s="10" t="n">
        <v>310.4723127426706</v>
      </c>
      <c r="O209" s="11" t="n">
        <v>1</v>
      </c>
      <c r="P209" s="10" t="n">
        <v>310.4723127426706</v>
      </c>
      <c r="Q209" s="10" t="n">
        <v>1.5</v>
      </c>
      <c r="R209" s="12" t="n">
        <v>0.021</v>
      </c>
      <c r="S209" s="13" t="inlineStr">
        <is>
          <t>Success</t>
        </is>
      </c>
      <c r="T209" s="10" t="n">
        <v>0.4657084691140059</v>
      </c>
      <c r="U209" s="10" t="n">
        <v>0.9314169382280117</v>
      </c>
      <c r="V209" s="10" t="n">
        <v>3.725667752912047</v>
      </c>
    </row>
    <row r="210">
      <c r="I210" s="8" t="inlineStr">
        <is>
          <t>ACE-10204</t>
        </is>
      </c>
      <c r="J210" s="8" t="inlineStr">
        <is>
          <t>2026-05-17 15:09:38</t>
        </is>
      </c>
      <c r="K210" s="8" t="inlineStr">
        <is>
          <t>CUST-83784</t>
        </is>
      </c>
      <c r="L210" s="9" t="inlineStr">
        <is>
          <t>GBP-PKR</t>
        </is>
      </c>
      <c r="M210" s="8" t="inlineStr">
        <is>
          <t>GBP</t>
        </is>
      </c>
      <c r="N210" s="10" t="n">
        <v>309.5655331157514</v>
      </c>
      <c r="O210" s="11" t="n">
        <v>1</v>
      </c>
      <c r="P210" s="10" t="n">
        <v>309.5655331157514</v>
      </c>
      <c r="Q210" s="10" t="n">
        <v>1.5</v>
      </c>
      <c r="R210" s="12" t="n">
        <v>0.021</v>
      </c>
      <c r="S210" s="13" t="inlineStr">
        <is>
          <t>Success</t>
        </is>
      </c>
      <c r="T210" s="10" t="n">
        <v>0.464348299673627</v>
      </c>
      <c r="U210" s="10" t="n">
        <v>0.928696599347254</v>
      </c>
      <c r="V210" s="10" t="n">
        <v>3.714786397389016</v>
      </c>
    </row>
    <row r="211">
      <c r="I211" s="8" t="inlineStr">
        <is>
          <t>ACE-10205</t>
        </is>
      </c>
      <c r="J211" s="8" t="inlineStr">
        <is>
          <t>2026-05-11 10:25:39</t>
        </is>
      </c>
      <c r="K211" s="8" t="inlineStr">
        <is>
          <t>CUST-98452</t>
        </is>
      </c>
      <c r="L211" s="9" t="inlineStr">
        <is>
          <t>EUR-PKR</t>
        </is>
      </c>
      <c r="M211" s="8" t="inlineStr">
        <is>
          <t>EUR</t>
        </is>
      </c>
      <c r="N211" s="10" t="n">
        <v>164.7216591744805</v>
      </c>
      <c r="O211" s="11" t="n">
        <v>0.85</v>
      </c>
      <c r="P211" s="10" t="n">
        <v>140.0134102983084</v>
      </c>
      <c r="Q211" s="10" t="n">
        <v>1.275</v>
      </c>
      <c r="R211" s="12" t="n">
        <v>0.023</v>
      </c>
      <c r="S211" s="13" t="inlineStr">
        <is>
          <t>Success</t>
        </is>
      </c>
      <c r="T211" s="10" t="n">
        <v>0.2100201154474627</v>
      </c>
      <c r="U211" s="10" t="n">
        <v>0</v>
      </c>
      <c r="V211" s="10" t="n">
        <v>2.100201154474626</v>
      </c>
    </row>
    <row r="212">
      <c r="I212" s="8" t="inlineStr">
        <is>
          <t>ACE-10206</t>
        </is>
      </c>
      <c r="J212" s="8" t="inlineStr">
        <is>
          <t>2026-05-17 16:34:31</t>
        </is>
      </c>
      <c r="K212" s="8" t="inlineStr">
        <is>
          <t>CUST-96447</t>
        </is>
      </c>
      <c r="L212" s="9" t="inlineStr">
        <is>
          <t>GBP-PKR</t>
        </is>
      </c>
      <c r="M212" s="8" t="inlineStr">
        <is>
          <t>GBP</t>
        </is>
      </c>
      <c r="N212" s="10" t="n">
        <v>253.6631229640683</v>
      </c>
      <c r="O212" s="11" t="n">
        <v>1</v>
      </c>
      <c r="P212" s="10" t="n">
        <v>253.6631229640683</v>
      </c>
      <c r="Q212" s="10" t="n">
        <v>1.5</v>
      </c>
      <c r="R212" s="12" t="n">
        <v>0.021</v>
      </c>
      <c r="S212" s="13" t="inlineStr">
        <is>
          <t>Success</t>
        </is>
      </c>
      <c r="T212" s="10" t="n">
        <v>0.3804946844461024</v>
      </c>
      <c r="U212" s="10" t="n">
        <v>0</v>
      </c>
      <c r="V212" s="10" t="n">
        <v>3.043957475568819</v>
      </c>
    </row>
    <row r="213">
      <c r="I213" s="8" t="inlineStr">
        <is>
          <t>ACE-10207</t>
        </is>
      </c>
      <c r="J213" s="8" t="inlineStr">
        <is>
          <t>2026-05-01 13:21:43</t>
        </is>
      </c>
      <c r="K213" s="8" t="inlineStr">
        <is>
          <t>CUST-57183</t>
        </is>
      </c>
      <c r="L213" s="9" t="inlineStr">
        <is>
          <t>EUR-PKR</t>
        </is>
      </c>
      <c r="M213" s="8" t="inlineStr">
        <is>
          <t>EUR</t>
        </is>
      </c>
      <c r="N213" s="10" t="n">
        <v>199.0443369956002</v>
      </c>
      <c r="O213" s="11" t="n">
        <v>0.85</v>
      </c>
      <c r="P213" s="10" t="n">
        <v>169.1876864462602</v>
      </c>
      <c r="Q213" s="10" t="n">
        <v>1.275</v>
      </c>
      <c r="R213" s="12" t="n">
        <v>0.023</v>
      </c>
      <c r="S213" s="13" t="inlineStr">
        <is>
          <t>Success</t>
        </is>
      </c>
      <c r="T213" s="10" t="n">
        <v>0.2537815296693903</v>
      </c>
      <c r="U213" s="10" t="n">
        <v>0</v>
      </c>
      <c r="V213" s="10" t="n">
        <v>2.537815296693903</v>
      </c>
    </row>
    <row r="214">
      <c r="I214" s="8" t="inlineStr">
        <is>
          <t>ACE-10208</t>
        </is>
      </c>
      <c r="J214" s="8" t="inlineStr">
        <is>
          <t>2026-05-24 19:40:01</t>
        </is>
      </c>
      <c r="K214" s="8" t="inlineStr">
        <is>
          <t>CUST-89119</t>
        </is>
      </c>
      <c r="L214" s="9" t="inlineStr">
        <is>
          <t>GBP-PKR</t>
        </is>
      </c>
      <c r="M214" s="8" t="inlineStr">
        <is>
          <t>GBP</t>
        </is>
      </c>
      <c r="N214" s="10" t="n">
        <v>293.2918529070174</v>
      </c>
      <c r="O214" s="11" t="n">
        <v>1</v>
      </c>
      <c r="P214" s="10" t="n">
        <v>293.2918529070174</v>
      </c>
      <c r="Q214" s="10" t="n">
        <v>1.5</v>
      </c>
      <c r="R214" s="12" t="n">
        <v>0.021</v>
      </c>
      <c r="S214" s="13" t="inlineStr">
        <is>
          <t>Success</t>
        </is>
      </c>
      <c r="T214" s="10" t="n">
        <v>0.439937779360526</v>
      </c>
      <c r="U214" s="10" t="n">
        <v>0.8798755587210521</v>
      </c>
      <c r="V214" s="10" t="n">
        <v>3.519502234884208</v>
      </c>
    </row>
    <row r="215">
      <c r="I215" s="8" t="inlineStr">
        <is>
          <t>ACE-10209</t>
        </is>
      </c>
      <c r="J215" s="8" t="inlineStr">
        <is>
          <t>2026-05-19 17:14:46</t>
        </is>
      </c>
      <c r="K215" s="8" t="inlineStr">
        <is>
          <t>CUST-53365</t>
        </is>
      </c>
      <c r="L215" s="9" t="inlineStr">
        <is>
          <t>USD-PKR</t>
        </is>
      </c>
      <c r="M215" s="8" t="inlineStr">
        <is>
          <t>USD</t>
        </is>
      </c>
      <c r="N215" s="10" t="n">
        <v>230.4726764315155</v>
      </c>
      <c r="O215" s="11" t="n">
        <v>0.8</v>
      </c>
      <c r="P215" s="10" t="n">
        <v>184.3781411452125</v>
      </c>
      <c r="Q215" s="10" t="n">
        <v>1.6</v>
      </c>
      <c r="R215" s="12" t="n">
        <v>0.019</v>
      </c>
      <c r="S215" s="13" t="inlineStr">
        <is>
          <t>Success</t>
        </is>
      </c>
      <c r="T215" s="10" t="n">
        <v>0.2765672117178187</v>
      </c>
      <c r="U215" s="10" t="n">
        <v>0</v>
      </c>
      <c r="V215" s="10" t="n">
        <v>2.212537693742549</v>
      </c>
    </row>
    <row r="216">
      <c r="I216" s="8" t="inlineStr">
        <is>
          <t>ACE-10210</t>
        </is>
      </c>
      <c r="J216" s="8" t="inlineStr">
        <is>
          <t>2026-05-21 19:39:49</t>
        </is>
      </c>
      <c r="K216" s="8" t="inlineStr">
        <is>
          <t>CUST-74916</t>
        </is>
      </c>
      <c r="L216" s="9" t="inlineStr">
        <is>
          <t>GBP-PKR</t>
        </is>
      </c>
      <c r="M216" s="8" t="inlineStr">
        <is>
          <t>GBP</t>
        </is>
      </c>
      <c r="N216" s="10" t="n">
        <v>409.5515383845415</v>
      </c>
      <c r="O216" s="11" t="n">
        <v>1</v>
      </c>
      <c r="P216" s="10" t="n">
        <v>409.5515383845415</v>
      </c>
      <c r="Q216" s="10" t="n">
        <v>1.5</v>
      </c>
      <c r="R216" s="12" t="n">
        <v>0.021</v>
      </c>
      <c r="S216" s="13" t="inlineStr">
        <is>
          <t>Success</t>
        </is>
      </c>
      <c r="T216" s="10" t="n">
        <v>0.6143273075768123</v>
      </c>
      <c r="U216" s="10" t="n">
        <v>1.228654615153625</v>
      </c>
      <c r="V216" s="10" t="n">
        <v>4.914618460614498</v>
      </c>
    </row>
    <row r="217">
      <c r="I217" s="8" t="inlineStr">
        <is>
          <t>ACE-10211</t>
        </is>
      </c>
      <c r="J217" s="8" t="inlineStr">
        <is>
          <t>2026-05-02 17:44:07</t>
        </is>
      </c>
      <c r="K217" s="8" t="inlineStr">
        <is>
          <t>CUST-62503</t>
        </is>
      </c>
      <c r="L217" s="9" t="inlineStr">
        <is>
          <t>EUR-PKR</t>
        </is>
      </c>
      <c r="M217" s="8" t="inlineStr">
        <is>
          <t>EUR</t>
        </is>
      </c>
      <c r="N217" s="10" t="n">
        <v>200.1592146760227</v>
      </c>
      <c r="O217" s="11" t="n">
        <v>0.85</v>
      </c>
      <c r="P217" s="10" t="n">
        <v>170.1353324746193</v>
      </c>
      <c r="Q217" s="10" t="n">
        <v>1.275</v>
      </c>
      <c r="R217" s="12" t="n">
        <v>0.023</v>
      </c>
      <c r="S217" s="13" t="inlineStr">
        <is>
          <t>Failed</t>
        </is>
      </c>
      <c r="T217" s="10" t="n">
        <v>0</v>
      </c>
      <c r="U217" s="10" t="n">
        <v>0</v>
      </c>
      <c r="V217" s="10" t="n">
        <v>0.5</v>
      </c>
    </row>
    <row r="218">
      <c r="I218" s="8" t="inlineStr">
        <is>
          <t>ACE-10212</t>
        </is>
      </c>
      <c r="J218" s="8" t="inlineStr">
        <is>
          <t>2026-05-11 14:09:26</t>
        </is>
      </c>
      <c r="K218" s="8" t="inlineStr">
        <is>
          <t>CUST-95252</t>
        </is>
      </c>
      <c r="L218" s="9" t="inlineStr">
        <is>
          <t>GBP-PKR</t>
        </is>
      </c>
      <c r="M218" s="8" t="inlineStr">
        <is>
          <t>GBP</t>
        </is>
      </c>
      <c r="N218" s="10" t="n">
        <v>312.1070279190173</v>
      </c>
      <c r="O218" s="11" t="n">
        <v>1</v>
      </c>
      <c r="P218" s="10" t="n">
        <v>312.1070279190173</v>
      </c>
      <c r="Q218" s="10" t="n">
        <v>1.5</v>
      </c>
      <c r="R218" s="12" t="n">
        <v>0.021</v>
      </c>
      <c r="S218" s="13" t="inlineStr">
        <is>
          <t>Success</t>
        </is>
      </c>
      <c r="T218" s="10" t="n">
        <v>0.468160541878526</v>
      </c>
      <c r="U218" s="10" t="n">
        <v>0</v>
      </c>
      <c r="V218" s="10" t="n">
        <v>3.745284335028208</v>
      </c>
    </row>
    <row r="219">
      <c r="I219" s="8" t="inlineStr">
        <is>
          <t>ACE-10213</t>
        </is>
      </c>
      <c r="J219" s="8" t="inlineStr">
        <is>
          <t>2026-05-20 15:55:54</t>
        </is>
      </c>
      <c r="K219" s="8" t="inlineStr">
        <is>
          <t>CUST-98223</t>
        </is>
      </c>
      <c r="L219" s="9" t="inlineStr">
        <is>
          <t>USD-PKR</t>
        </is>
      </c>
      <c r="M219" s="8" t="inlineStr">
        <is>
          <t>USD</t>
        </is>
      </c>
      <c r="N219" s="10" t="n">
        <v>240.8146914796513</v>
      </c>
      <c r="O219" s="11" t="n">
        <v>0.8</v>
      </c>
      <c r="P219" s="10" t="n">
        <v>192.651753183721</v>
      </c>
      <c r="Q219" s="10" t="n">
        <v>1.6</v>
      </c>
      <c r="R219" s="12" t="n">
        <v>0.019</v>
      </c>
      <c r="S219" s="13" t="inlineStr">
        <is>
          <t>Success</t>
        </is>
      </c>
      <c r="T219" s="10" t="n">
        <v>0.2889776297755816</v>
      </c>
      <c r="U219" s="10" t="n">
        <v>0.5779552595511631</v>
      </c>
      <c r="V219" s="10" t="n">
        <v>2.311821038204652</v>
      </c>
    </row>
    <row r="220">
      <c r="I220" s="8" t="inlineStr">
        <is>
          <t>ACE-10214</t>
        </is>
      </c>
      <c r="J220" s="8" t="inlineStr">
        <is>
          <t>2026-05-17 11:35:20</t>
        </is>
      </c>
      <c r="K220" s="8" t="inlineStr">
        <is>
          <t>CUST-93399</t>
        </is>
      </c>
      <c r="L220" s="9" t="inlineStr">
        <is>
          <t>GBP-PKR</t>
        </is>
      </c>
      <c r="M220" s="8" t="inlineStr">
        <is>
          <t>GBP</t>
        </is>
      </c>
      <c r="N220" s="10" t="n">
        <v>297.3555997917057</v>
      </c>
      <c r="O220" s="11" t="n">
        <v>1</v>
      </c>
      <c r="P220" s="10" t="n">
        <v>297.3555997917057</v>
      </c>
      <c r="Q220" s="10" t="n">
        <v>1.5</v>
      </c>
      <c r="R220" s="12" t="n">
        <v>0.021</v>
      </c>
      <c r="S220" s="13" t="inlineStr">
        <is>
          <t>Success</t>
        </is>
      </c>
      <c r="T220" s="10" t="n">
        <v>0.4460333996875586</v>
      </c>
      <c r="U220" s="10" t="n">
        <v>0</v>
      </c>
      <c r="V220" s="10" t="n">
        <v>3.568267197500469</v>
      </c>
    </row>
    <row r="221">
      <c r="I221" s="8" t="inlineStr">
        <is>
          <t>ACE-10215</t>
        </is>
      </c>
      <c r="J221" s="8" t="inlineStr">
        <is>
          <t>2026-05-06 15:58:34</t>
        </is>
      </c>
      <c r="K221" s="8" t="inlineStr">
        <is>
          <t>CUST-72434</t>
        </is>
      </c>
      <c r="L221" s="9" t="inlineStr">
        <is>
          <t>GBP-PKR</t>
        </is>
      </c>
      <c r="M221" s="8" t="inlineStr">
        <is>
          <t>GBP</t>
        </is>
      </c>
      <c r="N221" s="10" t="n">
        <v>269.9569977456435</v>
      </c>
      <c r="O221" s="11" t="n">
        <v>1</v>
      </c>
      <c r="P221" s="10" t="n">
        <v>269.9569977456435</v>
      </c>
      <c r="Q221" s="10" t="n">
        <v>1.5</v>
      </c>
      <c r="R221" s="12" t="n">
        <v>0.021</v>
      </c>
      <c r="S221" s="13" t="inlineStr">
        <is>
          <t>Success</t>
        </is>
      </c>
      <c r="T221" s="10" t="n">
        <v>0.4049354966184653</v>
      </c>
      <c r="U221" s="10" t="n">
        <v>0.8098709932369307</v>
      </c>
      <c r="V221" s="10" t="n">
        <v>3.239483972947723</v>
      </c>
    </row>
    <row r="222">
      <c r="I222" s="8" t="inlineStr">
        <is>
          <t>ACE-10216</t>
        </is>
      </c>
      <c r="J222" s="8" t="inlineStr">
        <is>
          <t>2026-05-24 18:41:51</t>
        </is>
      </c>
      <c r="K222" s="8" t="inlineStr">
        <is>
          <t>CUST-95436</t>
        </is>
      </c>
      <c r="L222" s="9" t="inlineStr">
        <is>
          <t>USD-PKR</t>
        </is>
      </c>
      <c r="M222" s="8" t="inlineStr">
        <is>
          <t>USD</t>
        </is>
      </c>
      <c r="N222" s="10" t="n">
        <v>236.1635251841696</v>
      </c>
      <c r="O222" s="11" t="n">
        <v>0.8</v>
      </c>
      <c r="P222" s="10" t="n">
        <v>188.9308201473357</v>
      </c>
      <c r="Q222" s="10" t="n">
        <v>1.6</v>
      </c>
      <c r="R222" s="12" t="n">
        <v>0.019</v>
      </c>
      <c r="S222" s="13" t="inlineStr">
        <is>
          <t>Success</t>
        </is>
      </c>
      <c r="T222" s="10" t="n">
        <v>0.2833962302210036</v>
      </c>
      <c r="U222" s="10" t="n">
        <v>0</v>
      </c>
      <c r="V222" s="10" t="n">
        <v>2.267169841768029</v>
      </c>
    </row>
    <row r="223">
      <c r="I223" s="8" t="inlineStr">
        <is>
          <t>ACE-10217</t>
        </is>
      </c>
      <c r="J223" s="8" t="inlineStr">
        <is>
          <t>2026-05-08 12:35:19</t>
        </is>
      </c>
      <c r="K223" s="8" t="inlineStr">
        <is>
          <t>CUST-64736</t>
        </is>
      </c>
      <c r="L223" s="9" t="inlineStr">
        <is>
          <t>GBP-PKR</t>
        </is>
      </c>
      <c r="M223" s="8" t="inlineStr">
        <is>
          <t>GBP</t>
        </is>
      </c>
      <c r="N223" s="10" t="n">
        <v>257.8832805827666</v>
      </c>
      <c r="O223" s="11" t="n">
        <v>1</v>
      </c>
      <c r="P223" s="10" t="n">
        <v>257.8832805827666</v>
      </c>
      <c r="Q223" s="10" t="n">
        <v>1.5</v>
      </c>
      <c r="R223" s="12" t="n">
        <v>0.021</v>
      </c>
      <c r="S223" s="13" t="inlineStr">
        <is>
          <t>Success</t>
        </is>
      </c>
      <c r="T223" s="10" t="n">
        <v>0.38682492087415</v>
      </c>
      <c r="U223" s="10" t="n">
        <v>0.7736498417483</v>
      </c>
      <c r="V223" s="10" t="n">
        <v>3.0945993669932</v>
      </c>
    </row>
    <row r="224">
      <c r="I224" s="8" t="inlineStr">
        <is>
          <t>ACE-10218</t>
        </is>
      </c>
      <c r="J224" s="8" t="inlineStr">
        <is>
          <t>2026-05-10 19:13:44</t>
        </is>
      </c>
      <c r="K224" s="8" t="inlineStr">
        <is>
          <t>CUST-96202</t>
        </is>
      </c>
      <c r="L224" s="9" t="inlineStr">
        <is>
          <t>GBP-PKR</t>
        </is>
      </c>
      <c r="M224" s="8" t="inlineStr">
        <is>
          <t>GBP</t>
        </is>
      </c>
      <c r="N224" s="10" t="n">
        <v>272.0831566350508</v>
      </c>
      <c r="O224" s="11" t="n">
        <v>1</v>
      </c>
      <c r="P224" s="10" t="n">
        <v>272.0831566350508</v>
      </c>
      <c r="Q224" s="10" t="n">
        <v>1.5</v>
      </c>
      <c r="R224" s="12" t="n">
        <v>0.021</v>
      </c>
      <c r="S224" s="13" t="inlineStr">
        <is>
          <t>Success</t>
        </is>
      </c>
      <c r="T224" s="10" t="n">
        <v>0.4081247349525762</v>
      </c>
      <c r="U224" s="10" t="n">
        <v>0</v>
      </c>
      <c r="V224" s="10" t="n">
        <v>3.264997879620609</v>
      </c>
    </row>
    <row r="225">
      <c r="I225" s="8" t="inlineStr">
        <is>
          <t>ACE-10219</t>
        </is>
      </c>
      <c r="J225" s="8" t="inlineStr">
        <is>
          <t>2026-05-18 20:46:17</t>
        </is>
      </c>
      <c r="K225" s="8" t="inlineStr">
        <is>
          <t>CUST-68860</t>
        </is>
      </c>
      <c r="L225" s="9" t="inlineStr">
        <is>
          <t>USD-PKR</t>
        </is>
      </c>
      <c r="M225" s="8" t="inlineStr">
        <is>
          <t>USD</t>
        </is>
      </c>
      <c r="N225" s="10" t="n">
        <v>208.5317257574103</v>
      </c>
      <c r="O225" s="11" t="n">
        <v>0.8</v>
      </c>
      <c r="P225" s="10" t="n">
        <v>166.8253806059282</v>
      </c>
      <c r="Q225" s="10" t="n">
        <v>1.6</v>
      </c>
      <c r="R225" s="12" t="n">
        <v>0.019</v>
      </c>
      <c r="S225" s="13" t="inlineStr">
        <is>
          <t>Success</t>
        </is>
      </c>
      <c r="T225" s="10" t="n">
        <v>0.2502380709088923</v>
      </c>
      <c r="U225" s="10" t="n">
        <v>0.5004761418177847</v>
      </c>
      <c r="V225" s="10" t="n">
        <v>2.001904567271139</v>
      </c>
    </row>
    <row r="226">
      <c r="I226" s="8" t="inlineStr">
        <is>
          <t>ACE-10220</t>
        </is>
      </c>
      <c r="J226" s="8" t="inlineStr">
        <is>
          <t>2026-05-13 14:52:22</t>
        </is>
      </c>
      <c r="K226" s="8" t="inlineStr">
        <is>
          <t>CUST-59599</t>
        </is>
      </c>
      <c r="L226" s="9" t="inlineStr">
        <is>
          <t>GBP-PKR</t>
        </is>
      </c>
      <c r="M226" s="8" t="inlineStr">
        <is>
          <t>GBP</t>
        </is>
      </c>
      <c r="N226" s="10" t="n">
        <v>280.893899760289</v>
      </c>
      <c r="O226" s="11" t="n">
        <v>1</v>
      </c>
      <c r="P226" s="10" t="n">
        <v>280.893899760289</v>
      </c>
      <c r="Q226" s="10" t="n">
        <v>1.5</v>
      </c>
      <c r="R226" s="12" t="n">
        <v>0.021</v>
      </c>
      <c r="S226" s="13" t="inlineStr">
        <is>
          <t>Success</t>
        </is>
      </c>
      <c r="T226" s="10" t="n">
        <v>0.4213408496404335</v>
      </c>
      <c r="U226" s="10" t="n">
        <v>0</v>
      </c>
      <c r="V226" s="10" t="n">
        <v>3.370726797123468</v>
      </c>
    </row>
    <row r="227">
      <c r="I227" s="8" t="inlineStr">
        <is>
          <t>ACE-10221</t>
        </is>
      </c>
      <c r="J227" s="8" t="inlineStr">
        <is>
          <t>2026-05-23 09:22:59</t>
        </is>
      </c>
      <c r="K227" s="8" t="inlineStr">
        <is>
          <t>CUST-78991</t>
        </is>
      </c>
      <c r="L227" s="9" t="inlineStr">
        <is>
          <t>GBP-PKR</t>
        </is>
      </c>
      <c r="M227" s="8" t="inlineStr">
        <is>
          <t>GBP</t>
        </is>
      </c>
      <c r="N227" s="10" t="n">
        <v>351.1647406142492</v>
      </c>
      <c r="O227" s="11" t="n">
        <v>1</v>
      </c>
      <c r="P227" s="10" t="n">
        <v>351.1647406142492</v>
      </c>
      <c r="Q227" s="10" t="n">
        <v>1.5</v>
      </c>
      <c r="R227" s="12" t="n">
        <v>0.021</v>
      </c>
      <c r="S227" s="13" t="inlineStr">
        <is>
          <t>Success</t>
        </is>
      </c>
      <c r="T227" s="10" t="n">
        <v>0.5267471109213738</v>
      </c>
      <c r="U227" s="10" t="n">
        <v>1.053494221842748</v>
      </c>
      <c r="V227" s="10" t="n">
        <v>4.213976887370991</v>
      </c>
    </row>
    <row r="228">
      <c r="I228" s="8" t="inlineStr">
        <is>
          <t>ACE-10222</t>
        </is>
      </c>
      <c r="J228" s="8" t="inlineStr">
        <is>
          <t>2026-05-07 11:52:34</t>
        </is>
      </c>
      <c r="K228" s="8" t="inlineStr">
        <is>
          <t>CUST-67768</t>
        </is>
      </c>
      <c r="L228" s="9" t="inlineStr">
        <is>
          <t>GBP-PKR</t>
        </is>
      </c>
      <c r="M228" s="8" t="inlineStr">
        <is>
          <t>GBP</t>
        </is>
      </c>
      <c r="N228" s="10" t="n">
        <v>231.1491293695802</v>
      </c>
      <c r="O228" s="11" t="n">
        <v>1</v>
      </c>
      <c r="P228" s="10" t="n">
        <v>231.1491293695802</v>
      </c>
      <c r="Q228" s="10" t="n">
        <v>1.5</v>
      </c>
      <c r="R228" s="12" t="n">
        <v>0.021</v>
      </c>
      <c r="S228" s="13" t="inlineStr">
        <is>
          <t>Success</t>
        </is>
      </c>
      <c r="T228" s="10" t="n">
        <v>0.3467236940543703</v>
      </c>
      <c r="U228" s="10" t="n">
        <v>0.6934473881087405</v>
      </c>
      <c r="V228" s="10" t="n">
        <v>2.773789552434962</v>
      </c>
    </row>
    <row r="229">
      <c r="I229" s="8" t="inlineStr">
        <is>
          <t>ACE-10223</t>
        </is>
      </c>
      <c r="J229" s="8" t="inlineStr">
        <is>
          <t>2026-05-05 09:39:47</t>
        </is>
      </c>
      <c r="K229" s="8" t="inlineStr">
        <is>
          <t>CUST-88458</t>
        </is>
      </c>
      <c r="L229" s="9" t="inlineStr">
        <is>
          <t>GBP-PKR</t>
        </is>
      </c>
      <c r="M229" s="8" t="inlineStr">
        <is>
          <t>GBP</t>
        </is>
      </c>
      <c r="N229" s="10" t="n">
        <v>298.3942570121905</v>
      </c>
      <c r="O229" s="11" t="n">
        <v>1</v>
      </c>
      <c r="P229" s="10" t="n">
        <v>298.3942570121905</v>
      </c>
      <c r="Q229" s="10" t="n">
        <v>1.5</v>
      </c>
      <c r="R229" s="12" t="n">
        <v>0.021</v>
      </c>
      <c r="S229" s="13" t="inlineStr">
        <is>
          <t>Success</t>
        </is>
      </c>
      <c r="T229" s="10" t="n">
        <v>0.4475913855182858</v>
      </c>
      <c r="U229" s="10" t="n">
        <v>0</v>
      </c>
      <c r="V229" s="10" t="n">
        <v>3.580731084146286</v>
      </c>
    </row>
    <row r="230">
      <c r="I230" s="8" t="inlineStr">
        <is>
          <t>ACE-10224</t>
        </is>
      </c>
      <c r="J230" s="8" t="inlineStr">
        <is>
          <t>2026-05-17 11:40:14</t>
        </is>
      </c>
      <c r="K230" s="8" t="inlineStr">
        <is>
          <t>CUST-53440</t>
        </is>
      </c>
      <c r="L230" s="9" t="inlineStr">
        <is>
          <t>GBP-PKR</t>
        </is>
      </c>
      <c r="M230" s="8" t="inlineStr">
        <is>
          <t>GBP</t>
        </is>
      </c>
      <c r="N230" s="10" t="n">
        <v>237.1085412021418</v>
      </c>
      <c r="O230" s="11" t="n">
        <v>1</v>
      </c>
      <c r="P230" s="10" t="n">
        <v>237.1085412021418</v>
      </c>
      <c r="Q230" s="10" t="n">
        <v>1.5</v>
      </c>
      <c r="R230" s="12" t="n">
        <v>0.021</v>
      </c>
      <c r="S230" s="13" t="inlineStr">
        <is>
          <t>Success</t>
        </is>
      </c>
      <c r="T230" s="10" t="n">
        <v>0.3556628118032127</v>
      </c>
      <c r="U230" s="10" t="n">
        <v>0</v>
      </c>
      <c r="V230" s="10" t="n">
        <v>2.845302494425702</v>
      </c>
    </row>
    <row r="231">
      <c r="I231" s="8" t="inlineStr">
        <is>
          <t>ACE-10225</t>
        </is>
      </c>
      <c r="J231" s="8" t="inlineStr">
        <is>
          <t>2026-05-16 09:43:49</t>
        </is>
      </c>
      <c r="K231" s="8" t="inlineStr">
        <is>
          <t>CUST-59009</t>
        </is>
      </c>
      <c r="L231" s="9" t="inlineStr">
        <is>
          <t>EUR-PKR</t>
        </is>
      </c>
      <c r="M231" s="8" t="inlineStr">
        <is>
          <t>EUR</t>
        </is>
      </c>
      <c r="N231" s="10" t="n">
        <v>180.3376425225232</v>
      </c>
      <c r="O231" s="11" t="n">
        <v>0.85</v>
      </c>
      <c r="P231" s="10" t="n">
        <v>153.2869961441447</v>
      </c>
      <c r="Q231" s="10" t="n">
        <v>1.275</v>
      </c>
      <c r="R231" s="12" t="n">
        <v>0.023</v>
      </c>
      <c r="S231" s="13" t="inlineStr">
        <is>
          <t>Failed</t>
        </is>
      </c>
      <c r="T231" s="10" t="n">
        <v>0</v>
      </c>
      <c r="U231" s="10" t="n">
        <v>0</v>
      </c>
      <c r="V231" s="10" t="n">
        <v>0.5</v>
      </c>
    </row>
    <row r="232">
      <c r="I232" s="8" t="inlineStr">
        <is>
          <t>ACE-10226</t>
        </is>
      </c>
      <c r="J232" s="8" t="inlineStr">
        <is>
          <t>2026-05-18 10:26:41</t>
        </is>
      </c>
      <c r="K232" s="8" t="inlineStr">
        <is>
          <t>CUST-81175</t>
        </is>
      </c>
      <c r="L232" s="9" t="inlineStr">
        <is>
          <t>GBP-PKR</t>
        </is>
      </c>
      <c r="M232" s="8" t="inlineStr">
        <is>
          <t>GBP</t>
        </is>
      </c>
      <c r="N232" s="10" t="n">
        <v>310.6555253807174</v>
      </c>
      <c r="O232" s="11" t="n">
        <v>1</v>
      </c>
      <c r="P232" s="10" t="n">
        <v>310.6555253807174</v>
      </c>
      <c r="Q232" s="10" t="n">
        <v>1.5</v>
      </c>
      <c r="R232" s="12" t="n">
        <v>0.021</v>
      </c>
      <c r="S232" s="13" t="inlineStr">
        <is>
          <t>Success</t>
        </is>
      </c>
      <c r="T232" s="10" t="n">
        <v>0.4659832880710762</v>
      </c>
      <c r="U232" s="10" t="n">
        <v>0</v>
      </c>
      <c r="V232" s="10" t="n">
        <v>3.72786630456861</v>
      </c>
    </row>
    <row r="233">
      <c r="I233" s="8" t="inlineStr">
        <is>
          <t>ACE-10227</t>
        </is>
      </c>
      <c r="J233" s="8" t="inlineStr">
        <is>
          <t>2026-05-10 13:18:41</t>
        </is>
      </c>
      <c r="K233" s="8" t="inlineStr">
        <is>
          <t>CUST-53877</t>
        </is>
      </c>
      <c r="L233" s="9" t="inlineStr">
        <is>
          <t>GBP-PKR</t>
        </is>
      </c>
      <c r="M233" s="8" t="inlineStr">
        <is>
          <t>GBP</t>
        </is>
      </c>
      <c r="N233" s="10" t="n">
        <v>280.4001261571366</v>
      </c>
      <c r="O233" s="11" t="n">
        <v>1</v>
      </c>
      <c r="P233" s="10" t="n">
        <v>280.4001261571366</v>
      </c>
      <c r="Q233" s="10" t="n">
        <v>1.5</v>
      </c>
      <c r="R233" s="12" t="n">
        <v>0.021</v>
      </c>
      <c r="S233" s="13" t="inlineStr">
        <is>
          <t>Success</t>
        </is>
      </c>
      <c r="T233" s="10" t="n">
        <v>0.4206001892357049</v>
      </c>
      <c r="U233" s="10" t="n">
        <v>0</v>
      </c>
      <c r="V233" s="10" t="n">
        <v>3.364801513885639</v>
      </c>
    </row>
    <row r="234">
      <c r="I234" s="8" t="inlineStr">
        <is>
          <t>ACE-10228</t>
        </is>
      </c>
      <c r="J234" s="8" t="inlineStr">
        <is>
          <t>2026-05-19 11:34:47</t>
        </is>
      </c>
      <c r="K234" s="8" t="inlineStr">
        <is>
          <t>CUST-97390</t>
        </is>
      </c>
      <c r="L234" s="9" t="inlineStr">
        <is>
          <t>GBP-PKR</t>
        </is>
      </c>
      <c r="M234" s="8" t="inlineStr">
        <is>
          <t>GBP</t>
        </is>
      </c>
      <c r="N234" s="10" t="n">
        <v>250.1385902788577</v>
      </c>
      <c r="O234" s="11" t="n">
        <v>1</v>
      </c>
      <c r="P234" s="10" t="n">
        <v>250.1385902788577</v>
      </c>
      <c r="Q234" s="10" t="n">
        <v>1.5</v>
      </c>
      <c r="R234" s="12" t="n">
        <v>0.021</v>
      </c>
      <c r="S234" s="13" t="inlineStr">
        <is>
          <t>Success</t>
        </is>
      </c>
      <c r="T234" s="10" t="n">
        <v>0.3752078854182866</v>
      </c>
      <c r="U234" s="10" t="n">
        <v>0</v>
      </c>
      <c r="V234" s="10" t="n">
        <v>3.001663083346293</v>
      </c>
    </row>
    <row r="235">
      <c r="I235" s="8" t="inlineStr">
        <is>
          <t>ACE-10229</t>
        </is>
      </c>
      <c r="J235" s="8" t="inlineStr">
        <is>
          <t>2026-05-06 14:56:53</t>
        </is>
      </c>
      <c r="K235" s="8" t="inlineStr">
        <is>
          <t>CUST-61520</t>
        </is>
      </c>
      <c r="L235" s="9" t="inlineStr">
        <is>
          <t>USD-PKR</t>
        </is>
      </c>
      <c r="M235" s="8" t="inlineStr">
        <is>
          <t>USD</t>
        </is>
      </c>
      <c r="N235" s="10" t="n">
        <v>203.7914517144533</v>
      </c>
      <c r="O235" s="11" t="n">
        <v>0.8</v>
      </c>
      <c r="P235" s="10" t="n">
        <v>163.0331613715627</v>
      </c>
      <c r="Q235" s="10" t="n">
        <v>1.6</v>
      </c>
      <c r="R235" s="12" t="n">
        <v>0.019</v>
      </c>
      <c r="S235" s="13" t="inlineStr">
        <is>
          <t>Success</t>
        </is>
      </c>
      <c r="T235" s="10" t="n">
        <v>0.244549742057344</v>
      </c>
      <c r="U235" s="10" t="n">
        <v>0</v>
      </c>
      <c r="V235" s="10" t="n">
        <v>1.956397936458752</v>
      </c>
    </row>
    <row r="236">
      <c r="I236" s="8" t="inlineStr">
        <is>
          <t>ACE-10230</t>
        </is>
      </c>
      <c r="J236" s="8" t="inlineStr">
        <is>
          <t>2026-05-13 20:31:11</t>
        </is>
      </c>
      <c r="K236" s="8" t="inlineStr">
        <is>
          <t>CUST-99086</t>
        </is>
      </c>
      <c r="L236" s="9" t="inlineStr">
        <is>
          <t>GBP-PKR</t>
        </is>
      </c>
      <c r="M236" s="8" t="inlineStr">
        <is>
          <t>GBP</t>
        </is>
      </c>
      <c r="N236" s="10" t="n">
        <v>298.1955197969619</v>
      </c>
      <c r="O236" s="11" t="n">
        <v>1</v>
      </c>
      <c r="P236" s="10" t="n">
        <v>298.1955197969619</v>
      </c>
      <c r="Q236" s="10" t="n">
        <v>1.5</v>
      </c>
      <c r="R236" s="12" t="n">
        <v>0.021</v>
      </c>
      <c r="S236" s="13" t="inlineStr">
        <is>
          <t>Success</t>
        </is>
      </c>
      <c r="T236" s="10" t="n">
        <v>0.4472932796954429</v>
      </c>
      <c r="U236" s="10" t="n">
        <v>0.8945865593908858</v>
      </c>
      <c r="V236" s="10" t="n">
        <v>3.578346237563543</v>
      </c>
    </row>
    <row r="237">
      <c r="I237" s="8" t="inlineStr">
        <is>
          <t>ACE-10231</t>
        </is>
      </c>
      <c r="J237" s="8" t="inlineStr">
        <is>
          <t>2026-05-02 08:19:36</t>
        </is>
      </c>
      <c r="K237" s="8" t="inlineStr">
        <is>
          <t>CUST-89503</t>
        </is>
      </c>
      <c r="L237" s="9" t="inlineStr">
        <is>
          <t>GBP-PKR</t>
        </is>
      </c>
      <c r="M237" s="8" t="inlineStr">
        <is>
          <t>GBP</t>
        </is>
      </c>
      <c r="N237" s="10" t="n">
        <v>258.9805442099665</v>
      </c>
      <c r="O237" s="11" t="n">
        <v>1</v>
      </c>
      <c r="P237" s="10" t="n">
        <v>258.9805442099665</v>
      </c>
      <c r="Q237" s="10" t="n">
        <v>1.5</v>
      </c>
      <c r="R237" s="12" t="n">
        <v>0.021</v>
      </c>
      <c r="S237" s="13" t="inlineStr">
        <is>
          <t>Success</t>
        </is>
      </c>
      <c r="T237" s="10" t="n">
        <v>0.3884708163149498</v>
      </c>
      <c r="U237" s="10" t="n">
        <v>0.7769416326298996</v>
      </c>
      <c r="V237" s="10" t="n">
        <v>3.107766530519598</v>
      </c>
    </row>
    <row r="238">
      <c r="I238" s="8" t="inlineStr">
        <is>
          <t>ACE-10232</t>
        </is>
      </c>
      <c r="J238" s="8" t="inlineStr">
        <is>
          <t>2026-05-10 15:41:34</t>
        </is>
      </c>
      <c r="K238" s="8" t="inlineStr">
        <is>
          <t>CUST-84361</t>
        </is>
      </c>
      <c r="L238" s="9" t="inlineStr">
        <is>
          <t>EUR-PKR</t>
        </is>
      </c>
      <c r="M238" s="8" t="inlineStr">
        <is>
          <t>EUR</t>
        </is>
      </c>
      <c r="N238" s="10" t="n">
        <v>193.1891829073703</v>
      </c>
      <c r="O238" s="11" t="n">
        <v>0.85</v>
      </c>
      <c r="P238" s="10" t="n">
        <v>164.2108054712648</v>
      </c>
      <c r="Q238" s="10" t="n">
        <v>1.275</v>
      </c>
      <c r="R238" s="12" t="n">
        <v>0.023</v>
      </c>
      <c r="S238" s="13" t="inlineStr">
        <is>
          <t>Success</t>
        </is>
      </c>
      <c r="T238" s="10" t="n">
        <v>0.2463162082068971</v>
      </c>
      <c r="U238" s="10" t="n">
        <v>0.4926324164137943</v>
      </c>
      <c r="V238" s="10" t="n">
        <v>2.463162082068971</v>
      </c>
    </row>
    <row r="239">
      <c r="I239" s="8" t="inlineStr">
        <is>
          <t>ACE-10233</t>
        </is>
      </c>
      <c r="J239" s="8" t="inlineStr">
        <is>
          <t>2026-05-17 15:17:12</t>
        </is>
      </c>
      <c r="K239" s="8" t="inlineStr">
        <is>
          <t>CUST-57382</t>
        </is>
      </c>
      <c r="L239" s="9" t="inlineStr">
        <is>
          <t>GBP-PKR</t>
        </is>
      </c>
      <c r="M239" s="8" t="inlineStr">
        <is>
          <t>GBP</t>
        </is>
      </c>
      <c r="N239" s="10" t="n">
        <v>279.8760389652977</v>
      </c>
      <c r="O239" s="11" t="n">
        <v>1</v>
      </c>
      <c r="P239" s="10" t="n">
        <v>279.8760389652977</v>
      </c>
      <c r="Q239" s="10" t="n">
        <v>1.5</v>
      </c>
      <c r="R239" s="12" t="n">
        <v>0.021</v>
      </c>
      <c r="S239" s="13" t="inlineStr">
        <is>
          <t>Success</t>
        </is>
      </c>
      <c r="T239" s="10" t="n">
        <v>0.4198140584479465</v>
      </c>
      <c r="U239" s="10" t="n">
        <v>0.839628116895893</v>
      </c>
      <c r="V239" s="10" t="n">
        <v>3.358512467583572</v>
      </c>
    </row>
    <row r="240">
      <c r="I240" s="8" t="inlineStr">
        <is>
          <t>ACE-10234</t>
        </is>
      </c>
      <c r="J240" s="8" t="inlineStr">
        <is>
          <t>2026-05-21 12:45:11</t>
        </is>
      </c>
      <c r="K240" s="8" t="inlineStr">
        <is>
          <t>CUST-50923</t>
        </is>
      </c>
      <c r="L240" s="9" t="inlineStr">
        <is>
          <t>GBP-PKR</t>
        </is>
      </c>
      <c r="M240" s="8" t="inlineStr">
        <is>
          <t>GBP</t>
        </is>
      </c>
      <c r="N240" s="10" t="n">
        <v>261.0284925985525</v>
      </c>
      <c r="O240" s="11" t="n">
        <v>1</v>
      </c>
      <c r="P240" s="10" t="n">
        <v>261.0284925985525</v>
      </c>
      <c r="Q240" s="10" t="n">
        <v>1.5</v>
      </c>
      <c r="R240" s="12" t="n">
        <v>0.021</v>
      </c>
      <c r="S240" s="13" t="inlineStr">
        <is>
          <t>Success</t>
        </is>
      </c>
      <c r="T240" s="10" t="n">
        <v>0.3915427388978288</v>
      </c>
      <c r="U240" s="10" t="n">
        <v>0.7830854777956576</v>
      </c>
      <c r="V240" s="10" t="n">
        <v>3.132341911182631</v>
      </c>
    </row>
    <row r="241">
      <c r="I241" s="8" t="inlineStr">
        <is>
          <t>ACE-10235</t>
        </is>
      </c>
      <c r="J241" s="8" t="inlineStr">
        <is>
          <t>2026-05-19 18:48:12</t>
        </is>
      </c>
      <c r="K241" s="8" t="inlineStr">
        <is>
          <t>CUST-61501</t>
        </is>
      </c>
      <c r="L241" s="9" t="inlineStr">
        <is>
          <t>USD-PKR</t>
        </is>
      </c>
      <c r="M241" s="8" t="inlineStr">
        <is>
          <t>USD</t>
        </is>
      </c>
      <c r="N241" s="10" t="n">
        <v>271.2448599778994</v>
      </c>
      <c r="O241" s="11" t="n">
        <v>0.8</v>
      </c>
      <c r="P241" s="10" t="n">
        <v>216.9958879823195</v>
      </c>
      <c r="Q241" s="10" t="n">
        <v>1.6</v>
      </c>
      <c r="R241" s="12" t="n">
        <v>0.019</v>
      </c>
      <c r="S241" s="13" t="inlineStr">
        <is>
          <t>Success</t>
        </is>
      </c>
      <c r="T241" s="10" t="n">
        <v>0.3254938319734793</v>
      </c>
      <c r="U241" s="10" t="n">
        <v>0.6509876639469586</v>
      </c>
      <c r="V241" s="10" t="n">
        <v>2.603950655787834</v>
      </c>
    </row>
    <row r="242">
      <c r="I242" s="8" t="inlineStr">
        <is>
          <t>ACE-10236</t>
        </is>
      </c>
      <c r="J242" s="8" t="inlineStr">
        <is>
          <t>2026-05-13 14:32:20</t>
        </is>
      </c>
      <c r="K242" s="8" t="inlineStr">
        <is>
          <t>CUST-55684</t>
        </is>
      </c>
      <c r="L242" s="9" t="inlineStr">
        <is>
          <t>GBP-PKR</t>
        </is>
      </c>
      <c r="M242" s="8" t="inlineStr">
        <is>
          <t>GBP</t>
        </is>
      </c>
      <c r="N242" s="10" t="n">
        <v>296.8365068962231</v>
      </c>
      <c r="O242" s="11" t="n">
        <v>1</v>
      </c>
      <c r="P242" s="10" t="n">
        <v>296.8365068962231</v>
      </c>
      <c r="Q242" s="10" t="n">
        <v>1.5</v>
      </c>
      <c r="R242" s="12" t="n">
        <v>0.021</v>
      </c>
      <c r="S242" s="13" t="inlineStr">
        <is>
          <t>Success</t>
        </is>
      </c>
      <c r="T242" s="10" t="n">
        <v>0.4452547603443347</v>
      </c>
      <c r="U242" s="10" t="n">
        <v>0</v>
      </c>
      <c r="V242" s="10" t="n">
        <v>3.562038082754678</v>
      </c>
    </row>
    <row r="243">
      <c r="I243" s="8" t="inlineStr">
        <is>
          <t>ACE-10237</t>
        </is>
      </c>
      <c r="J243" s="8" t="inlineStr">
        <is>
          <t>2026-05-05 15:20:59</t>
        </is>
      </c>
      <c r="K243" s="8" t="inlineStr">
        <is>
          <t>CUST-66256</t>
        </is>
      </c>
      <c r="L243" s="9" t="inlineStr">
        <is>
          <t>USD-PKR</t>
        </is>
      </c>
      <c r="M243" s="8" t="inlineStr">
        <is>
          <t>USD</t>
        </is>
      </c>
      <c r="N243" s="10" t="n">
        <v>178.7723641165213</v>
      </c>
      <c r="O243" s="11" t="n">
        <v>0.8</v>
      </c>
      <c r="P243" s="10" t="n">
        <v>143.017891293217</v>
      </c>
      <c r="Q243" s="10" t="n">
        <v>1.6</v>
      </c>
      <c r="R243" s="12" t="n">
        <v>0.019</v>
      </c>
      <c r="S243" s="13" t="inlineStr">
        <is>
          <t>Failed</t>
        </is>
      </c>
      <c r="T243" s="10" t="n">
        <v>0</v>
      </c>
      <c r="U243" s="10" t="n">
        <v>0</v>
      </c>
      <c r="V243" s="10" t="n">
        <v>0.5</v>
      </c>
    </row>
    <row r="244">
      <c r="I244" s="8" t="inlineStr">
        <is>
          <t>ACE-10238</t>
        </is>
      </c>
      <c r="J244" s="8" t="inlineStr">
        <is>
          <t>2026-05-13 11:28:48</t>
        </is>
      </c>
      <c r="K244" s="8" t="inlineStr">
        <is>
          <t>CUST-67497</t>
        </is>
      </c>
      <c r="L244" s="9" t="inlineStr">
        <is>
          <t>GBP-PKR</t>
        </is>
      </c>
      <c r="M244" s="8" t="inlineStr">
        <is>
          <t>GBP</t>
        </is>
      </c>
      <c r="N244" s="10" t="n">
        <v>283.8469074794577</v>
      </c>
      <c r="O244" s="11" t="n">
        <v>1</v>
      </c>
      <c r="P244" s="10" t="n">
        <v>283.8469074794577</v>
      </c>
      <c r="Q244" s="10" t="n">
        <v>1.5</v>
      </c>
      <c r="R244" s="12" t="n">
        <v>0.021</v>
      </c>
      <c r="S244" s="13" t="inlineStr">
        <is>
          <t>Success</t>
        </is>
      </c>
      <c r="T244" s="10" t="n">
        <v>0.4257703612191866</v>
      </c>
      <c r="U244" s="10" t="n">
        <v>0</v>
      </c>
      <c r="V244" s="10" t="n">
        <v>3.406162889753493</v>
      </c>
    </row>
    <row r="245">
      <c r="I245" s="8" t="inlineStr">
        <is>
          <t>ACE-10239</t>
        </is>
      </c>
      <c r="J245" s="8" t="inlineStr">
        <is>
          <t>2026-05-24 17:00:16</t>
        </is>
      </c>
      <c r="K245" s="8" t="inlineStr">
        <is>
          <t>CUST-92839</t>
        </is>
      </c>
      <c r="L245" s="9" t="inlineStr">
        <is>
          <t>GBP-PKR</t>
        </is>
      </c>
      <c r="M245" s="8" t="inlineStr">
        <is>
          <t>GBP</t>
        </is>
      </c>
      <c r="N245" s="10" t="n">
        <v>260.7627412893912</v>
      </c>
      <c r="O245" s="11" t="n">
        <v>1</v>
      </c>
      <c r="P245" s="10" t="n">
        <v>260.7627412893912</v>
      </c>
      <c r="Q245" s="10" t="n">
        <v>1.5</v>
      </c>
      <c r="R245" s="12" t="n">
        <v>0.021</v>
      </c>
      <c r="S245" s="13" t="inlineStr">
        <is>
          <t>Success</t>
        </is>
      </c>
      <c r="T245" s="10" t="n">
        <v>0.3911441119340868</v>
      </c>
      <c r="U245" s="10" t="n">
        <v>0</v>
      </c>
      <c r="V245" s="10" t="n">
        <v>3.129152895472694</v>
      </c>
    </row>
    <row r="246">
      <c r="I246" s="8" t="inlineStr">
        <is>
          <t>ACE-10240</t>
        </is>
      </c>
      <c r="J246" s="8" t="inlineStr">
        <is>
          <t>2026-05-22 09:29:19</t>
        </is>
      </c>
      <c r="K246" s="8" t="inlineStr">
        <is>
          <t>CUST-60467</t>
        </is>
      </c>
      <c r="L246" s="9" t="inlineStr">
        <is>
          <t>GBP-PKR</t>
        </is>
      </c>
      <c r="M246" s="8" t="inlineStr">
        <is>
          <t>GBP</t>
        </is>
      </c>
      <c r="N246" s="10" t="n">
        <v>303.394195932946</v>
      </c>
      <c r="O246" s="11" t="n">
        <v>1</v>
      </c>
      <c r="P246" s="10" t="n">
        <v>303.394195932946</v>
      </c>
      <c r="Q246" s="10" t="n">
        <v>1.5</v>
      </c>
      <c r="R246" s="12" t="n">
        <v>0.021</v>
      </c>
      <c r="S246" s="13" t="inlineStr">
        <is>
          <t>Success</t>
        </is>
      </c>
      <c r="T246" s="10" t="n">
        <v>0.4550912938994191</v>
      </c>
      <c r="U246" s="10" t="n">
        <v>0</v>
      </c>
      <c r="V246" s="10" t="n">
        <v>3.640730351195353</v>
      </c>
    </row>
    <row r="247">
      <c r="I247" s="8" t="inlineStr">
        <is>
          <t>ACE-10241</t>
        </is>
      </c>
      <c r="J247" s="8" t="inlineStr">
        <is>
          <t>2026-05-23 20:19:44</t>
        </is>
      </c>
      <c r="K247" s="8" t="inlineStr">
        <is>
          <t>CUST-57694</t>
        </is>
      </c>
      <c r="L247" s="9" t="inlineStr">
        <is>
          <t>USD-PKR</t>
        </is>
      </c>
      <c r="M247" s="8" t="inlineStr">
        <is>
          <t>USD</t>
        </is>
      </c>
      <c r="N247" s="10" t="n">
        <v>202.2238945613077</v>
      </c>
      <c r="O247" s="11" t="n">
        <v>0.8</v>
      </c>
      <c r="P247" s="10" t="n">
        <v>161.7791156490462</v>
      </c>
      <c r="Q247" s="10" t="n">
        <v>1.6</v>
      </c>
      <c r="R247" s="12" t="n">
        <v>0.019</v>
      </c>
      <c r="S247" s="13" t="inlineStr">
        <is>
          <t>Success</t>
        </is>
      </c>
      <c r="T247" s="10" t="n">
        <v>0.2426686734735693</v>
      </c>
      <c r="U247" s="10" t="n">
        <v>0.4853373469471386</v>
      </c>
      <c r="V247" s="10" t="n">
        <v>1.941349387788554</v>
      </c>
    </row>
    <row r="248">
      <c r="I248" s="8" t="inlineStr">
        <is>
          <t>ACE-10242</t>
        </is>
      </c>
      <c r="J248" s="8" t="inlineStr">
        <is>
          <t>2026-05-12 17:14:14</t>
        </is>
      </c>
      <c r="K248" s="8" t="inlineStr">
        <is>
          <t>CUST-58753</t>
        </is>
      </c>
      <c r="L248" s="9" t="inlineStr">
        <is>
          <t>EUR-PKR</t>
        </is>
      </c>
      <c r="M248" s="8" t="inlineStr">
        <is>
          <t>EUR</t>
        </is>
      </c>
      <c r="N248" s="10" t="n">
        <v>186.8956478135946</v>
      </c>
      <c r="O248" s="11" t="n">
        <v>0.85</v>
      </c>
      <c r="P248" s="10" t="n">
        <v>158.8613006415554</v>
      </c>
      <c r="Q248" s="10" t="n">
        <v>1.275</v>
      </c>
      <c r="R248" s="12" t="n">
        <v>0.023</v>
      </c>
      <c r="S248" s="13" t="inlineStr">
        <is>
          <t>Success</t>
        </is>
      </c>
      <c r="T248" s="10" t="n">
        <v>0.2382919509623331</v>
      </c>
      <c r="U248" s="10" t="n">
        <v>0</v>
      </c>
      <c r="V248" s="10" t="n">
        <v>2.382919509623331</v>
      </c>
    </row>
    <row r="249">
      <c r="I249" s="8" t="inlineStr">
        <is>
          <t>ACE-10243</t>
        </is>
      </c>
      <c r="J249" s="8" t="inlineStr">
        <is>
          <t>2026-05-20 13:26:44</t>
        </is>
      </c>
      <c r="K249" s="8" t="inlineStr">
        <is>
          <t>CUST-85994</t>
        </is>
      </c>
      <c r="L249" s="9" t="inlineStr">
        <is>
          <t>GBP-PKR</t>
        </is>
      </c>
      <c r="M249" s="8" t="inlineStr">
        <is>
          <t>GBP</t>
        </is>
      </c>
      <c r="N249" s="10" t="n">
        <v>293.0339085226609</v>
      </c>
      <c r="O249" s="11" t="n">
        <v>1</v>
      </c>
      <c r="P249" s="10" t="n">
        <v>293.0339085226609</v>
      </c>
      <c r="Q249" s="10" t="n">
        <v>1.5</v>
      </c>
      <c r="R249" s="12" t="n">
        <v>0.021</v>
      </c>
      <c r="S249" s="13" t="inlineStr">
        <is>
          <t>Success</t>
        </is>
      </c>
      <c r="T249" s="10" t="n">
        <v>0.4395508627839913</v>
      </c>
      <c r="U249" s="10" t="n">
        <v>0.8791017255679826</v>
      </c>
      <c r="V249" s="10" t="n">
        <v>3.51640690227193</v>
      </c>
    </row>
    <row r="250">
      <c r="I250" s="8" t="inlineStr">
        <is>
          <t>ACE-10244</t>
        </is>
      </c>
      <c r="J250" s="8" t="inlineStr">
        <is>
          <t>2026-05-22 11:48:15</t>
        </is>
      </c>
      <c r="K250" s="8" t="inlineStr">
        <is>
          <t>CUST-94586</t>
        </is>
      </c>
      <c r="L250" s="9" t="inlineStr">
        <is>
          <t>GBP-PKR</t>
        </is>
      </c>
      <c r="M250" s="8" t="inlineStr">
        <is>
          <t>GBP</t>
        </is>
      </c>
      <c r="N250" s="10" t="n">
        <v>303.798642753622</v>
      </c>
      <c r="O250" s="11" t="n">
        <v>1</v>
      </c>
      <c r="P250" s="10" t="n">
        <v>303.798642753622</v>
      </c>
      <c r="Q250" s="10" t="n">
        <v>1.5</v>
      </c>
      <c r="R250" s="12" t="n">
        <v>0.021</v>
      </c>
      <c r="S250" s="13" t="inlineStr">
        <is>
          <t>Success</t>
        </is>
      </c>
      <c r="T250" s="10" t="n">
        <v>0.455697964130433</v>
      </c>
      <c r="U250" s="10" t="n">
        <v>0.911395928260866</v>
      </c>
      <c r="V250" s="10" t="n">
        <v>3.645583713043464</v>
      </c>
    </row>
    <row r="251">
      <c r="I251" s="8" t="inlineStr">
        <is>
          <t>ACE-10245</t>
        </is>
      </c>
      <c r="J251" s="8" t="inlineStr">
        <is>
          <t>2026-05-03 16:28:33</t>
        </is>
      </c>
      <c r="K251" s="8" t="inlineStr">
        <is>
          <t>CUST-96122</t>
        </is>
      </c>
      <c r="L251" s="9" t="inlineStr">
        <is>
          <t>GBP-PKR</t>
        </is>
      </c>
      <c r="M251" s="8" t="inlineStr">
        <is>
          <t>GBP</t>
        </is>
      </c>
      <c r="N251" s="10" t="n">
        <v>247.0918086395912</v>
      </c>
      <c r="O251" s="11" t="n">
        <v>1</v>
      </c>
      <c r="P251" s="10" t="n">
        <v>247.0918086395912</v>
      </c>
      <c r="Q251" s="10" t="n">
        <v>1.5</v>
      </c>
      <c r="R251" s="12" t="n">
        <v>0.021</v>
      </c>
      <c r="S251" s="13" t="inlineStr">
        <is>
          <t>Success</t>
        </is>
      </c>
      <c r="T251" s="10" t="n">
        <v>0.3706377129593869</v>
      </c>
      <c r="U251" s="10" t="n">
        <v>0.7412754259187737</v>
      </c>
      <c r="V251" s="10" t="n">
        <v>2.965101703675095</v>
      </c>
    </row>
    <row r="252">
      <c r="I252" s="8" t="inlineStr">
        <is>
          <t>ACE-10246</t>
        </is>
      </c>
      <c r="J252" s="8" t="inlineStr">
        <is>
          <t>2026-05-04 08:53:35</t>
        </is>
      </c>
      <c r="K252" s="8" t="inlineStr">
        <is>
          <t>CUST-83127</t>
        </is>
      </c>
      <c r="L252" s="9" t="inlineStr">
        <is>
          <t>GBP-PKR</t>
        </is>
      </c>
      <c r="M252" s="8" t="inlineStr">
        <is>
          <t>GBP</t>
        </is>
      </c>
      <c r="N252" s="10" t="n">
        <v>269.4383156095094</v>
      </c>
      <c r="O252" s="11" t="n">
        <v>1</v>
      </c>
      <c r="P252" s="10" t="n">
        <v>269.4383156095094</v>
      </c>
      <c r="Q252" s="10" t="n">
        <v>1.5</v>
      </c>
      <c r="R252" s="12" t="n">
        <v>0.021</v>
      </c>
      <c r="S252" s="13" t="inlineStr">
        <is>
          <t>Success</t>
        </is>
      </c>
      <c r="T252" s="10" t="n">
        <v>0.4041574734142641</v>
      </c>
      <c r="U252" s="10" t="n">
        <v>0</v>
      </c>
      <c r="V252" s="10" t="n">
        <v>3.233259787314113</v>
      </c>
    </row>
    <row r="253">
      <c r="I253" s="8" t="inlineStr">
        <is>
          <t>ACE-10247</t>
        </is>
      </c>
      <c r="J253" s="8" t="inlineStr">
        <is>
          <t>2026-05-06 13:54:33</t>
        </is>
      </c>
      <c r="K253" s="8" t="inlineStr">
        <is>
          <t>CUST-78956</t>
        </is>
      </c>
      <c r="L253" s="9" t="inlineStr">
        <is>
          <t>GBP-PKR</t>
        </is>
      </c>
      <c r="M253" s="8" t="inlineStr">
        <is>
          <t>GBP</t>
        </is>
      </c>
      <c r="N253" s="10" t="n">
        <v>265.6806628683521</v>
      </c>
      <c r="O253" s="11" t="n">
        <v>1</v>
      </c>
      <c r="P253" s="10" t="n">
        <v>265.6806628683521</v>
      </c>
      <c r="Q253" s="10" t="n">
        <v>1.5</v>
      </c>
      <c r="R253" s="12" t="n">
        <v>0.021</v>
      </c>
      <c r="S253" s="13" t="inlineStr">
        <is>
          <t>Success</t>
        </is>
      </c>
      <c r="T253" s="10" t="n">
        <v>0.3985209943025282</v>
      </c>
      <c r="U253" s="10" t="n">
        <v>0</v>
      </c>
      <c r="V253" s="10" t="n">
        <v>3.188167954420225</v>
      </c>
    </row>
    <row r="254">
      <c r="I254" s="8" t="inlineStr">
        <is>
          <t>ACE-10248</t>
        </is>
      </c>
      <c r="J254" s="8" t="inlineStr">
        <is>
          <t>2026-05-19 15:05:57</t>
        </is>
      </c>
      <c r="K254" s="8" t="inlineStr">
        <is>
          <t>CUST-83447</t>
        </is>
      </c>
      <c r="L254" s="9" t="inlineStr">
        <is>
          <t>GBP-PKR</t>
        </is>
      </c>
      <c r="M254" s="8" t="inlineStr">
        <is>
          <t>GBP</t>
        </is>
      </c>
      <c r="N254" s="10" t="n">
        <v>260.9833676757502</v>
      </c>
      <c r="O254" s="11" t="n">
        <v>1</v>
      </c>
      <c r="P254" s="10" t="n">
        <v>260.9833676757502</v>
      </c>
      <c r="Q254" s="10" t="n">
        <v>1.5</v>
      </c>
      <c r="R254" s="12" t="n">
        <v>0.021</v>
      </c>
      <c r="S254" s="13" t="inlineStr">
        <is>
          <t>Success</t>
        </is>
      </c>
      <c r="T254" s="10" t="n">
        <v>0.3914750515136253</v>
      </c>
      <c r="U254" s="10" t="n">
        <v>0</v>
      </c>
      <c r="V254" s="10" t="n">
        <v>3.131800412109003</v>
      </c>
    </row>
    <row r="255">
      <c r="I255" s="8" t="inlineStr">
        <is>
          <t>ACE-10249</t>
        </is>
      </c>
      <c r="J255" s="8" t="inlineStr">
        <is>
          <t>2026-05-05 16:26:29</t>
        </is>
      </c>
      <c r="K255" s="8" t="inlineStr">
        <is>
          <t>CUST-86956</t>
        </is>
      </c>
      <c r="L255" s="9" t="inlineStr">
        <is>
          <t>GBP-PKR</t>
        </is>
      </c>
      <c r="M255" s="8" t="inlineStr">
        <is>
          <t>GBP</t>
        </is>
      </c>
      <c r="N255" s="10" t="n">
        <v>332.3986585081273</v>
      </c>
      <c r="O255" s="11" t="n">
        <v>1</v>
      </c>
      <c r="P255" s="10" t="n">
        <v>332.3986585081273</v>
      </c>
      <c r="Q255" s="10" t="n">
        <v>1.5</v>
      </c>
      <c r="R255" s="12" t="n">
        <v>0.021</v>
      </c>
      <c r="S255" s="13" t="inlineStr">
        <is>
          <t>Success</t>
        </is>
      </c>
      <c r="T255" s="10" t="n">
        <v>0.4985979877621909</v>
      </c>
      <c r="U255" s="10" t="n">
        <v>0</v>
      </c>
      <c r="V255" s="10" t="n">
        <v>3.988783902097527</v>
      </c>
    </row>
    <row r="256">
      <c r="I256" s="8" t="inlineStr">
        <is>
          <t>ACE-10250</t>
        </is>
      </c>
      <c r="J256" s="8" t="inlineStr">
        <is>
          <t>2026-05-10 19:01:25</t>
        </is>
      </c>
      <c r="K256" s="8" t="inlineStr">
        <is>
          <t>CUST-66676</t>
        </is>
      </c>
      <c r="L256" s="9" t="inlineStr">
        <is>
          <t>GBP-PKR</t>
        </is>
      </c>
      <c r="M256" s="8" t="inlineStr">
        <is>
          <t>GBP</t>
        </is>
      </c>
      <c r="N256" s="10" t="n">
        <v>290.1180108774101</v>
      </c>
      <c r="O256" s="11" t="n">
        <v>1</v>
      </c>
      <c r="P256" s="10" t="n">
        <v>290.1180108774101</v>
      </c>
      <c r="Q256" s="10" t="n">
        <v>1.5</v>
      </c>
      <c r="R256" s="12" t="n">
        <v>0.021</v>
      </c>
      <c r="S256" s="13" t="inlineStr">
        <is>
          <t>Success</t>
        </is>
      </c>
      <c r="T256" s="10" t="n">
        <v>0.4351770163161152</v>
      </c>
      <c r="U256" s="10" t="n">
        <v>0.8703540326322303</v>
      </c>
      <c r="V256" s="10" t="n">
        <v>3.481416130528921</v>
      </c>
    </row>
    <row r="257">
      <c r="I257" s="8" t="inlineStr">
        <is>
          <t>ACE-10251</t>
        </is>
      </c>
      <c r="J257" s="8" t="inlineStr">
        <is>
          <t>2026-05-19 09:02:27</t>
        </is>
      </c>
      <c r="K257" s="8" t="inlineStr">
        <is>
          <t>CUST-72579</t>
        </is>
      </c>
      <c r="L257" s="9" t="inlineStr">
        <is>
          <t>GBP-PKR</t>
        </is>
      </c>
      <c r="M257" s="8" t="inlineStr">
        <is>
          <t>GBP</t>
        </is>
      </c>
      <c r="N257" s="10" t="n">
        <v>245.5992660163499</v>
      </c>
      <c r="O257" s="11" t="n">
        <v>1</v>
      </c>
      <c r="P257" s="10" t="n">
        <v>245.5992660163499</v>
      </c>
      <c r="Q257" s="10" t="n">
        <v>1.5</v>
      </c>
      <c r="R257" s="12" t="n">
        <v>0.021</v>
      </c>
      <c r="S257" s="13" t="inlineStr">
        <is>
          <t>Success</t>
        </is>
      </c>
      <c r="T257" s="10" t="n">
        <v>0.3683988990245249</v>
      </c>
      <c r="U257" s="10" t="n">
        <v>0</v>
      </c>
      <c r="V257" s="10" t="n">
        <v>2.947191192196199</v>
      </c>
    </row>
    <row r="258">
      <c r="I258" s="8" t="inlineStr">
        <is>
          <t>ACE-10252</t>
        </is>
      </c>
      <c r="J258" s="8" t="inlineStr">
        <is>
          <t>2026-05-02 09:59:30</t>
        </is>
      </c>
      <c r="K258" s="8" t="inlineStr">
        <is>
          <t>CUST-52079</t>
        </is>
      </c>
      <c r="L258" s="9" t="inlineStr">
        <is>
          <t>GBP-PKR</t>
        </is>
      </c>
      <c r="M258" s="8" t="inlineStr">
        <is>
          <t>GBP</t>
        </is>
      </c>
      <c r="N258" s="10" t="n">
        <v>305.3857702460651</v>
      </c>
      <c r="O258" s="11" t="n">
        <v>1</v>
      </c>
      <c r="P258" s="10" t="n">
        <v>305.3857702460651</v>
      </c>
      <c r="Q258" s="10" t="n">
        <v>1.5</v>
      </c>
      <c r="R258" s="12" t="n">
        <v>0.021</v>
      </c>
      <c r="S258" s="13" t="inlineStr">
        <is>
          <t>Success</t>
        </is>
      </c>
      <c r="T258" s="10" t="n">
        <v>0.4580786553690976</v>
      </c>
      <c r="U258" s="10" t="n">
        <v>0</v>
      </c>
      <c r="V258" s="10" t="n">
        <v>3.664629242952781</v>
      </c>
    </row>
    <row r="259">
      <c r="I259" s="8" t="inlineStr">
        <is>
          <t>ACE-10253</t>
        </is>
      </c>
      <c r="J259" s="8" t="inlineStr">
        <is>
          <t>2026-05-05 20:41:46</t>
        </is>
      </c>
      <c r="K259" s="8" t="inlineStr">
        <is>
          <t>CUST-92328</t>
        </is>
      </c>
      <c r="L259" s="9" t="inlineStr">
        <is>
          <t>GBP-PKR</t>
        </is>
      </c>
      <c r="M259" s="8" t="inlineStr">
        <is>
          <t>GBP</t>
        </is>
      </c>
      <c r="N259" s="10" t="n">
        <v>344.4693864778824</v>
      </c>
      <c r="O259" s="11" t="n">
        <v>1</v>
      </c>
      <c r="P259" s="10" t="n">
        <v>344.4693864778824</v>
      </c>
      <c r="Q259" s="10" t="n">
        <v>1.5</v>
      </c>
      <c r="R259" s="12" t="n">
        <v>0.021</v>
      </c>
      <c r="S259" s="13" t="inlineStr">
        <is>
          <t>Success</t>
        </is>
      </c>
      <c r="T259" s="10" t="n">
        <v>0.5167040797168235</v>
      </c>
      <c r="U259" s="10" t="n">
        <v>0</v>
      </c>
      <c r="V259" s="10" t="n">
        <v>4.133632637734588</v>
      </c>
    </row>
    <row r="260">
      <c r="I260" s="8" t="inlineStr">
        <is>
          <t>ACE-10254</t>
        </is>
      </c>
      <c r="J260" s="8" t="inlineStr">
        <is>
          <t>2026-05-13 15:55:58</t>
        </is>
      </c>
      <c r="K260" s="8" t="inlineStr">
        <is>
          <t>CUST-74739</t>
        </is>
      </c>
      <c r="L260" s="9" t="inlineStr">
        <is>
          <t>GBP-PKR</t>
        </is>
      </c>
      <c r="M260" s="8" t="inlineStr">
        <is>
          <t>GBP</t>
        </is>
      </c>
      <c r="N260" s="10" t="n">
        <v>308.9057237537452</v>
      </c>
      <c r="O260" s="11" t="n">
        <v>1</v>
      </c>
      <c r="P260" s="10" t="n">
        <v>308.9057237537452</v>
      </c>
      <c r="Q260" s="10" t="n">
        <v>1.5</v>
      </c>
      <c r="R260" s="12" t="n">
        <v>0.021</v>
      </c>
      <c r="S260" s="13" t="inlineStr">
        <is>
          <t>Success</t>
        </is>
      </c>
      <c r="T260" s="10" t="n">
        <v>0.4633585856306179</v>
      </c>
      <c r="U260" s="10" t="n">
        <v>0.9267171712612358</v>
      </c>
      <c r="V260" s="10" t="n">
        <v>3.706868685044943</v>
      </c>
    </row>
    <row r="261">
      <c r="I261" s="8" t="inlineStr">
        <is>
          <t>ACE-10255</t>
        </is>
      </c>
      <c r="J261" s="8" t="inlineStr">
        <is>
          <t>2026-05-22 16:08:41</t>
        </is>
      </c>
      <c r="K261" s="8" t="inlineStr">
        <is>
          <t>CUST-72791</t>
        </is>
      </c>
      <c r="L261" s="9" t="inlineStr">
        <is>
          <t>GBP-PKR</t>
        </is>
      </c>
      <c r="M261" s="8" t="inlineStr">
        <is>
          <t>GBP</t>
        </is>
      </c>
      <c r="N261" s="10" t="n">
        <v>239.3322147383144</v>
      </c>
      <c r="O261" s="11" t="n">
        <v>1</v>
      </c>
      <c r="P261" s="10" t="n">
        <v>239.3322147383144</v>
      </c>
      <c r="Q261" s="10" t="n">
        <v>1.5</v>
      </c>
      <c r="R261" s="12" t="n">
        <v>0.021</v>
      </c>
      <c r="S261" s="13" t="inlineStr">
        <is>
          <t>Success</t>
        </is>
      </c>
      <c r="T261" s="10" t="n">
        <v>0.3589983221074716</v>
      </c>
      <c r="U261" s="10" t="n">
        <v>0.7179966442149431</v>
      </c>
      <c r="V261" s="10" t="n">
        <v>2.871986576859773</v>
      </c>
    </row>
    <row r="262">
      <c r="I262" s="8" t="inlineStr">
        <is>
          <t>ACE-10256</t>
        </is>
      </c>
      <c r="J262" s="8" t="inlineStr">
        <is>
          <t>2026-05-13 16:08:46</t>
        </is>
      </c>
      <c r="K262" s="8" t="inlineStr">
        <is>
          <t>CUST-64594</t>
        </is>
      </c>
      <c r="L262" s="9" t="inlineStr">
        <is>
          <t>GBP-PKR</t>
        </is>
      </c>
      <c r="M262" s="8" t="inlineStr">
        <is>
          <t>GBP</t>
        </is>
      </c>
      <c r="N262" s="10" t="n">
        <v>265.4339930122546</v>
      </c>
      <c r="O262" s="11" t="n">
        <v>1</v>
      </c>
      <c r="P262" s="10" t="n">
        <v>265.4339930122546</v>
      </c>
      <c r="Q262" s="10" t="n">
        <v>1.5</v>
      </c>
      <c r="R262" s="12" t="n">
        <v>0.021</v>
      </c>
      <c r="S262" s="13" t="inlineStr">
        <is>
          <t>Success</t>
        </is>
      </c>
      <c r="T262" s="10" t="n">
        <v>0.3981509895183818</v>
      </c>
      <c r="U262" s="10" t="n">
        <v>0.7963019790367637</v>
      </c>
      <c r="V262" s="10" t="n">
        <v>3.185207916147055</v>
      </c>
    </row>
    <row r="263">
      <c r="I263" s="8" t="inlineStr">
        <is>
          <t>ACE-10257</t>
        </is>
      </c>
      <c r="J263" s="8" t="inlineStr">
        <is>
          <t>2026-05-10 15:43:46</t>
        </is>
      </c>
      <c r="K263" s="8" t="inlineStr">
        <is>
          <t>CUST-85680</t>
        </is>
      </c>
      <c r="L263" s="9" t="inlineStr">
        <is>
          <t>GBP-PKR</t>
        </is>
      </c>
      <c r="M263" s="8" t="inlineStr">
        <is>
          <t>GBP</t>
        </is>
      </c>
      <c r="N263" s="10" t="n">
        <v>316.2334536149783</v>
      </c>
      <c r="O263" s="11" t="n">
        <v>1</v>
      </c>
      <c r="P263" s="10" t="n">
        <v>316.2334536149783</v>
      </c>
      <c r="Q263" s="10" t="n">
        <v>1.5</v>
      </c>
      <c r="R263" s="12" t="n">
        <v>0.021</v>
      </c>
      <c r="S263" s="13" t="inlineStr">
        <is>
          <t>Success</t>
        </is>
      </c>
      <c r="T263" s="10" t="n">
        <v>0.4743501804224675</v>
      </c>
      <c r="U263" s="10" t="n">
        <v>0</v>
      </c>
      <c r="V263" s="10" t="n">
        <v>3.79480144337974</v>
      </c>
    </row>
    <row r="264">
      <c r="I264" s="8" t="inlineStr">
        <is>
          <t>ACE-10258</t>
        </is>
      </c>
      <c r="J264" s="8" t="inlineStr">
        <is>
          <t>2026-05-08 11:29:22</t>
        </is>
      </c>
      <c r="K264" s="8" t="inlineStr">
        <is>
          <t>CUST-60166</t>
        </is>
      </c>
      <c r="L264" s="9" t="inlineStr">
        <is>
          <t>GBP-PKR</t>
        </is>
      </c>
      <c r="M264" s="8" t="inlineStr">
        <is>
          <t>GBP</t>
        </is>
      </c>
      <c r="N264" s="10" t="n">
        <v>259.5690242416005</v>
      </c>
      <c r="O264" s="11" t="n">
        <v>1</v>
      </c>
      <c r="P264" s="10" t="n">
        <v>259.5690242416005</v>
      </c>
      <c r="Q264" s="10" t="n">
        <v>1.5</v>
      </c>
      <c r="R264" s="12" t="n">
        <v>0.021</v>
      </c>
      <c r="S264" s="13" t="inlineStr">
        <is>
          <t>Success</t>
        </is>
      </c>
      <c r="T264" s="10" t="n">
        <v>0.3893535363624007</v>
      </c>
      <c r="U264" s="10" t="n">
        <v>0.7787070727248014</v>
      </c>
      <c r="V264" s="10" t="n">
        <v>3.114828290899206</v>
      </c>
    </row>
    <row r="265">
      <c r="I265" s="8" t="inlineStr">
        <is>
          <t>ACE-10259</t>
        </is>
      </c>
      <c r="J265" s="8" t="inlineStr">
        <is>
          <t>2026-05-24 20:07:02</t>
        </is>
      </c>
      <c r="K265" s="8" t="inlineStr">
        <is>
          <t>CUST-93266</t>
        </is>
      </c>
      <c r="L265" s="9" t="inlineStr">
        <is>
          <t>USD-PKR</t>
        </is>
      </c>
      <c r="M265" s="8" t="inlineStr">
        <is>
          <t>USD</t>
        </is>
      </c>
      <c r="N265" s="10" t="n">
        <v>228.8368923205034</v>
      </c>
      <c r="O265" s="11" t="n">
        <v>0.8</v>
      </c>
      <c r="P265" s="10" t="n">
        <v>183.0695138564028</v>
      </c>
      <c r="Q265" s="10" t="n">
        <v>1.6</v>
      </c>
      <c r="R265" s="12" t="n">
        <v>0.019</v>
      </c>
      <c r="S265" s="13" t="inlineStr">
        <is>
          <t>Success</t>
        </is>
      </c>
      <c r="T265" s="10" t="n">
        <v>0.2746042707846041</v>
      </c>
      <c r="U265" s="10" t="n">
        <v>0.5492085415692083</v>
      </c>
      <c r="V265" s="10" t="n">
        <v>2.196834166276833</v>
      </c>
    </row>
    <row r="266">
      <c r="I266" s="8" t="inlineStr">
        <is>
          <t>ACE-10260</t>
        </is>
      </c>
      <c r="J266" s="8" t="inlineStr">
        <is>
          <t>2026-05-01 11:13:04</t>
        </is>
      </c>
      <c r="K266" s="8" t="inlineStr">
        <is>
          <t>CUST-56612</t>
        </is>
      </c>
      <c r="L266" s="9" t="inlineStr">
        <is>
          <t>GBP-PKR</t>
        </is>
      </c>
      <c r="M266" s="8" t="inlineStr">
        <is>
          <t>GBP</t>
        </is>
      </c>
      <c r="N266" s="10" t="n">
        <v>301.0429689394565</v>
      </c>
      <c r="O266" s="11" t="n">
        <v>1</v>
      </c>
      <c r="P266" s="10" t="n">
        <v>301.0429689394565</v>
      </c>
      <c r="Q266" s="10" t="n">
        <v>1.5</v>
      </c>
      <c r="R266" s="12" t="n">
        <v>0.021</v>
      </c>
      <c r="S266" s="13" t="inlineStr">
        <is>
          <t>Success</t>
        </is>
      </c>
      <c r="T266" s="10" t="n">
        <v>0.4515644534091848</v>
      </c>
      <c r="U266" s="10" t="n">
        <v>0</v>
      </c>
      <c r="V266" s="10" t="n">
        <v>3.612515627273478</v>
      </c>
    </row>
    <row r="267">
      <c r="I267" s="8" t="inlineStr">
        <is>
          <t>ACE-10261</t>
        </is>
      </c>
      <c r="J267" s="8" t="inlineStr">
        <is>
          <t>2026-05-22 19:55:03</t>
        </is>
      </c>
      <c r="K267" s="8" t="inlineStr">
        <is>
          <t>CUST-66038</t>
        </is>
      </c>
      <c r="L267" s="9" t="inlineStr">
        <is>
          <t>USD-PKR</t>
        </is>
      </c>
      <c r="M267" s="8" t="inlineStr">
        <is>
          <t>USD</t>
        </is>
      </c>
      <c r="N267" s="10" t="n">
        <v>199.5239938842526</v>
      </c>
      <c r="O267" s="11" t="n">
        <v>0.8</v>
      </c>
      <c r="P267" s="10" t="n">
        <v>159.6191951074021</v>
      </c>
      <c r="Q267" s="10" t="n">
        <v>1.6</v>
      </c>
      <c r="R267" s="12" t="n">
        <v>0.019</v>
      </c>
      <c r="S267" s="13" t="inlineStr">
        <is>
          <t>Success</t>
        </is>
      </c>
      <c r="T267" s="10" t="n">
        <v>0.2394287926611031</v>
      </c>
      <c r="U267" s="10" t="n">
        <v>0</v>
      </c>
      <c r="V267" s="10" t="n">
        <v>1.915430341288825</v>
      </c>
    </row>
    <row r="268">
      <c r="I268" s="8" t="inlineStr">
        <is>
          <t>ACE-10262</t>
        </is>
      </c>
      <c r="J268" s="8" t="inlineStr">
        <is>
          <t>2026-05-08 16:13:48</t>
        </is>
      </c>
      <c r="K268" s="8" t="inlineStr">
        <is>
          <t>CUST-53699</t>
        </is>
      </c>
      <c r="L268" s="9" t="inlineStr">
        <is>
          <t>GBP-PKR</t>
        </is>
      </c>
      <c r="M268" s="8" t="inlineStr">
        <is>
          <t>GBP</t>
        </is>
      </c>
      <c r="N268" s="10" t="n">
        <v>276.9500230101028</v>
      </c>
      <c r="O268" s="11" t="n">
        <v>1</v>
      </c>
      <c r="P268" s="10" t="n">
        <v>276.9500230101028</v>
      </c>
      <c r="Q268" s="10" t="n">
        <v>1.5</v>
      </c>
      <c r="R268" s="12" t="n">
        <v>0.021</v>
      </c>
      <c r="S268" s="13" t="inlineStr">
        <is>
          <t>Success</t>
        </is>
      </c>
      <c r="T268" s="10" t="n">
        <v>0.4154250345151542</v>
      </c>
      <c r="U268" s="10" t="n">
        <v>0.8308500690303084</v>
      </c>
      <c r="V268" s="10" t="n">
        <v>3.323400276121234</v>
      </c>
    </row>
    <row r="269">
      <c r="I269" s="8" t="inlineStr">
        <is>
          <t>ACE-10263</t>
        </is>
      </c>
      <c r="J269" s="8" t="inlineStr">
        <is>
          <t>2026-05-08 19:36:20</t>
        </is>
      </c>
      <c r="K269" s="8" t="inlineStr">
        <is>
          <t>CUST-87845</t>
        </is>
      </c>
      <c r="L269" s="9" t="inlineStr">
        <is>
          <t>USD-PKR</t>
        </is>
      </c>
      <c r="M269" s="8" t="inlineStr">
        <is>
          <t>USD</t>
        </is>
      </c>
      <c r="N269" s="10" t="n">
        <v>158.3014002422716</v>
      </c>
      <c r="O269" s="11" t="n">
        <v>0.8</v>
      </c>
      <c r="P269" s="10" t="n">
        <v>126.6411201938173</v>
      </c>
      <c r="Q269" s="10" t="n">
        <v>1.6</v>
      </c>
      <c r="R269" s="12" t="n">
        <v>0.019</v>
      </c>
      <c r="S269" s="13" t="inlineStr">
        <is>
          <t>Success</t>
        </is>
      </c>
      <c r="T269" s="10" t="n">
        <v>0.1899616802907259</v>
      </c>
      <c r="U269" s="10" t="n">
        <v>0.3799233605814518</v>
      </c>
      <c r="V269" s="10" t="n">
        <v>1.519693442325807</v>
      </c>
    </row>
    <row r="270">
      <c r="I270" s="8" t="inlineStr">
        <is>
          <t>ACE-10264</t>
        </is>
      </c>
      <c r="J270" s="8" t="inlineStr">
        <is>
          <t>2026-05-11 11:19:56</t>
        </is>
      </c>
      <c r="K270" s="8" t="inlineStr">
        <is>
          <t>CUST-59388</t>
        </is>
      </c>
      <c r="L270" s="9" t="inlineStr">
        <is>
          <t>GBP-PKR</t>
        </is>
      </c>
      <c r="M270" s="8" t="inlineStr">
        <is>
          <t>GBP</t>
        </is>
      </c>
      <c r="N270" s="10" t="n">
        <v>251.4768252160511</v>
      </c>
      <c r="O270" s="11" t="n">
        <v>1</v>
      </c>
      <c r="P270" s="10" t="n">
        <v>251.4768252160511</v>
      </c>
      <c r="Q270" s="10" t="n">
        <v>1.5</v>
      </c>
      <c r="R270" s="12" t="n">
        <v>0.021</v>
      </c>
      <c r="S270" s="13" t="inlineStr">
        <is>
          <t>Success</t>
        </is>
      </c>
      <c r="T270" s="10" t="n">
        <v>0.3772152378240767</v>
      </c>
      <c r="U270" s="10" t="n">
        <v>0</v>
      </c>
      <c r="V270" s="10" t="n">
        <v>3.017721902592613</v>
      </c>
    </row>
    <row r="271">
      <c r="I271" s="8" t="inlineStr">
        <is>
          <t>ACE-10265</t>
        </is>
      </c>
      <c r="J271" s="8" t="inlineStr">
        <is>
          <t>2026-05-14 12:17:03</t>
        </is>
      </c>
      <c r="K271" s="8" t="inlineStr">
        <is>
          <t>CUST-86485</t>
        </is>
      </c>
      <c r="L271" s="9" t="inlineStr">
        <is>
          <t>GBP-PKR</t>
        </is>
      </c>
      <c r="M271" s="8" t="inlineStr">
        <is>
          <t>GBP</t>
        </is>
      </c>
      <c r="N271" s="10" t="n">
        <v>271.6549753241134</v>
      </c>
      <c r="O271" s="11" t="n">
        <v>1</v>
      </c>
      <c r="P271" s="10" t="n">
        <v>271.6549753241134</v>
      </c>
      <c r="Q271" s="10" t="n">
        <v>1.5</v>
      </c>
      <c r="R271" s="12" t="n">
        <v>0.021</v>
      </c>
      <c r="S271" s="13" t="inlineStr">
        <is>
          <t>Success</t>
        </is>
      </c>
      <c r="T271" s="10" t="n">
        <v>0.4074824629861701</v>
      </c>
      <c r="U271" s="10" t="n">
        <v>0.8149649259723402</v>
      </c>
      <c r="V271" s="10" t="n">
        <v>3.259859703889361</v>
      </c>
    </row>
    <row r="272">
      <c r="I272" s="8" t="inlineStr">
        <is>
          <t>ACE-10266</t>
        </is>
      </c>
      <c r="J272" s="8" t="inlineStr">
        <is>
          <t>2026-05-06 18:43:27</t>
        </is>
      </c>
      <c r="K272" s="8" t="inlineStr">
        <is>
          <t>CUST-86428</t>
        </is>
      </c>
      <c r="L272" s="9" t="inlineStr">
        <is>
          <t>USD-PKR</t>
        </is>
      </c>
      <c r="M272" s="8" t="inlineStr">
        <is>
          <t>USD</t>
        </is>
      </c>
      <c r="N272" s="10" t="n">
        <v>193.2238242609366</v>
      </c>
      <c r="O272" s="11" t="n">
        <v>0.8</v>
      </c>
      <c r="P272" s="10" t="n">
        <v>154.5790594087493</v>
      </c>
      <c r="Q272" s="10" t="n">
        <v>1.6</v>
      </c>
      <c r="R272" s="12" t="n">
        <v>0.019</v>
      </c>
      <c r="S272" s="13" t="inlineStr">
        <is>
          <t>Success</t>
        </is>
      </c>
      <c r="T272" s="10" t="n">
        <v>0.2318685891131239</v>
      </c>
      <c r="U272" s="10" t="n">
        <v>0.4637371782262479</v>
      </c>
      <c r="V272" s="10" t="n">
        <v>1.854948712904992</v>
      </c>
    </row>
    <row r="273">
      <c r="I273" s="8" t="inlineStr">
        <is>
          <t>ACE-10267</t>
        </is>
      </c>
      <c r="J273" s="8" t="inlineStr">
        <is>
          <t>2026-05-21 18:24:50</t>
        </is>
      </c>
      <c r="K273" s="8" t="inlineStr">
        <is>
          <t>CUST-84371</t>
        </is>
      </c>
      <c r="L273" s="9" t="inlineStr">
        <is>
          <t>GBP-PKR</t>
        </is>
      </c>
      <c r="M273" s="8" t="inlineStr">
        <is>
          <t>GBP</t>
        </is>
      </c>
      <c r="N273" s="10" t="n">
        <v>328.005617106569</v>
      </c>
      <c r="O273" s="11" t="n">
        <v>1</v>
      </c>
      <c r="P273" s="10" t="n">
        <v>328.005617106569</v>
      </c>
      <c r="Q273" s="10" t="n">
        <v>1.5</v>
      </c>
      <c r="R273" s="12" t="n">
        <v>0.021</v>
      </c>
      <c r="S273" s="13" t="inlineStr">
        <is>
          <t>Success</t>
        </is>
      </c>
      <c r="T273" s="10" t="n">
        <v>0.4920084256598535</v>
      </c>
      <c r="U273" s="10" t="n">
        <v>0</v>
      </c>
      <c r="V273" s="10" t="n">
        <v>3.936067405278828</v>
      </c>
    </row>
    <row r="274">
      <c r="I274" s="8" t="inlineStr">
        <is>
          <t>ACE-10268</t>
        </is>
      </c>
      <c r="J274" s="8" t="inlineStr">
        <is>
          <t>2026-05-05 12:24:11</t>
        </is>
      </c>
      <c r="K274" s="8" t="inlineStr">
        <is>
          <t>CUST-99441</t>
        </is>
      </c>
      <c r="L274" s="9" t="inlineStr">
        <is>
          <t>GBP-PKR</t>
        </is>
      </c>
      <c r="M274" s="8" t="inlineStr">
        <is>
          <t>GBP</t>
        </is>
      </c>
      <c r="N274" s="10" t="n">
        <v>241.4772982028437</v>
      </c>
      <c r="O274" s="11" t="n">
        <v>1</v>
      </c>
      <c r="P274" s="10" t="n">
        <v>241.4772982028437</v>
      </c>
      <c r="Q274" s="10" t="n">
        <v>1.5</v>
      </c>
      <c r="R274" s="12" t="n">
        <v>0.021</v>
      </c>
      <c r="S274" s="13" t="inlineStr">
        <is>
          <t>Success</t>
        </is>
      </c>
      <c r="T274" s="10" t="n">
        <v>0.3622159473042656</v>
      </c>
      <c r="U274" s="10" t="n">
        <v>0</v>
      </c>
      <c r="V274" s="10" t="n">
        <v>2.897727578434125</v>
      </c>
    </row>
    <row r="275">
      <c r="I275" s="8" t="inlineStr">
        <is>
          <t>ACE-10269</t>
        </is>
      </c>
      <c r="J275" s="8" t="inlineStr">
        <is>
          <t>2026-05-08 12:54:45</t>
        </is>
      </c>
      <c r="K275" s="8" t="inlineStr">
        <is>
          <t>CUST-59460</t>
        </is>
      </c>
      <c r="L275" s="9" t="inlineStr">
        <is>
          <t>EUR-PKR</t>
        </is>
      </c>
      <c r="M275" s="8" t="inlineStr">
        <is>
          <t>EUR</t>
        </is>
      </c>
      <c r="N275" s="10" t="n">
        <v>180.9136098160318</v>
      </c>
      <c r="O275" s="11" t="n">
        <v>0.85</v>
      </c>
      <c r="P275" s="10" t="n">
        <v>153.776568343627</v>
      </c>
      <c r="Q275" s="10" t="n">
        <v>1.275</v>
      </c>
      <c r="R275" s="12" t="n">
        <v>0.023</v>
      </c>
      <c r="S275" s="13" t="inlineStr">
        <is>
          <t>Success</t>
        </is>
      </c>
      <c r="T275" s="10" t="n">
        <v>0.2306648525154405</v>
      </c>
      <c r="U275" s="10" t="n">
        <v>0.4613297050308811</v>
      </c>
      <c r="V275" s="10" t="n">
        <v>2.306648525154405</v>
      </c>
    </row>
    <row r="276">
      <c r="I276" s="8" t="inlineStr">
        <is>
          <t>ACE-10270</t>
        </is>
      </c>
      <c r="J276" s="8" t="inlineStr">
        <is>
          <t>2026-05-18 14:26:35</t>
        </is>
      </c>
      <c r="K276" s="8" t="inlineStr">
        <is>
          <t>CUST-84733</t>
        </is>
      </c>
      <c r="L276" s="9" t="inlineStr">
        <is>
          <t>GBP-PKR</t>
        </is>
      </c>
      <c r="M276" s="8" t="inlineStr">
        <is>
          <t>GBP</t>
        </is>
      </c>
      <c r="N276" s="10" t="n">
        <v>282.2698874338724</v>
      </c>
      <c r="O276" s="11" t="n">
        <v>1</v>
      </c>
      <c r="P276" s="10" t="n">
        <v>282.2698874338724</v>
      </c>
      <c r="Q276" s="10" t="n">
        <v>1.5</v>
      </c>
      <c r="R276" s="12" t="n">
        <v>0.021</v>
      </c>
      <c r="S276" s="13" t="inlineStr">
        <is>
          <t>Success</t>
        </is>
      </c>
      <c r="T276" s="10" t="n">
        <v>0.4234048311508087</v>
      </c>
      <c r="U276" s="10" t="n">
        <v>0</v>
      </c>
      <c r="V276" s="10" t="n">
        <v>3.387238649206469</v>
      </c>
    </row>
    <row r="277">
      <c r="I277" s="8" t="inlineStr">
        <is>
          <t>ACE-10271</t>
        </is>
      </c>
      <c r="J277" s="8" t="inlineStr">
        <is>
          <t>2026-05-07 13:41:05</t>
        </is>
      </c>
      <c r="K277" s="8" t="inlineStr">
        <is>
          <t>CUST-79477</t>
        </is>
      </c>
      <c r="L277" s="9" t="inlineStr">
        <is>
          <t>GBP-PKR</t>
        </is>
      </c>
      <c r="M277" s="8" t="inlineStr">
        <is>
          <t>GBP</t>
        </is>
      </c>
      <c r="N277" s="10" t="n">
        <v>321.7957192896287</v>
      </c>
      <c r="O277" s="11" t="n">
        <v>1</v>
      </c>
      <c r="P277" s="10" t="n">
        <v>321.7957192896287</v>
      </c>
      <c r="Q277" s="10" t="n">
        <v>1.5</v>
      </c>
      <c r="R277" s="12" t="n">
        <v>0.021</v>
      </c>
      <c r="S277" s="13" t="inlineStr">
        <is>
          <t>Success</t>
        </is>
      </c>
      <c r="T277" s="10" t="n">
        <v>0.482693578934443</v>
      </c>
      <c r="U277" s="10" t="n">
        <v>0</v>
      </c>
      <c r="V277" s="10" t="n">
        <v>3.861548631475544</v>
      </c>
    </row>
    <row r="278">
      <c r="I278" s="8" t="inlineStr">
        <is>
          <t>ACE-10272</t>
        </is>
      </c>
      <c r="J278" s="8" t="inlineStr">
        <is>
          <t>2026-05-24 11:03:17</t>
        </is>
      </c>
      <c r="K278" s="8" t="inlineStr">
        <is>
          <t>CUST-74718</t>
        </is>
      </c>
      <c r="L278" s="9" t="inlineStr">
        <is>
          <t>GBP-PKR</t>
        </is>
      </c>
      <c r="M278" s="8" t="inlineStr">
        <is>
          <t>GBP</t>
        </is>
      </c>
      <c r="N278" s="10" t="n">
        <v>241.3391940236938</v>
      </c>
      <c r="O278" s="11" t="n">
        <v>1</v>
      </c>
      <c r="P278" s="10" t="n">
        <v>241.3391940236938</v>
      </c>
      <c r="Q278" s="10" t="n">
        <v>1.5</v>
      </c>
      <c r="R278" s="12" t="n">
        <v>0.021</v>
      </c>
      <c r="S278" s="13" t="inlineStr">
        <is>
          <t>Success</t>
        </is>
      </c>
      <c r="T278" s="10" t="n">
        <v>0.3620087910355407</v>
      </c>
      <c r="U278" s="10" t="n">
        <v>0.7240175820710815</v>
      </c>
      <c r="V278" s="10" t="n">
        <v>2.896070328284326</v>
      </c>
    </row>
    <row r="279">
      <c r="I279" s="8" t="inlineStr">
        <is>
          <t>ACE-10273</t>
        </is>
      </c>
      <c r="J279" s="8" t="inlineStr">
        <is>
          <t>2026-05-03 11:51:48</t>
        </is>
      </c>
      <c r="K279" s="8" t="inlineStr">
        <is>
          <t>CUST-88507</t>
        </is>
      </c>
      <c r="L279" s="9" t="inlineStr">
        <is>
          <t>GBP-PKR</t>
        </is>
      </c>
      <c r="M279" s="8" t="inlineStr">
        <is>
          <t>GBP</t>
        </is>
      </c>
      <c r="N279" s="10" t="n">
        <v>312.9695740742663</v>
      </c>
      <c r="O279" s="11" t="n">
        <v>1</v>
      </c>
      <c r="P279" s="10" t="n">
        <v>312.9695740742663</v>
      </c>
      <c r="Q279" s="10" t="n">
        <v>1.5</v>
      </c>
      <c r="R279" s="12" t="n">
        <v>0.021</v>
      </c>
      <c r="S279" s="13" t="inlineStr">
        <is>
          <t>Success</t>
        </is>
      </c>
      <c r="T279" s="10" t="n">
        <v>0.4694543611113994</v>
      </c>
      <c r="U279" s="10" t="n">
        <v>0</v>
      </c>
      <c r="V279" s="10" t="n">
        <v>3.755634888891195</v>
      </c>
    </row>
    <row r="280">
      <c r="I280" s="8" t="inlineStr">
        <is>
          <t>ACE-10274</t>
        </is>
      </c>
      <c r="J280" s="8" t="inlineStr">
        <is>
          <t>2026-05-16 11:55:58</t>
        </is>
      </c>
      <c r="K280" s="8" t="inlineStr">
        <is>
          <t>CUST-71821</t>
        </is>
      </c>
      <c r="L280" s="9" t="inlineStr">
        <is>
          <t>GBP-PKR</t>
        </is>
      </c>
      <c r="M280" s="8" t="inlineStr">
        <is>
          <t>GBP</t>
        </is>
      </c>
      <c r="N280" s="10" t="n">
        <v>278.8887367499094</v>
      </c>
      <c r="O280" s="11" t="n">
        <v>1</v>
      </c>
      <c r="P280" s="10" t="n">
        <v>278.8887367499094</v>
      </c>
      <c r="Q280" s="10" t="n">
        <v>1.5</v>
      </c>
      <c r="R280" s="12" t="n">
        <v>0.021</v>
      </c>
      <c r="S280" s="13" t="inlineStr">
        <is>
          <t>Success</t>
        </is>
      </c>
      <c r="T280" s="10" t="n">
        <v>0.4183331051248641</v>
      </c>
      <c r="U280" s="10" t="n">
        <v>0.8366662102497282</v>
      </c>
      <c r="V280" s="10" t="n">
        <v>3.346664840998913</v>
      </c>
    </row>
    <row r="281">
      <c r="I281" s="8" t="inlineStr">
        <is>
          <t>ACE-10275</t>
        </is>
      </c>
      <c r="J281" s="8" t="inlineStr">
        <is>
          <t>2026-05-07 11:47:07</t>
        </is>
      </c>
      <c r="K281" s="8" t="inlineStr">
        <is>
          <t>CUST-98947</t>
        </is>
      </c>
      <c r="L281" s="9" t="inlineStr">
        <is>
          <t>GBP-PKR</t>
        </is>
      </c>
      <c r="M281" s="8" t="inlineStr">
        <is>
          <t>GBP</t>
        </is>
      </c>
      <c r="N281" s="10" t="n">
        <v>252.5574475947427</v>
      </c>
      <c r="O281" s="11" t="n">
        <v>1</v>
      </c>
      <c r="P281" s="10" t="n">
        <v>252.5574475947427</v>
      </c>
      <c r="Q281" s="10" t="n">
        <v>1.5</v>
      </c>
      <c r="R281" s="12" t="n">
        <v>0.021</v>
      </c>
      <c r="S281" s="13" t="inlineStr">
        <is>
          <t>Success</t>
        </is>
      </c>
      <c r="T281" s="10" t="n">
        <v>0.3788361713921141</v>
      </c>
      <c r="U281" s="10" t="n">
        <v>0</v>
      </c>
      <c r="V281" s="10" t="n">
        <v>3.030689371136913</v>
      </c>
    </row>
    <row r="282">
      <c r="I282" s="8" t="inlineStr">
        <is>
          <t>ACE-10276</t>
        </is>
      </c>
      <c r="J282" s="8" t="inlineStr">
        <is>
          <t>2026-05-08 19:38:45</t>
        </is>
      </c>
      <c r="K282" s="8" t="inlineStr">
        <is>
          <t>CUST-63402</t>
        </is>
      </c>
      <c r="L282" s="9" t="inlineStr">
        <is>
          <t>GBP-PKR</t>
        </is>
      </c>
      <c r="M282" s="8" t="inlineStr">
        <is>
          <t>GBP</t>
        </is>
      </c>
      <c r="N282" s="10" t="n">
        <v>291.7799582614071</v>
      </c>
      <c r="O282" s="11" t="n">
        <v>1</v>
      </c>
      <c r="P282" s="10" t="n">
        <v>291.7799582614071</v>
      </c>
      <c r="Q282" s="10" t="n">
        <v>1.5</v>
      </c>
      <c r="R282" s="12" t="n">
        <v>0.021</v>
      </c>
      <c r="S282" s="13" t="inlineStr">
        <is>
          <t>Success</t>
        </is>
      </c>
      <c r="T282" s="10" t="n">
        <v>0.4376699373921107</v>
      </c>
      <c r="U282" s="10" t="n">
        <v>0</v>
      </c>
      <c r="V282" s="10" t="n">
        <v>3.501359499136885</v>
      </c>
    </row>
    <row r="283">
      <c r="I283" s="8" t="inlineStr">
        <is>
          <t>ACE-10277</t>
        </is>
      </c>
      <c r="J283" s="8" t="inlineStr">
        <is>
          <t>2026-05-11 20:18:24</t>
        </is>
      </c>
      <c r="K283" s="8" t="inlineStr">
        <is>
          <t>CUST-80556</t>
        </is>
      </c>
      <c r="L283" s="9" t="inlineStr">
        <is>
          <t>GBP-PKR</t>
        </is>
      </c>
      <c r="M283" s="8" t="inlineStr">
        <is>
          <t>GBP</t>
        </is>
      </c>
      <c r="N283" s="10" t="n">
        <v>284.2049329202844</v>
      </c>
      <c r="O283" s="11" t="n">
        <v>1</v>
      </c>
      <c r="P283" s="10" t="n">
        <v>284.2049329202844</v>
      </c>
      <c r="Q283" s="10" t="n">
        <v>1.5</v>
      </c>
      <c r="R283" s="12" t="n">
        <v>0.021</v>
      </c>
      <c r="S283" s="13" t="inlineStr">
        <is>
          <t>Success</t>
        </is>
      </c>
      <c r="T283" s="10" t="n">
        <v>0.4263073993804266</v>
      </c>
      <c r="U283" s="10" t="n">
        <v>0</v>
      </c>
      <c r="V283" s="10" t="n">
        <v>3.410459195043412</v>
      </c>
    </row>
    <row r="284">
      <c r="I284" s="8" t="inlineStr">
        <is>
          <t>ACE-10278</t>
        </is>
      </c>
      <c r="J284" s="8" t="inlineStr">
        <is>
          <t>2026-05-09 13:32:56</t>
        </is>
      </c>
      <c r="K284" s="8" t="inlineStr">
        <is>
          <t>CUST-82589</t>
        </is>
      </c>
      <c r="L284" s="9" t="inlineStr">
        <is>
          <t>GBP-PKR</t>
        </is>
      </c>
      <c r="M284" s="8" t="inlineStr">
        <is>
          <t>GBP</t>
        </is>
      </c>
      <c r="N284" s="10" t="n">
        <v>262.3731994085647</v>
      </c>
      <c r="O284" s="11" t="n">
        <v>1</v>
      </c>
      <c r="P284" s="10" t="n">
        <v>262.3731994085647</v>
      </c>
      <c r="Q284" s="10" t="n">
        <v>1.5</v>
      </c>
      <c r="R284" s="12" t="n">
        <v>0.021</v>
      </c>
      <c r="S284" s="13" t="inlineStr">
        <is>
          <t>Success</t>
        </is>
      </c>
      <c r="T284" s="10" t="n">
        <v>0.3935597991128471</v>
      </c>
      <c r="U284" s="10" t="n">
        <v>0.7871195982256941</v>
      </c>
      <c r="V284" s="10" t="n">
        <v>3.148478392902776</v>
      </c>
    </row>
    <row r="285">
      <c r="I285" s="8" t="inlineStr">
        <is>
          <t>ACE-10279</t>
        </is>
      </c>
      <c r="J285" s="8" t="inlineStr">
        <is>
          <t>2026-05-24 15:48:53</t>
        </is>
      </c>
      <c r="K285" s="8" t="inlineStr">
        <is>
          <t>CUST-70986</t>
        </is>
      </c>
      <c r="L285" s="9" t="inlineStr">
        <is>
          <t>GBP-PKR</t>
        </is>
      </c>
      <c r="M285" s="8" t="inlineStr">
        <is>
          <t>GBP</t>
        </is>
      </c>
      <c r="N285" s="10" t="n">
        <v>280.5550077138572</v>
      </c>
      <c r="O285" s="11" t="n">
        <v>1</v>
      </c>
      <c r="P285" s="10" t="n">
        <v>280.5550077138572</v>
      </c>
      <c r="Q285" s="10" t="n">
        <v>1.5</v>
      </c>
      <c r="R285" s="12" t="n">
        <v>0.021</v>
      </c>
      <c r="S285" s="13" t="inlineStr">
        <is>
          <t>Success</t>
        </is>
      </c>
      <c r="T285" s="10" t="n">
        <v>0.4208325115707858</v>
      </c>
      <c r="U285" s="10" t="n">
        <v>0</v>
      </c>
      <c r="V285" s="10" t="n">
        <v>3.366660092566287</v>
      </c>
    </row>
    <row r="286">
      <c r="I286" s="8" t="inlineStr">
        <is>
          <t>ACE-10280</t>
        </is>
      </c>
      <c r="J286" s="8" t="inlineStr">
        <is>
          <t>2026-05-14 08:36:55</t>
        </is>
      </c>
      <c r="K286" s="8" t="inlineStr">
        <is>
          <t>CUST-64501</t>
        </is>
      </c>
      <c r="L286" s="9" t="inlineStr">
        <is>
          <t>GBP-PKR</t>
        </is>
      </c>
      <c r="M286" s="8" t="inlineStr">
        <is>
          <t>GBP</t>
        </is>
      </c>
      <c r="N286" s="10" t="n">
        <v>268.0727083376482</v>
      </c>
      <c r="O286" s="11" t="n">
        <v>1</v>
      </c>
      <c r="P286" s="10" t="n">
        <v>268.0727083376482</v>
      </c>
      <c r="Q286" s="10" t="n">
        <v>1.5</v>
      </c>
      <c r="R286" s="12" t="n">
        <v>0.021</v>
      </c>
      <c r="S286" s="13" t="inlineStr">
        <is>
          <t>Success</t>
        </is>
      </c>
      <c r="T286" s="10" t="n">
        <v>0.4021090625064723</v>
      </c>
      <c r="U286" s="10" t="n">
        <v>0</v>
      </c>
      <c r="V286" s="10" t="n">
        <v>3.216872500051778</v>
      </c>
    </row>
    <row r="287">
      <c r="I287" s="8" t="inlineStr">
        <is>
          <t>ACE-10281</t>
        </is>
      </c>
      <c r="J287" s="8" t="inlineStr">
        <is>
          <t>2026-05-18 17:37:46</t>
        </is>
      </c>
      <c r="K287" s="8" t="inlineStr">
        <is>
          <t>CUST-77366</t>
        </is>
      </c>
      <c r="L287" s="9" t="inlineStr">
        <is>
          <t>GBP-PKR</t>
        </is>
      </c>
      <c r="M287" s="8" t="inlineStr">
        <is>
          <t>GBP</t>
        </is>
      </c>
      <c r="N287" s="10" t="n">
        <v>281.7841458791506</v>
      </c>
      <c r="O287" s="11" t="n">
        <v>1</v>
      </c>
      <c r="P287" s="10" t="n">
        <v>281.7841458791506</v>
      </c>
      <c r="Q287" s="10" t="n">
        <v>1.5</v>
      </c>
      <c r="R287" s="12" t="n">
        <v>0.021</v>
      </c>
      <c r="S287" s="13" t="inlineStr">
        <is>
          <t>Success</t>
        </is>
      </c>
      <c r="T287" s="10" t="n">
        <v>0.422676218818726</v>
      </c>
      <c r="U287" s="10" t="n">
        <v>0</v>
      </c>
      <c r="V287" s="10" t="n">
        <v>3.381409750549808</v>
      </c>
    </row>
    <row r="288">
      <c r="I288" s="8" t="inlineStr">
        <is>
          <t>ACE-10282</t>
        </is>
      </c>
      <c r="J288" s="8" t="inlineStr">
        <is>
          <t>2026-05-08 14:36:53</t>
        </is>
      </c>
      <c r="K288" s="8" t="inlineStr">
        <is>
          <t>CUST-66104</t>
        </is>
      </c>
      <c r="L288" s="9" t="inlineStr">
        <is>
          <t>GBP-PKR</t>
        </is>
      </c>
      <c r="M288" s="8" t="inlineStr">
        <is>
          <t>GBP</t>
        </is>
      </c>
      <c r="N288" s="10" t="n">
        <v>297.6751140941209</v>
      </c>
      <c r="O288" s="11" t="n">
        <v>1</v>
      </c>
      <c r="P288" s="10" t="n">
        <v>297.6751140941209</v>
      </c>
      <c r="Q288" s="10" t="n">
        <v>1.5</v>
      </c>
      <c r="R288" s="12" t="n">
        <v>0.021</v>
      </c>
      <c r="S288" s="13" t="inlineStr">
        <is>
          <t>Success</t>
        </is>
      </c>
      <c r="T288" s="10" t="n">
        <v>0.4465126711411813</v>
      </c>
      <c r="U288" s="10" t="n">
        <v>0.8930253422823626</v>
      </c>
      <c r="V288" s="10" t="n">
        <v>3.572101369129451</v>
      </c>
    </row>
    <row r="289">
      <c r="I289" s="8" t="inlineStr">
        <is>
          <t>ACE-10283</t>
        </is>
      </c>
      <c r="J289" s="8" t="inlineStr">
        <is>
          <t>2026-05-22 13:16:48</t>
        </is>
      </c>
      <c r="K289" s="8" t="inlineStr">
        <is>
          <t>CUST-82022</t>
        </is>
      </c>
      <c r="L289" s="9" t="inlineStr">
        <is>
          <t>GBP-PKR</t>
        </is>
      </c>
      <c r="M289" s="8" t="inlineStr">
        <is>
          <t>GBP</t>
        </is>
      </c>
      <c r="N289" s="10" t="n">
        <v>326.4873764700124</v>
      </c>
      <c r="O289" s="11" t="n">
        <v>1</v>
      </c>
      <c r="P289" s="10" t="n">
        <v>326.4873764700124</v>
      </c>
      <c r="Q289" s="10" t="n">
        <v>1.5</v>
      </c>
      <c r="R289" s="12" t="n">
        <v>0.021</v>
      </c>
      <c r="S289" s="13" t="inlineStr">
        <is>
          <t>Success</t>
        </is>
      </c>
      <c r="T289" s="10" t="n">
        <v>0.4897310647050186</v>
      </c>
      <c r="U289" s="10" t="n">
        <v>0.9794621294100373</v>
      </c>
      <c r="V289" s="10" t="n">
        <v>3.917848517640149</v>
      </c>
    </row>
    <row r="290">
      <c r="I290" s="8" t="inlineStr">
        <is>
          <t>ACE-10284</t>
        </is>
      </c>
      <c r="J290" s="8" t="inlineStr">
        <is>
          <t>2026-05-16 15:10:46</t>
        </is>
      </c>
      <c r="K290" s="8" t="inlineStr">
        <is>
          <t>CUST-73080</t>
        </is>
      </c>
      <c r="L290" s="9" t="inlineStr">
        <is>
          <t>GBP-PKR</t>
        </is>
      </c>
      <c r="M290" s="8" t="inlineStr">
        <is>
          <t>GBP</t>
        </is>
      </c>
      <c r="N290" s="10" t="n">
        <v>246.1664795759452</v>
      </c>
      <c r="O290" s="11" t="n">
        <v>1</v>
      </c>
      <c r="P290" s="10" t="n">
        <v>246.1664795759452</v>
      </c>
      <c r="Q290" s="10" t="n">
        <v>1.5</v>
      </c>
      <c r="R290" s="12" t="n">
        <v>0.021</v>
      </c>
      <c r="S290" s="13" t="inlineStr">
        <is>
          <t>Success</t>
        </is>
      </c>
      <c r="T290" s="10" t="n">
        <v>0.3692497193639178</v>
      </c>
      <c r="U290" s="10" t="n">
        <v>0.7384994387278355</v>
      </c>
      <c r="V290" s="10" t="n">
        <v>2.953997754911342</v>
      </c>
    </row>
    <row r="291">
      <c r="I291" s="8" t="inlineStr">
        <is>
          <t>ACE-10285</t>
        </is>
      </c>
      <c r="J291" s="8" t="inlineStr">
        <is>
          <t>2026-05-16 10:58:56</t>
        </is>
      </c>
      <c r="K291" s="8" t="inlineStr">
        <is>
          <t>CUST-85529</t>
        </is>
      </c>
      <c r="L291" s="9" t="inlineStr">
        <is>
          <t>GBP-PKR</t>
        </is>
      </c>
      <c r="M291" s="8" t="inlineStr">
        <is>
          <t>GBP</t>
        </is>
      </c>
      <c r="N291" s="10" t="n">
        <v>344.8442757987589</v>
      </c>
      <c r="O291" s="11" t="n">
        <v>1</v>
      </c>
      <c r="P291" s="10" t="n">
        <v>344.8442757987589</v>
      </c>
      <c r="Q291" s="10" t="n">
        <v>1.5</v>
      </c>
      <c r="R291" s="12" t="n">
        <v>0.021</v>
      </c>
      <c r="S291" s="13" t="inlineStr">
        <is>
          <t>Success</t>
        </is>
      </c>
      <c r="T291" s="10" t="n">
        <v>0.5172664136981383</v>
      </c>
      <c r="U291" s="10" t="n">
        <v>1.034532827396277</v>
      </c>
      <c r="V291" s="10" t="n">
        <v>4.138131309585106</v>
      </c>
    </row>
    <row r="292">
      <c r="I292" s="8" t="inlineStr">
        <is>
          <t>ACE-10286</t>
        </is>
      </c>
      <c r="J292" s="8" t="inlineStr">
        <is>
          <t>2026-05-17 08:53:54</t>
        </is>
      </c>
      <c r="K292" s="8" t="inlineStr">
        <is>
          <t>CUST-54871</t>
        </is>
      </c>
      <c r="L292" s="9" t="inlineStr">
        <is>
          <t>USD-PKR</t>
        </is>
      </c>
      <c r="M292" s="8" t="inlineStr">
        <is>
          <t>USD</t>
        </is>
      </c>
      <c r="N292" s="10" t="n">
        <v>180.0831639976737</v>
      </c>
      <c r="O292" s="11" t="n">
        <v>0.8</v>
      </c>
      <c r="P292" s="10" t="n">
        <v>144.066531198139</v>
      </c>
      <c r="Q292" s="10" t="n">
        <v>1.6</v>
      </c>
      <c r="R292" s="12" t="n">
        <v>0.019</v>
      </c>
      <c r="S292" s="13" t="inlineStr">
        <is>
          <t>Success</t>
        </is>
      </c>
      <c r="T292" s="10" t="n">
        <v>0.2160997967972085</v>
      </c>
      <c r="U292" s="10" t="n">
        <v>0.432199593594417</v>
      </c>
      <c r="V292" s="10" t="n">
        <v>1.728798374377668</v>
      </c>
    </row>
    <row r="293">
      <c r="I293" s="8" t="inlineStr">
        <is>
          <t>ACE-10287</t>
        </is>
      </c>
      <c r="J293" s="8" t="inlineStr">
        <is>
          <t>2026-05-01 14:08:53</t>
        </is>
      </c>
      <c r="K293" s="8" t="inlineStr">
        <is>
          <t>CUST-91333</t>
        </is>
      </c>
      <c r="L293" s="9" t="inlineStr">
        <is>
          <t>GBP-PKR</t>
        </is>
      </c>
      <c r="M293" s="8" t="inlineStr">
        <is>
          <t>GBP</t>
        </is>
      </c>
      <c r="N293" s="10" t="n">
        <v>274.4066399604869</v>
      </c>
      <c r="O293" s="11" t="n">
        <v>1</v>
      </c>
      <c r="P293" s="10" t="n">
        <v>274.4066399604869</v>
      </c>
      <c r="Q293" s="10" t="n">
        <v>1.5</v>
      </c>
      <c r="R293" s="12" t="n">
        <v>0.021</v>
      </c>
      <c r="S293" s="13" t="inlineStr">
        <is>
          <t>Success</t>
        </is>
      </c>
      <c r="T293" s="10" t="n">
        <v>0.4116099599407303</v>
      </c>
      <c r="U293" s="10" t="n">
        <v>0.8232199198814606</v>
      </c>
      <c r="V293" s="10" t="n">
        <v>3.292879679525842</v>
      </c>
    </row>
    <row r="294">
      <c r="I294" s="8" t="inlineStr">
        <is>
          <t>ACE-10288</t>
        </is>
      </c>
      <c r="J294" s="8" t="inlineStr">
        <is>
          <t>2026-05-01 11:32:29</t>
        </is>
      </c>
      <c r="K294" s="8" t="inlineStr">
        <is>
          <t>CUST-74458</t>
        </is>
      </c>
      <c r="L294" s="9" t="inlineStr">
        <is>
          <t>GBP-PKR</t>
        </is>
      </c>
      <c r="M294" s="8" t="inlineStr">
        <is>
          <t>GBP</t>
        </is>
      </c>
      <c r="N294" s="10" t="n">
        <v>295.4859602336329</v>
      </c>
      <c r="O294" s="11" t="n">
        <v>1</v>
      </c>
      <c r="P294" s="10" t="n">
        <v>295.4859602336329</v>
      </c>
      <c r="Q294" s="10" t="n">
        <v>1.5</v>
      </c>
      <c r="R294" s="12" t="n">
        <v>0.021</v>
      </c>
      <c r="S294" s="13" t="inlineStr">
        <is>
          <t>Success</t>
        </is>
      </c>
      <c r="T294" s="10" t="n">
        <v>0.4432289403504493</v>
      </c>
      <c r="U294" s="10" t="n">
        <v>0.8864578807008986</v>
      </c>
      <c r="V294" s="10" t="n">
        <v>3.545831522803594</v>
      </c>
    </row>
    <row r="295">
      <c r="I295" s="8" t="inlineStr">
        <is>
          <t>ACE-10289</t>
        </is>
      </c>
      <c r="J295" s="8" t="inlineStr">
        <is>
          <t>2026-05-20 15:42:31</t>
        </is>
      </c>
      <c r="K295" s="8" t="inlineStr">
        <is>
          <t>CUST-51030</t>
        </is>
      </c>
      <c r="L295" s="9" t="inlineStr">
        <is>
          <t>EUR-PKR</t>
        </is>
      </c>
      <c r="M295" s="8" t="inlineStr">
        <is>
          <t>EUR</t>
        </is>
      </c>
      <c r="N295" s="10" t="n">
        <v>194.4399274265931</v>
      </c>
      <c r="O295" s="11" t="n">
        <v>0.85</v>
      </c>
      <c r="P295" s="10" t="n">
        <v>165.2739383126041</v>
      </c>
      <c r="Q295" s="10" t="n">
        <v>1.275</v>
      </c>
      <c r="R295" s="12" t="n">
        <v>0.023</v>
      </c>
      <c r="S295" s="13" t="inlineStr">
        <is>
          <t>Failed</t>
        </is>
      </c>
      <c r="T295" s="10" t="n">
        <v>0</v>
      </c>
      <c r="U295" s="10" t="n">
        <v>0</v>
      </c>
      <c r="V295" s="10" t="n">
        <v>0.5</v>
      </c>
    </row>
    <row r="296">
      <c r="I296" s="8" t="inlineStr">
        <is>
          <t>ACE-10290</t>
        </is>
      </c>
      <c r="J296" s="8" t="inlineStr">
        <is>
          <t>2026-05-18 14:00:01</t>
        </is>
      </c>
      <c r="K296" s="8" t="inlineStr">
        <is>
          <t>CUST-84695</t>
        </is>
      </c>
      <c r="L296" s="9" t="inlineStr">
        <is>
          <t>USD-PKR</t>
        </is>
      </c>
      <c r="M296" s="8" t="inlineStr">
        <is>
          <t>USD</t>
        </is>
      </c>
      <c r="N296" s="10" t="n">
        <v>205.6874110744727</v>
      </c>
      <c r="O296" s="11" t="n">
        <v>0.8</v>
      </c>
      <c r="P296" s="10" t="n">
        <v>164.5499288595782</v>
      </c>
      <c r="Q296" s="10" t="n">
        <v>1.6</v>
      </c>
      <c r="R296" s="12" t="n">
        <v>0.019</v>
      </c>
      <c r="S296" s="13" t="inlineStr">
        <is>
          <t>Success</t>
        </is>
      </c>
      <c r="T296" s="10" t="n">
        <v>0.2468248932893672</v>
      </c>
      <c r="U296" s="10" t="n">
        <v>0</v>
      </c>
      <c r="V296" s="10" t="n">
        <v>1.974599146314938</v>
      </c>
    </row>
    <row r="297">
      <c r="I297" s="8" t="inlineStr">
        <is>
          <t>ACE-10291</t>
        </is>
      </c>
      <c r="J297" s="8" t="inlineStr">
        <is>
          <t>2026-05-10 08:32:52</t>
        </is>
      </c>
      <c r="K297" s="8" t="inlineStr">
        <is>
          <t>CUST-95734</t>
        </is>
      </c>
      <c r="L297" s="9" t="inlineStr">
        <is>
          <t>GBP-PKR</t>
        </is>
      </c>
      <c r="M297" s="8" t="inlineStr">
        <is>
          <t>GBP</t>
        </is>
      </c>
      <c r="N297" s="10" t="n">
        <v>272.8650575066413</v>
      </c>
      <c r="O297" s="11" t="n">
        <v>1</v>
      </c>
      <c r="P297" s="10" t="n">
        <v>272.8650575066413</v>
      </c>
      <c r="Q297" s="10" t="n">
        <v>1.5</v>
      </c>
      <c r="R297" s="12" t="n">
        <v>0.021</v>
      </c>
      <c r="S297" s="13" t="inlineStr">
        <is>
          <t>Success</t>
        </is>
      </c>
      <c r="T297" s="10" t="n">
        <v>0.4092975862599619</v>
      </c>
      <c r="U297" s="10" t="n">
        <v>0.8185951725199239</v>
      </c>
      <c r="V297" s="10" t="n">
        <v>3.274380690079695</v>
      </c>
    </row>
    <row r="298">
      <c r="I298" s="8" t="inlineStr">
        <is>
          <t>ACE-10292</t>
        </is>
      </c>
      <c r="J298" s="8" t="inlineStr">
        <is>
          <t>2026-05-06 09:58:06</t>
        </is>
      </c>
      <c r="K298" s="8" t="inlineStr">
        <is>
          <t>CUST-84366</t>
        </is>
      </c>
      <c r="L298" s="9" t="inlineStr">
        <is>
          <t>GBP-PKR</t>
        </is>
      </c>
      <c r="M298" s="8" t="inlineStr">
        <is>
          <t>GBP</t>
        </is>
      </c>
      <c r="N298" s="10" t="n">
        <v>265.2013926727245</v>
      </c>
      <c r="O298" s="11" t="n">
        <v>1</v>
      </c>
      <c r="P298" s="10" t="n">
        <v>265.2013926727245</v>
      </c>
      <c r="Q298" s="10" t="n">
        <v>1.5</v>
      </c>
      <c r="R298" s="12" t="n">
        <v>0.021</v>
      </c>
      <c r="S298" s="13" t="inlineStr">
        <is>
          <t>Success</t>
        </is>
      </c>
      <c r="T298" s="10" t="n">
        <v>0.3978020890090868</v>
      </c>
      <c r="U298" s="10" t="n">
        <v>0</v>
      </c>
      <c r="V298" s="10" t="n">
        <v>3.182416712072694</v>
      </c>
    </row>
    <row r="299">
      <c r="I299" s="8" t="inlineStr">
        <is>
          <t>ACE-10293</t>
        </is>
      </c>
      <c r="J299" s="8" t="inlineStr">
        <is>
          <t>2026-05-17 12:52:22</t>
        </is>
      </c>
      <c r="K299" s="8" t="inlineStr">
        <is>
          <t>CUST-67519</t>
        </is>
      </c>
      <c r="L299" s="9" t="inlineStr">
        <is>
          <t>GBP-PKR</t>
        </is>
      </c>
      <c r="M299" s="8" t="inlineStr">
        <is>
          <t>GBP</t>
        </is>
      </c>
      <c r="N299" s="10" t="n">
        <v>262.6580845110817</v>
      </c>
      <c r="O299" s="11" t="n">
        <v>1</v>
      </c>
      <c r="P299" s="10" t="n">
        <v>262.6580845110817</v>
      </c>
      <c r="Q299" s="10" t="n">
        <v>1.5</v>
      </c>
      <c r="R299" s="12" t="n">
        <v>0.021</v>
      </c>
      <c r="S299" s="13" t="inlineStr">
        <is>
          <t>Success</t>
        </is>
      </c>
      <c r="T299" s="10" t="n">
        <v>0.3939871267666226</v>
      </c>
      <c r="U299" s="10" t="n">
        <v>0</v>
      </c>
      <c r="V299" s="10" t="n">
        <v>3.151897014132981</v>
      </c>
    </row>
    <row r="300">
      <c r="I300" s="8" t="inlineStr">
        <is>
          <t>ACE-10294</t>
        </is>
      </c>
      <c r="J300" s="8" t="inlineStr">
        <is>
          <t>2026-05-13 15:36:15</t>
        </is>
      </c>
      <c r="K300" s="8" t="inlineStr">
        <is>
          <t>CUST-95694</t>
        </is>
      </c>
      <c r="L300" s="9" t="inlineStr">
        <is>
          <t>GBP-PKR</t>
        </is>
      </c>
      <c r="M300" s="8" t="inlineStr">
        <is>
          <t>GBP</t>
        </is>
      </c>
      <c r="N300" s="10" t="n">
        <v>303.3083099808671</v>
      </c>
      <c r="O300" s="11" t="n">
        <v>1</v>
      </c>
      <c r="P300" s="10" t="n">
        <v>303.3083099808671</v>
      </c>
      <c r="Q300" s="10" t="n">
        <v>1.5</v>
      </c>
      <c r="R300" s="12" t="n">
        <v>0.021</v>
      </c>
      <c r="S300" s="13" t="inlineStr">
        <is>
          <t>Success</t>
        </is>
      </c>
      <c r="T300" s="10" t="n">
        <v>0.4549624649713006</v>
      </c>
      <c r="U300" s="10" t="n">
        <v>0.9099249299426012</v>
      </c>
      <c r="V300" s="10" t="n">
        <v>3.639699719770405</v>
      </c>
    </row>
    <row r="301">
      <c r="I301" s="8" t="inlineStr">
        <is>
          <t>ACE-10295</t>
        </is>
      </c>
      <c r="J301" s="8" t="inlineStr">
        <is>
          <t>2026-05-03 18:54:41</t>
        </is>
      </c>
      <c r="K301" s="8" t="inlineStr">
        <is>
          <t>CUST-99780</t>
        </is>
      </c>
      <c r="L301" s="9" t="inlineStr">
        <is>
          <t>GBP-PKR</t>
        </is>
      </c>
      <c r="M301" s="8" t="inlineStr">
        <is>
          <t>GBP</t>
        </is>
      </c>
      <c r="N301" s="10" t="n">
        <v>288.729756426863</v>
      </c>
      <c r="O301" s="11" t="n">
        <v>1</v>
      </c>
      <c r="P301" s="10" t="n">
        <v>288.729756426863</v>
      </c>
      <c r="Q301" s="10" t="n">
        <v>1.5</v>
      </c>
      <c r="R301" s="12" t="n">
        <v>0.021</v>
      </c>
      <c r="S301" s="13" t="inlineStr">
        <is>
          <t>Success</t>
        </is>
      </c>
      <c r="T301" s="10" t="n">
        <v>0.4330946346402945</v>
      </c>
      <c r="U301" s="10" t="n">
        <v>0</v>
      </c>
      <c r="V301" s="10" t="n">
        <v>3.464757077122356</v>
      </c>
    </row>
    <row r="302">
      <c r="I302" s="8" t="inlineStr">
        <is>
          <t>ACE-10296</t>
        </is>
      </c>
      <c r="J302" s="8" t="inlineStr">
        <is>
          <t>2026-05-13 16:30:03</t>
        </is>
      </c>
      <c r="K302" s="8" t="inlineStr">
        <is>
          <t>CUST-91729</t>
        </is>
      </c>
      <c r="L302" s="9" t="inlineStr">
        <is>
          <t>USD-PKR</t>
        </is>
      </c>
      <c r="M302" s="8" t="inlineStr">
        <is>
          <t>USD</t>
        </is>
      </c>
      <c r="N302" s="10" t="n">
        <v>204.2483359996314</v>
      </c>
      <c r="O302" s="11" t="n">
        <v>0.8</v>
      </c>
      <c r="P302" s="10" t="n">
        <v>163.3986687997051</v>
      </c>
      <c r="Q302" s="10" t="n">
        <v>1.6</v>
      </c>
      <c r="R302" s="12" t="n">
        <v>0.019</v>
      </c>
      <c r="S302" s="13" t="inlineStr">
        <is>
          <t>Failed</t>
        </is>
      </c>
      <c r="T302" s="10" t="n">
        <v>0</v>
      </c>
      <c r="U302" s="10" t="n">
        <v>0</v>
      </c>
      <c r="V302" s="10" t="n">
        <v>0.5</v>
      </c>
    </row>
    <row r="303">
      <c r="I303" s="8" t="inlineStr">
        <is>
          <t>ACE-10297</t>
        </is>
      </c>
      <c r="J303" s="8" t="inlineStr">
        <is>
          <t>2026-05-06 09:31:54</t>
        </is>
      </c>
      <c r="K303" s="8" t="inlineStr">
        <is>
          <t>CUST-78436</t>
        </is>
      </c>
      <c r="L303" s="9" t="inlineStr">
        <is>
          <t>GBP-PKR</t>
        </is>
      </c>
      <c r="M303" s="8" t="inlineStr">
        <is>
          <t>GBP</t>
        </is>
      </c>
      <c r="N303" s="10" t="n">
        <v>304.8285814911233</v>
      </c>
      <c r="O303" s="11" t="n">
        <v>1</v>
      </c>
      <c r="P303" s="10" t="n">
        <v>304.8285814911233</v>
      </c>
      <c r="Q303" s="10" t="n">
        <v>1.5</v>
      </c>
      <c r="R303" s="12" t="n">
        <v>0.021</v>
      </c>
      <c r="S303" s="13" t="inlineStr">
        <is>
          <t>Success</t>
        </is>
      </c>
      <c r="T303" s="10" t="n">
        <v>0.4572428722366849</v>
      </c>
      <c r="U303" s="10" t="n">
        <v>0</v>
      </c>
      <c r="V303" s="10" t="n">
        <v>3.657942977893479</v>
      </c>
    </row>
    <row r="304">
      <c r="I304" s="8" t="inlineStr">
        <is>
          <t>ACE-10298</t>
        </is>
      </c>
      <c r="J304" s="8" t="inlineStr">
        <is>
          <t>2026-05-04 16:58:02</t>
        </is>
      </c>
      <c r="K304" s="8" t="inlineStr">
        <is>
          <t>CUST-65057</t>
        </is>
      </c>
      <c r="L304" s="9" t="inlineStr">
        <is>
          <t>GBP-PKR</t>
        </is>
      </c>
      <c r="M304" s="8" t="inlineStr">
        <is>
          <t>GBP</t>
        </is>
      </c>
      <c r="N304" s="10" t="n">
        <v>287.2978709056389</v>
      </c>
      <c r="O304" s="11" t="n">
        <v>1</v>
      </c>
      <c r="P304" s="10" t="n">
        <v>287.2978709056389</v>
      </c>
      <c r="Q304" s="10" t="n">
        <v>1.5</v>
      </c>
      <c r="R304" s="12" t="n">
        <v>0.021</v>
      </c>
      <c r="S304" s="13" t="inlineStr">
        <is>
          <t>Success</t>
        </is>
      </c>
      <c r="T304" s="10" t="n">
        <v>0.4309468063584583</v>
      </c>
      <c r="U304" s="10" t="n">
        <v>0.8618936127169167</v>
      </c>
      <c r="V304" s="10" t="n">
        <v>3.447574450867667</v>
      </c>
    </row>
    <row r="305">
      <c r="I305" s="8" t="inlineStr">
        <is>
          <t>ACE-10299</t>
        </is>
      </c>
      <c r="J305" s="8" t="inlineStr">
        <is>
          <t>2026-05-19 15:17:02</t>
        </is>
      </c>
      <c r="K305" s="8" t="inlineStr">
        <is>
          <t>CUST-54872</t>
        </is>
      </c>
      <c r="L305" s="9" t="inlineStr">
        <is>
          <t>GBP-PKR</t>
        </is>
      </c>
      <c r="M305" s="8" t="inlineStr">
        <is>
          <t>GBP</t>
        </is>
      </c>
      <c r="N305" s="10" t="n">
        <v>302.1960004742902</v>
      </c>
      <c r="O305" s="11" t="n">
        <v>1</v>
      </c>
      <c r="P305" s="10" t="n">
        <v>302.1960004742902</v>
      </c>
      <c r="Q305" s="10" t="n">
        <v>1.5</v>
      </c>
      <c r="R305" s="12" t="n">
        <v>0.021</v>
      </c>
      <c r="S305" s="13" t="inlineStr">
        <is>
          <t>Success</t>
        </is>
      </c>
      <c r="T305" s="10" t="n">
        <v>0.4532940007114353</v>
      </c>
      <c r="U305" s="10" t="n">
        <v>0</v>
      </c>
      <c r="V305" s="10" t="n">
        <v>3.626352005691483</v>
      </c>
    </row>
    <row r="306">
      <c r="I306" s="8" t="inlineStr">
        <is>
          <t>ACE-10300</t>
        </is>
      </c>
      <c r="J306" s="8" t="inlineStr">
        <is>
          <t>2026-05-18 17:42:02</t>
        </is>
      </c>
      <c r="K306" s="8" t="inlineStr">
        <is>
          <t>CUST-61754</t>
        </is>
      </c>
      <c r="L306" s="9" t="inlineStr">
        <is>
          <t>GBP-PKR</t>
        </is>
      </c>
      <c r="M306" s="8" t="inlineStr">
        <is>
          <t>GBP</t>
        </is>
      </c>
      <c r="N306" s="10" t="n">
        <v>296.709185993435</v>
      </c>
      <c r="O306" s="11" t="n">
        <v>1</v>
      </c>
      <c r="P306" s="10" t="n">
        <v>296.709185993435</v>
      </c>
      <c r="Q306" s="10" t="n">
        <v>1.5</v>
      </c>
      <c r="R306" s="12" t="n">
        <v>0.021</v>
      </c>
      <c r="S306" s="13" t="inlineStr">
        <is>
          <t>Success</t>
        </is>
      </c>
      <c r="T306" s="10" t="n">
        <v>0.4450637789901525</v>
      </c>
      <c r="U306" s="10" t="n">
        <v>0</v>
      </c>
      <c r="V306" s="10" t="n">
        <v>3.56051023192122</v>
      </c>
    </row>
    <row r="307">
      <c r="I307" s="8" t="inlineStr">
        <is>
          <t>ACE-10301</t>
        </is>
      </c>
      <c r="J307" s="8" t="inlineStr">
        <is>
          <t>2026-05-07 17:09:48</t>
        </is>
      </c>
      <c r="K307" s="8" t="inlineStr">
        <is>
          <t>CUST-96708</t>
        </is>
      </c>
      <c r="L307" s="9" t="inlineStr">
        <is>
          <t>GBP-PKR</t>
        </is>
      </c>
      <c r="M307" s="8" t="inlineStr">
        <is>
          <t>GBP</t>
        </is>
      </c>
      <c r="N307" s="10" t="n">
        <v>256.4388160084791</v>
      </c>
      <c r="O307" s="11" t="n">
        <v>1</v>
      </c>
      <c r="P307" s="10" t="n">
        <v>256.4388160084791</v>
      </c>
      <c r="Q307" s="10" t="n">
        <v>1.5</v>
      </c>
      <c r="R307" s="12" t="n">
        <v>0.021</v>
      </c>
      <c r="S307" s="13" t="inlineStr">
        <is>
          <t>Success</t>
        </is>
      </c>
      <c r="T307" s="10" t="n">
        <v>0.3846582240127187</v>
      </c>
      <c r="U307" s="10" t="n">
        <v>0.7693164480254374</v>
      </c>
      <c r="V307" s="10" t="n">
        <v>3.07726579210175</v>
      </c>
    </row>
    <row r="308">
      <c r="I308" s="8" t="inlineStr">
        <is>
          <t>ACE-10302</t>
        </is>
      </c>
      <c r="J308" s="8" t="inlineStr">
        <is>
          <t>2026-05-10 10:36:15</t>
        </is>
      </c>
      <c r="K308" s="8" t="inlineStr">
        <is>
          <t>CUST-87138</t>
        </is>
      </c>
      <c r="L308" s="9" t="inlineStr">
        <is>
          <t>GBP-PKR</t>
        </is>
      </c>
      <c r="M308" s="8" t="inlineStr">
        <is>
          <t>GBP</t>
        </is>
      </c>
      <c r="N308" s="10" t="n">
        <v>263.4257380293629</v>
      </c>
      <c r="O308" s="11" t="n">
        <v>1</v>
      </c>
      <c r="P308" s="10" t="n">
        <v>263.4257380293629</v>
      </c>
      <c r="Q308" s="10" t="n">
        <v>1.5</v>
      </c>
      <c r="R308" s="12" t="n">
        <v>0.021</v>
      </c>
      <c r="S308" s="13" t="inlineStr">
        <is>
          <t>Success</t>
        </is>
      </c>
      <c r="T308" s="10" t="n">
        <v>0.3951386070440444</v>
      </c>
      <c r="U308" s="10" t="n">
        <v>0</v>
      </c>
      <c r="V308" s="10" t="n">
        <v>3.161108856352355</v>
      </c>
    </row>
    <row r="309">
      <c r="I309" s="8" t="inlineStr">
        <is>
          <t>ACE-10303</t>
        </is>
      </c>
      <c r="J309" s="8" t="inlineStr">
        <is>
          <t>2026-05-18 13:24:48</t>
        </is>
      </c>
      <c r="K309" s="8" t="inlineStr">
        <is>
          <t>CUST-98479</t>
        </is>
      </c>
      <c r="L309" s="9" t="inlineStr">
        <is>
          <t>GBP-PKR</t>
        </is>
      </c>
      <c r="M309" s="8" t="inlineStr">
        <is>
          <t>GBP</t>
        </is>
      </c>
      <c r="N309" s="10" t="n">
        <v>300.2210280900029</v>
      </c>
      <c r="O309" s="11" t="n">
        <v>1</v>
      </c>
      <c r="P309" s="10" t="n">
        <v>300.2210280900029</v>
      </c>
      <c r="Q309" s="10" t="n">
        <v>1.5</v>
      </c>
      <c r="R309" s="12" t="n">
        <v>0.021</v>
      </c>
      <c r="S309" s="13" t="inlineStr">
        <is>
          <t>Success</t>
        </is>
      </c>
      <c r="T309" s="10" t="n">
        <v>0.4503315421350044</v>
      </c>
      <c r="U309" s="10" t="n">
        <v>0.9006630842700087</v>
      </c>
      <c r="V309" s="10" t="n">
        <v>3.602652337080035</v>
      </c>
    </row>
    <row r="310">
      <c r="I310" s="8" t="inlineStr">
        <is>
          <t>ACE-10304</t>
        </is>
      </c>
      <c r="J310" s="8" t="inlineStr">
        <is>
          <t>2026-05-24 09:32:47</t>
        </is>
      </c>
      <c r="K310" s="8" t="inlineStr">
        <is>
          <t>CUST-72666</t>
        </is>
      </c>
      <c r="L310" s="9" t="inlineStr">
        <is>
          <t>GBP-PKR</t>
        </is>
      </c>
      <c r="M310" s="8" t="inlineStr">
        <is>
          <t>GBP</t>
        </is>
      </c>
      <c r="N310" s="10" t="n">
        <v>296.1383162214582</v>
      </c>
      <c r="O310" s="11" t="n">
        <v>1</v>
      </c>
      <c r="P310" s="10" t="n">
        <v>296.1383162214582</v>
      </c>
      <c r="Q310" s="10" t="n">
        <v>1.5</v>
      </c>
      <c r="R310" s="12" t="n">
        <v>0.021</v>
      </c>
      <c r="S310" s="13" t="inlineStr">
        <is>
          <t>Success</t>
        </is>
      </c>
      <c r="T310" s="10" t="n">
        <v>0.4442074743321873</v>
      </c>
      <c r="U310" s="10" t="n">
        <v>0</v>
      </c>
      <c r="V310" s="10" t="n">
        <v>3.553659794657498</v>
      </c>
    </row>
    <row r="311">
      <c r="I311" s="8" t="inlineStr">
        <is>
          <t>ACE-10305</t>
        </is>
      </c>
      <c r="J311" s="8" t="inlineStr">
        <is>
          <t>2026-05-03 13:38:49</t>
        </is>
      </c>
      <c r="K311" s="8" t="inlineStr">
        <is>
          <t>CUST-90230</t>
        </is>
      </c>
      <c r="L311" s="9" t="inlineStr">
        <is>
          <t>GBP-PKR</t>
        </is>
      </c>
      <c r="M311" s="8" t="inlineStr">
        <is>
          <t>GBP</t>
        </is>
      </c>
      <c r="N311" s="10" t="n">
        <v>278.0217766157218</v>
      </c>
      <c r="O311" s="11" t="n">
        <v>1</v>
      </c>
      <c r="P311" s="10" t="n">
        <v>278.0217766157218</v>
      </c>
      <c r="Q311" s="10" t="n">
        <v>1.5</v>
      </c>
      <c r="R311" s="12" t="n">
        <v>0.021</v>
      </c>
      <c r="S311" s="13" t="inlineStr">
        <is>
          <t>Success</t>
        </is>
      </c>
      <c r="T311" s="10" t="n">
        <v>0.4170326649235827</v>
      </c>
      <c r="U311" s="10" t="n">
        <v>0</v>
      </c>
      <c r="V311" s="10" t="n">
        <v>3.336261319388661</v>
      </c>
    </row>
    <row r="312">
      <c r="I312" s="8" t="inlineStr">
        <is>
          <t>ACE-10306</t>
        </is>
      </c>
      <c r="J312" s="8" t="inlineStr">
        <is>
          <t>2026-05-11 08:40:17</t>
        </is>
      </c>
      <c r="K312" s="8" t="inlineStr">
        <is>
          <t>CUST-79527</t>
        </is>
      </c>
      <c r="L312" s="9" t="inlineStr">
        <is>
          <t>USD-PKR</t>
        </is>
      </c>
      <c r="M312" s="8" t="inlineStr">
        <is>
          <t>USD</t>
        </is>
      </c>
      <c r="N312" s="10" t="n">
        <v>221.4861999162783</v>
      </c>
      <c r="O312" s="11" t="n">
        <v>0.8</v>
      </c>
      <c r="P312" s="10" t="n">
        <v>177.1889599330227</v>
      </c>
      <c r="Q312" s="10" t="n">
        <v>1.6</v>
      </c>
      <c r="R312" s="12" t="n">
        <v>0.019</v>
      </c>
      <c r="S312" s="13" t="inlineStr">
        <is>
          <t>Success</t>
        </is>
      </c>
      <c r="T312" s="10" t="n">
        <v>0.265783439899534</v>
      </c>
      <c r="U312" s="10" t="n">
        <v>0</v>
      </c>
      <c r="V312" s="10" t="n">
        <v>2.126267519196272</v>
      </c>
    </row>
    <row r="313">
      <c r="I313" s="8" t="inlineStr">
        <is>
          <t>ACE-10307</t>
        </is>
      </c>
      <c r="J313" s="8" t="inlineStr">
        <is>
          <t>2026-05-13 14:11:43</t>
        </is>
      </c>
      <c r="K313" s="8" t="inlineStr">
        <is>
          <t>CUST-88395</t>
        </is>
      </c>
      <c r="L313" s="9" t="inlineStr">
        <is>
          <t>GBP-PKR</t>
        </is>
      </c>
      <c r="M313" s="8" t="inlineStr">
        <is>
          <t>GBP</t>
        </is>
      </c>
      <c r="N313" s="10" t="n">
        <v>316.57370597429</v>
      </c>
      <c r="O313" s="11" t="n">
        <v>1</v>
      </c>
      <c r="P313" s="10" t="n">
        <v>316.57370597429</v>
      </c>
      <c r="Q313" s="10" t="n">
        <v>1.5</v>
      </c>
      <c r="R313" s="12" t="n">
        <v>0.021</v>
      </c>
      <c r="S313" s="13" t="inlineStr">
        <is>
          <t>Success</t>
        </is>
      </c>
      <c r="T313" s="10" t="n">
        <v>0.474860558961435</v>
      </c>
      <c r="U313" s="10" t="n">
        <v>0</v>
      </c>
      <c r="V313" s="10" t="n">
        <v>3.79888447169148</v>
      </c>
    </row>
    <row r="314">
      <c r="I314" s="8" t="inlineStr">
        <is>
          <t>ACE-10308</t>
        </is>
      </c>
      <c r="J314" s="8" t="inlineStr">
        <is>
          <t>2026-05-20 12:51:15</t>
        </is>
      </c>
      <c r="K314" s="8" t="inlineStr">
        <is>
          <t>CUST-96734</t>
        </is>
      </c>
      <c r="L314" s="9" t="inlineStr">
        <is>
          <t>USD-PKR</t>
        </is>
      </c>
      <c r="M314" s="8" t="inlineStr">
        <is>
          <t>USD</t>
        </is>
      </c>
      <c r="N314" s="10" t="n">
        <v>206.3286750915735</v>
      </c>
      <c r="O314" s="11" t="n">
        <v>0.8</v>
      </c>
      <c r="P314" s="10" t="n">
        <v>165.0629400732588</v>
      </c>
      <c r="Q314" s="10" t="n">
        <v>1.6</v>
      </c>
      <c r="R314" s="12" t="n">
        <v>0.019</v>
      </c>
      <c r="S314" s="13" t="inlineStr">
        <is>
          <t>Success</t>
        </is>
      </c>
      <c r="T314" s="10" t="n">
        <v>0.2475944101098882</v>
      </c>
      <c r="U314" s="10" t="n">
        <v>0</v>
      </c>
      <c r="V314" s="10" t="n">
        <v>1.980755280879106</v>
      </c>
    </row>
    <row r="315">
      <c r="I315" s="8" t="inlineStr">
        <is>
          <t>ACE-10309</t>
        </is>
      </c>
      <c r="J315" s="8" t="inlineStr">
        <is>
          <t>2026-05-13 19:50:40</t>
        </is>
      </c>
      <c r="K315" s="8" t="inlineStr">
        <is>
          <t>CUST-60110</t>
        </is>
      </c>
      <c r="L315" s="9" t="inlineStr">
        <is>
          <t>GBP-PKR</t>
        </is>
      </c>
      <c r="M315" s="8" t="inlineStr">
        <is>
          <t>GBP</t>
        </is>
      </c>
      <c r="N315" s="10" t="n">
        <v>294.2704790842856</v>
      </c>
      <c r="O315" s="11" t="n">
        <v>1</v>
      </c>
      <c r="P315" s="10" t="n">
        <v>294.2704790842856</v>
      </c>
      <c r="Q315" s="10" t="n">
        <v>1.5</v>
      </c>
      <c r="R315" s="12" t="n">
        <v>0.021</v>
      </c>
      <c r="S315" s="13" t="inlineStr">
        <is>
          <t>Success</t>
        </is>
      </c>
      <c r="T315" s="10" t="n">
        <v>0.4414057186264284</v>
      </c>
      <c r="U315" s="10" t="n">
        <v>0</v>
      </c>
      <c r="V315" s="10" t="n">
        <v>3.531245749011427</v>
      </c>
    </row>
    <row r="316">
      <c r="I316" s="8" t="inlineStr">
        <is>
          <t>ACE-10310</t>
        </is>
      </c>
      <c r="J316" s="8" t="inlineStr">
        <is>
          <t>2026-05-04 09:00:19</t>
        </is>
      </c>
      <c r="K316" s="8" t="inlineStr">
        <is>
          <t>CUST-79146</t>
        </is>
      </c>
      <c r="L316" s="9" t="inlineStr">
        <is>
          <t>GBP-PKR</t>
        </is>
      </c>
      <c r="M316" s="8" t="inlineStr">
        <is>
          <t>GBP</t>
        </is>
      </c>
      <c r="N316" s="10" t="n">
        <v>273.0269034938161</v>
      </c>
      <c r="O316" s="11" t="n">
        <v>1</v>
      </c>
      <c r="P316" s="10" t="n">
        <v>273.0269034938161</v>
      </c>
      <c r="Q316" s="10" t="n">
        <v>1.5</v>
      </c>
      <c r="R316" s="12" t="n">
        <v>0.021</v>
      </c>
      <c r="S316" s="13" t="inlineStr">
        <is>
          <t>Success</t>
        </is>
      </c>
      <c r="T316" s="10" t="n">
        <v>0.4095403552407242</v>
      </c>
      <c r="U316" s="10" t="n">
        <v>0</v>
      </c>
      <c r="V316" s="10" t="n">
        <v>3.276322841925793</v>
      </c>
    </row>
    <row r="317">
      <c r="I317" s="8" t="inlineStr">
        <is>
          <t>ACE-10311</t>
        </is>
      </c>
      <c r="J317" s="8" t="inlineStr">
        <is>
          <t>2026-05-05 09:11:27</t>
        </is>
      </c>
      <c r="K317" s="8" t="inlineStr">
        <is>
          <t>CUST-79415</t>
        </is>
      </c>
      <c r="L317" s="9" t="inlineStr">
        <is>
          <t>GBP-PKR</t>
        </is>
      </c>
      <c r="M317" s="8" t="inlineStr">
        <is>
          <t>GBP</t>
        </is>
      </c>
      <c r="N317" s="10" t="n">
        <v>272.6043517077586</v>
      </c>
      <c r="O317" s="11" t="n">
        <v>1</v>
      </c>
      <c r="P317" s="10" t="n">
        <v>272.6043517077586</v>
      </c>
      <c r="Q317" s="10" t="n">
        <v>1.5</v>
      </c>
      <c r="R317" s="12" t="n">
        <v>0.021</v>
      </c>
      <c r="S317" s="13" t="inlineStr">
        <is>
          <t>Success</t>
        </is>
      </c>
      <c r="T317" s="10" t="n">
        <v>0.4089065275616379</v>
      </c>
      <c r="U317" s="10" t="n">
        <v>0</v>
      </c>
      <c r="V317" s="10" t="n">
        <v>3.271252220493103</v>
      </c>
    </row>
    <row r="318">
      <c r="I318" s="8" t="inlineStr">
        <is>
          <t>ACE-10312</t>
        </is>
      </c>
      <c r="J318" s="8" t="inlineStr">
        <is>
          <t>2026-05-04 08:05:22</t>
        </is>
      </c>
      <c r="K318" s="8" t="inlineStr">
        <is>
          <t>CUST-86321</t>
        </is>
      </c>
      <c r="L318" s="9" t="inlineStr">
        <is>
          <t>GBP-PKR</t>
        </is>
      </c>
      <c r="M318" s="8" t="inlineStr">
        <is>
          <t>GBP</t>
        </is>
      </c>
      <c r="N318" s="10" t="n">
        <v>310.9609334485923</v>
      </c>
      <c r="O318" s="11" t="n">
        <v>1</v>
      </c>
      <c r="P318" s="10" t="n">
        <v>310.9609334485923</v>
      </c>
      <c r="Q318" s="10" t="n">
        <v>1.5</v>
      </c>
      <c r="R318" s="12" t="n">
        <v>0.021</v>
      </c>
      <c r="S318" s="13" t="inlineStr">
        <is>
          <t>Success</t>
        </is>
      </c>
      <c r="T318" s="10" t="n">
        <v>0.4664414001728885</v>
      </c>
      <c r="U318" s="10" t="n">
        <v>0</v>
      </c>
      <c r="V318" s="10" t="n">
        <v>3.731531201383108</v>
      </c>
    </row>
    <row r="319">
      <c r="I319" s="8" t="inlineStr">
        <is>
          <t>ACE-10313</t>
        </is>
      </c>
      <c r="J319" s="8" t="inlineStr">
        <is>
          <t>2026-05-11 14:00:18</t>
        </is>
      </c>
      <c r="K319" s="8" t="inlineStr">
        <is>
          <t>CUST-77119</t>
        </is>
      </c>
      <c r="L319" s="9" t="inlineStr">
        <is>
          <t>GBP-PKR</t>
        </is>
      </c>
      <c r="M319" s="8" t="inlineStr">
        <is>
          <t>GBP</t>
        </is>
      </c>
      <c r="N319" s="10" t="n">
        <v>302.5756225315725</v>
      </c>
      <c r="O319" s="11" t="n">
        <v>1</v>
      </c>
      <c r="P319" s="10" t="n">
        <v>302.5756225315725</v>
      </c>
      <c r="Q319" s="10" t="n">
        <v>1.5</v>
      </c>
      <c r="R319" s="12" t="n">
        <v>0.021</v>
      </c>
      <c r="S319" s="13" t="inlineStr">
        <is>
          <t>Success</t>
        </is>
      </c>
      <c r="T319" s="10" t="n">
        <v>0.4538634337973588</v>
      </c>
      <c r="U319" s="10" t="n">
        <v>0</v>
      </c>
      <c r="V319" s="10" t="n">
        <v>3.630907470378871</v>
      </c>
    </row>
    <row r="320">
      <c r="I320" s="8" t="inlineStr">
        <is>
          <t>ACE-10314</t>
        </is>
      </c>
      <c r="J320" s="8" t="inlineStr">
        <is>
          <t>2026-05-18 11:36:33</t>
        </is>
      </c>
      <c r="K320" s="8" t="inlineStr">
        <is>
          <t>CUST-61113</t>
        </is>
      </c>
      <c r="L320" s="9" t="inlineStr">
        <is>
          <t>USD-PKR</t>
        </is>
      </c>
      <c r="M320" s="8" t="inlineStr">
        <is>
          <t>USD</t>
        </is>
      </c>
      <c r="N320" s="10" t="n">
        <v>237.4550897851593</v>
      </c>
      <c r="O320" s="11" t="n">
        <v>0.8</v>
      </c>
      <c r="P320" s="10" t="n">
        <v>189.9640718281274</v>
      </c>
      <c r="Q320" s="10" t="n">
        <v>1.6</v>
      </c>
      <c r="R320" s="12" t="n">
        <v>0.019</v>
      </c>
      <c r="S320" s="13" t="inlineStr">
        <is>
          <t>Success</t>
        </is>
      </c>
      <c r="T320" s="10" t="n">
        <v>0.2849461077421911</v>
      </c>
      <c r="U320" s="10" t="n">
        <v>0</v>
      </c>
      <c r="V320" s="10" t="n">
        <v>2.279568861937529</v>
      </c>
    </row>
    <row r="321">
      <c r="I321" s="8" t="inlineStr">
        <is>
          <t>ACE-10315</t>
        </is>
      </c>
      <c r="J321" s="8" t="inlineStr">
        <is>
          <t>2026-05-09 12:17:31</t>
        </is>
      </c>
      <c r="K321" s="8" t="inlineStr">
        <is>
          <t>CUST-59563</t>
        </is>
      </c>
      <c r="L321" s="9" t="inlineStr">
        <is>
          <t>GBP-PKR</t>
        </is>
      </c>
      <c r="M321" s="8" t="inlineStr">
        <is>
          <t>GBP</t>
        </is>
      </c>
      <c r="N321" s="10" t="n">
        <v>317.4554469389774</v>
      </c>
      <c r="O321" s="11" t="n">
        <v>1</v>
      </c>
      <c r="P321" s="10" t="n">
        <v>317.4554469389774</v>
      </c>
      <c r="Q321" s="10" t="n">
        <v>1.5</v>
      </c>
      <c r="R321" s="12" t="n">
        <v>0.021</v>
      </c>
      <c r="S321" s="13" t="inlineStr">
        <is>
          <t>Success</t>
        </is>
      </c>
      <c r="T321" s="10" t="n">
        <v>0.4761831704084662</v>
      </c>
      <c r="U321" s="10" t="n">
        <v>0</v>
      </c>
      <c r="V321" s="10" t="n">
        <v>3.80946536326773</v>
      </c>
    </row>
    <row r="322">
      <c r="I322" s="8" t="inlineStr">
        <is>
          <t>ACE-10316</t>
        </is>
      </c>
      <c r="J322" s="8" t="inlineStr">
        <is>
          <t>2026-05-14 12:30:50</t>
        </is>
      </c>
      <c r="K322" s="8" t="inlineStr">
        <is>
          <t>CUST-55041</t>
        </is>
      </c>
      <c r="L322" s="9" t="inlineStr">
        <is>
          <t>USD-PKR</t>
        </is>
      </c>
      <c r="M322" s="8" t="inlineStr">
        <is>
          <t>USD</t>
        </is>
      </c>
      <c r="N322" s="10" t="n">
        <v>219.3630084775805</v>
      </c>
      <c r="O322" s="11" t="n">
        <v>0.8</v>
      </c>
      <c r="P322" s="10" t="n">
        <v>175.4904067820644</v>
      </c>
      <c r="Q322" s="10" t="n">
        <v>1.6</v>
      </c>
      <c r="R322" s="12" t="n">
        <v>0.019</v>
      </c>
      <c r="S322" s="13" t="inlineStr">
        <is>
          <t>Success</t>
        </is>
      </c>
      <c r="T322" s="10" t="n">
        <v>0.2632356101730966</v>
      </c>
      <c r="U322" s="10" t="n">
        <v>0.5264712203461932</v>
      </c>
      <c r="V322" s="10" t="n">
        <v>2.105884881384773</v>
      </c>
    </row>
    <row r="323">
      <c r="I323" s="8" t="inlineStr">
        <is>
          <t>ACE-10317</t>
        </is>
      </c>
      <c r="J323" s="8" t="inlineStr">
        <is>
          <t>2026-05-24 18:31:38</t>
        </is>
      </c>
      <c r="K323" s="8" t="inlineStr">
        <is>
          <t>CUST-90414</t>
        </is>
      </c>
      <c r="L323" s="9" t="inlineStr">
        <is>
          <t>GBP-PKR</t>
        </is>
      </c>
      <c r="M323" s="8" t="inlineStr">
        <is>
          <t>GBP</t>
        </is>
      </c>
      <c r="N323" s="10" t="n">
        <v>298.2657597437682</v>
      </c>
      <c r="O323" s="11" t="n">
        <v>1</v>
      </c>
      <c r="P323" s="10" t="n">
        <v>298.2657597437682</v>
      </c>
      <c r="Q323" s="10" t="n">
        <v>1.5</v>
      </c>
      <c r="R323" s="12" t="n">
        <v>0.021</v>
      </c>
      <c r="S323" s="13" t="inlineStr">
        <is>
          <t>Success</t>
        </is>
      </c>
      <c r="T323" s="10" t="n">
        <v>0.4473986396156523</v>
      </c>
      <c r="U323" s="10" t="n">
        <v>0</v>
      </c>
      <c r="V323" s="10" t="n">
        <v>3.579189116925219</v>
      </c>
    </row>
    <row r="324">
      <c r="I324" s="8" t="inlineStr">
        <is>
          <t>ACE-10318</t>
        </is>
      </c>
      <c r="J324" s="8" t="inlineStr">
        <is>
          <t>2026-05-10 08:25:21</t>
        </is>
      </c>
      <c r="K324" s="8" t="inlineStr">
        <is>
          <t>CUST-90644</t>
        </is>
      </c>
      <c r="L324" s="9" t="inlineStr">
        <is>
          <t>USD-PKR</t>
        </is>
      </c>
      <c r="M324" s="8" t="inlineStr">
        <is>
          <t>USD</t>
        </is>
      </c>
      <c r="N324" s="10" t="n">
        <v>212.2152035103044</v>
      </c>
      <c r="O324" s="11" t="n">
        <v>0.8</v>
      </c>
      <c r="P324" s="10" t="n">
        <v>169.7721628082436</v>
      </c>
      <c r="Q324" s="10" t="n">
        <v>1.6</v>
      </c>
      <c r="R324" s="12" t="n">
        <v>0.019</v>
      </c>
      <c r="S324" s="13" t="inlineStr">
        <is>
          <t>Success</t>
        </is>
      </c>
      <c r="T324" s="10" t="n">
        <v>0.2546582442123653</v>
      </c>
      <c r="U324" s="10" t="n">
        <v>0.5093164884247307</v>
      </c>
      <c r="V324" s="10" t="n">
        <v>2.037265953698923</v>
      </c>
    </row>
    <row r="325">
      <c r="I325" s="8" t="inlineStr">
        <is>
          <t>ACE-10319</t>
        </is>
      </c>
      <c r="J325" s="8" t="inlineStr">
        <is>
          <t>2026-05-15 13:27:52</t>
        </is>
      </c>
      <c r="K325" s="8" t="inlineStr">
        <is>
          <t>CUST-92666</t>
        </is>
      </c>
      <c r="L325" s="9" t="inlineStr">
        <is>
          <t>GBP-PKR</t>
        </is>
      </c>
      <c r="M325" s="8" t="inlineStr">
        <is>
          <t>GBP</t>
        </is>
      </c>
      <c r="N325" s="10" t="n">
        <v>287.7828602834688</v>
      </c>
      <c r="O325" s="11" t="n">
        <v>1</v>
      </c>
      <c r="P325" s="10" t="n">
        <v>287.7828602834688</v>
      </c>
      <c r="Q325" s="10" t="n">
        <v>1.5</v>
      </c>
      <c r="R325" s="12" t="n">
        <v>0.021</v>
      </c>
      <c r="S325" s="13" t="inlineStr">
        <is>
          <t>Success</t>
        </is>
      </c>
      <c r="T325" s="10" t="n">
        <v>0.4316742904252032</v>
      </c>
      <c r="U325" s="10" t="n">
        <v>0</v>
      </c>
      <c r="V325" s="10" t="n">
        <v>3.453394323401625</v>
      </c>
    </row>
    <row r="326">
      <c r="I326" s="8" t="inlineStr">
        <is>
          <t>ACE-10320</t>
        </is>
      </c>
      <c r="J326" s="8" t="inlineStr">
        <is>
          <t>2026-05-11 17:44:12</t>
        </is>
      </c>
      <c r="K326" s="8" t="inlineStr">
        <is>
          <t>CUST-81392</t>
        </is>
      </c>
      <c r="L326" s="9" t="inlineStr">
        <is>
          <t>GBP-PKR</t>
        </is>
      </c>
      <c r="M326" s="8" t="inlineStr">
        <is>
          <t>GBP</t>
        </is>
      </c>
      <c r="N326" s="10" t="n">
        <v>275.0011550205508</v>
      </c>
      <c r="O326" s="11" t="n">
        <v>1</v>
      </c>
      <c r="P326" s="10" t="n">
        <v>275.0011550205508</v>
      </c>
      <c r="Q326" s="10" t="n">
        <v>1.5</v>
      </c>
      <c r="R326" s="12" t="n">
        <v>0.021</v>
      </c>
      <c r="S326" s="13" t="inlineStr">
        <is>
          <t>Success</t>
        </is>
      </c>
      <c r="T326" s="10" t="n">
        <v>0.4125017325308261</v>
      </c>
      <c r="U326" s="10" t="n">
        <v>0.8250034650616522</v>
      </c>
      <c r="V326" s="10" t="n">
        <v>3.300013860246609</v>
      </c>
    </row>
    <row r="327">
      <c r="I327" s="8" t="inlineStr">
        <is>
          <t>ACE-10321</t>
        </is>
      </c>
      <c r="J327" s="8" t="inlineStr">
        <is>
          <t>2026-05-11 12:47:44</t>
        </is>
      </c>
      <c r="K327" s="8" t="inlineStr">
        <is>
          <t>CUST-91477</t>
        </is>
      </c>
      <c r="L327" s="9" t="inlineStr">
        <is>
          <t>GBP-PKR</t>
        </is>
      </c>
      <c r="M327" s="8" t="inlineStr">
        <is>
          <t>GBP</t>
        </is>
      </c>
      <c r="N327" s="10" t="n">
        <v>281.3189839383338</v>
      </c>
      <c r="O327" s="11" t="n">
        <v>1</v>
      </c>
      <c r="P327" s="10" t="n">
        <v>281.3189839383338</v>
      </c>
      <c r="Q327" s="10" t="n">
        <v>1.5</v>
      </c>
      <c r="R327" s="12" t="n">
        <v>0.021</v>
      </c>
      <c r="S327" s="13" t="inlineStr">
        <is>
          <t>Success</t>
        </is>
      </c>
      <c r="T327" s="10" t="n">
        <v>0.4219784759075006</v>
      </c>
      <c r="U327" s="10" t="n">
        <v>0</v>
      </c>
      <c r="V327" s="10" t="n">
        <v>3.375827807260005</v>
      </c>
    </row>
    <row r="328">
      <c r="I328" s="8" t="inlineStr">
        <is>
          <t>ACE-10322</t>
        </is>
      </c>
      <c r="J328" s="8" t="inlineStr">
        <is>
          <t>2026-05-08 13:24:17</t>
        </is>
      </c>
      <c r="K328" s="8" t="inlineStr">
        <is>
          <t>CUST-75751</t>
        </is>
      </c>
      <c r="L328" s="9" t="inlineStr">
        <is>
          <t>EUR-PKR</t>
        </is>
      </c>
      <c r="M328" s="8" t="inlineStr">
        <is>
          <t>EUR</t>
        </is>
      </c>
      <c r="N328" s="10" t="n">
        <v>200.6455211389334</v>
      </c>
      <c r="O328" s="11" t="n">
        <v>0.85</v>
      </c>
      <c r="P328" s="10" t="n">
        <v>170.5486929680934</v>
      </c>
      <c r="Q328" s="10" t="n">
        <v>1.275</v>
      </c>
      <c r="R328" s="12" t="n">
        <v>0.023</v>
      </c>
      <c r="S328" s="13" t="inlineStr">
        <is>
          <t>Success</t>
        </is>
      </c>
      <c r="T328" s="10" t="n">
        <v>0.2558230394521401</v>
      </c>
      <c r="U328" s="10" t="n">
        <v>0.5116460789042802</v>
      </c>
      <c r="V328" s="10" t="n">
        <v>2.5582303945214</v>
      </c>
    </row>
    <row r="329">
      <c r="I329" s="8" t="inlineStr">
        <is>
          <t>ACE-10323</t>
        </is>
      </c>
      <c r="J329" s="8" t="inlineStr">
        <is>
          <t>2026-05-07 17:34:11</t>
        </is>
      </c>
      <c r="K329" s="8" t="inlineStr">
        <is>
          <t>CUST-94676</t>
        </is>
      </c>
      <c r="L329" s="9" t="inlineStr">
        <is>
          <t>USD-PKR</t>
        </is>
      </c>
      <c r="M329" s="8" t="inlineStr">
        <is>
          <t>USD</t>
        </is>
      </c>
      <c r="N329" s="10" t="n">
        <v>201.7048475282369</v>
      </c>
      <c r="O329" s="11" t="n">
        <v>0.8</v>
      </c>
      <c r="P329" s="10" t="n">
        <v>161.3638780225896</v>
      </c>
      <c r="Q329" s="10" t="n">
        <v>1.6</v>
      </c>
      <c r="R329" s="12" t="n">
        <v>0.019</v>
      </c>
      <c r="S329" s="13" t="inlineStr">
        <is>
          <t>Success</t>
        </is>
      </c>
      <c r="T329" s="10" t="n">
        <v>0.2420458170338844</v>
      </c>
      <c r="U329" s="10" t="n">
        <v>0</v>
      </c>
      <c r="V329" s="10" t="n">
        <v>1.936366536271075</v>
      </c>
    </row>
    <row r="330">
      <c r="I330" s="8" t="inlineStr">
        <is>
          <t>ACE-10324</t>
        </is>
      </c>
      <c r="J330" s="8" t="inlineStr">
        <is>
          <t>2026-05-24 15:45:13</t>
        </is>
      </c>
      <c r="K330" s="8" t="inlineStr">
        <is>
          <t>CUST-78734</t>
        </is>
      </c>
      <c r="L330" s="9" t="inlineStr">
        <is>
          <t>GBP-PKR</t>
        </is>
      </c>
      <c r="M330" s="8" t="inlineStr">
        <is>
          <t>GBP</t>
        </is>
      </c>
      <c r="N330" s="10" t="n">
        <v>343.4454630822226</v>
      </c>
      <c r="O330" s="11" t="n">
        <v>1</v>
      </c>
      <c r="P330" s="10" t="n">
        <v>343.4454630822226</v>
      </c>
      <c r="Q330" s="10" t="n">
        <v>1.5</v>
      </c>
      <c r="R330" s="12" t="n">
        <v>0.021</v>
      </c>
      <c r="S330" s="13" t="inlineStr">
        <is>
          <t>Success</t>
        </is>
      </c>
      <c r="T330" s="10" t="n">
        <v>0.515168194623334</v>
      </c>
      <c r="U330" s="10" t="n">
        <v>1.030336389246668</v>
      </c>
      <c r="V330" s="10" t="n">
        <v>4.121345556986672</v>
      </c>
    </row>
    <row r="331">
      <c r="I331" s="8" t="inlineStr">
        <is>
          <t>ACE-10325</t>
        </is>
      </c>
      <c r="J331" s="8" t="inlineStr">
        <is>
          <t>2026-05-03 20:50:26</t>
        </is>
      </c>
      <c r="K331" s="8" t="inlineStr">
        <is>
          <t>CUST-94104</t>
        </is>
      </c>
      <c r="L331" s="9" t="inlineStr">
        <is>
          <t>GBP-PKR</t>
        </is>
      </c>
      <c r="M331" s="8" t="inlineStr">
        <is>
          <t>GBP</t>
        </is>
      </c>
      <c r="N331" s="10" t="n">
        <v>251.9392192631149</v>
      </c>
      <c r="O331" s="11" t="n">
        <v>1</v>
      </c>
      <c r="P331" s="10" t="n">
        <v>251.9392192631149</v>
      </c>
      <c r="Q331" s="10" t="n">
        <v>1.5</v>
      </c>
      <c r="R331" s="12" t="n">
        <v>0.021</v>
      </c>
      <c r="S331" s="13" t="inlineStr">
        <is>
          <t>Success</t>
        </is>
      </c>
      <c r="T331" s="10" t="n">
        <v>0.3779088288946724</v>
      </c>
      <c r="U331" s="10" t="n">
        <v>0.7558176577893447</v>
      </c>
      <c r="V331" s="10" t="n">
        <v>3.023270631157379</v>
      </c>
    </row>
    <row r="332">
      <c r="I332" s="8" t="inlineStr">
        <is>
          <t>ACE-10326</t>
        </is>
      </c>
      <c r="J332" s="8" t="inlineStr">
        <is>
          <t>2026-05-08 12:42:09</t>
        </is>
      </c>
      <c r="K332" s="8" t="inlineStr">
        <is>
          <t>CUST-96873</t>
        </is>
      </c>
      <c r="L332" s="9" t="inlineStr">
        <is>
          <t>GBP-PKR</t>
        </is>
      </c>
      <c r="M332" s="8" t="inlineStr">
        <is>
          <t>GBP</t>
        </is>
      </c>
      <c r="N332" s="10" t="n">
        <v>246.7487819406029</v>
      </c>
      <c r="O332" s="11" t="n">
        <v>1</v>
      </c>
      <c r="P332" s="10" t="n">
        <v>246.7487819406029</v>
      </c>
      <c r="Q332" s="10" t="n">
        <v>1.5</v>
      </c>
      <c r="R332" s="12" t="n">
        <v>0.021</v>
      </c>
      <c r="S332" s="13" t="inlineStr">
        <is>
          <t>Success</t>
        </is>
      </c>
      <c r="T332" s="10" t="n">
        <v>0.3701231729109044</v>
      </c>
      <c r="U332" s="10" t="n">
        <v>0</v>
      </c>
      <c r="V332" s="10" t="n">
        <v>2.960985383287235</v>
      </c>
    </row>
    <row r="333">
      <c r="I333" s="8" t="inlineStr">
        <is>
          <t>ACE-10327</t>
        </is>
      </c>
      <c r="J333" s="8" t="inlineStr">
        <is>
          <t>2026-05-15 17:30:37</t>
        </is>
      </c>
      <c r="K333" s="8" t="inlineStr">
        <is>
          <t>CUST-76267</t>
        </is>
      </c>
      <c r="L333" s="9" t="inlineStr">
        <is>
          <t>USD-PKR</t>
        </is>
      </c>
      <c r="M333" s="8" t="inlineStr">
        <is>
          <t>USD</t>
        </is>
      </c>
      <c r="N333" s="10" t="n">
        <v>245.7804440869909</v>
      </c>
      <c r="O333" s="11" t="n">
        <v>0.8</v>
      </c>
      <c r="P333" s="10" t="n">
        <v>196.6243552695928</v>
      </c>
      <c r="Q333" s="10" t="n">
        <v>1.6</v>
      </c>
      <c r="R333" s="12" t="n">
        <v>0.019</v>
      </c>
      <c r="S333" s="13" t="inlineStr">
        <is>
          <t>Success</t>
        </is>
      </c>
      <c r="T333" s="10" t="n">
        <v>0.2949365329043891</v>
      </c>
      <c r="U333" s="10" t="n">
        <v>0.5898730658087783</v>
      </c>
      <c r="V333" s="10" t="n">
        <v>2.359492263235113</v>
      </c>
    </row>
    <row r="334">
      <c r="I334" s="8" t="inlineStr">
        <is>
          <t>ACE-10328</t>
        </is>
      </c>
      <c r="J334" s="8" t="inlineStr">
        <is>
          <t>2026-05-23 14:34:02</t>
        </is>
      </c>
      <c r="K334" s="8" t="inlineStr">
        <is>
          <t>CUST-73562</t>
        </is>
      </c>
      <c r="L334" s="9" t="inlineStr">
        <is>
          <t>GBP-PKR</t>
        </is>
      </c>
      <c r="M334" s="8" t="inlineStr">
        <is>
          <t>GBP</t>
        </is>
      </c>
      <c r="N334" s="10" t="n">
        <v>301.556040911708</v>
      </c>
      <c r="O334" s="11" t="n">
        <v>1</v>
      </c>
      <c r="P334" s="10" t="n">
        <v>301.556040911708</v>
      </c>
      <c r="Q334" s="10" t="n">
        <v>1.5</v>
      </c>
      <c r="R334" s="12" t="n">
        <v>0.021</v>
      </c>
      <c r="S334" s="13" t="inlineStr">
        <is>
          <t>Success</t>
        </is>
      </c>
      <c r="T334" s="10" t="n">
        <v>0.4523340613675619</v>
      </c>
      <c r="U334" s="10" t="n">
        <v>0.9046681227351239</v>
      </c>
      <c r="V334" s="10" t="n">
        <v>3.618672490940495</v>
      </c>
    </row>
    <row r="335">
      <c r="I335" s="8" t="inlineStr">
        <is>
          <t>ACE-10329</t>
        </is>
      </c>
      <c r="J335" s="8" t="inlineStr">
        <is>
          <t>2026-05-20 18:58:05</t>
        </is>
      </c>
      <c r="K335" s="8" t="inlineStr">
        <is>
          <t>CUST-57167</t>
        </is>
      </c>
      <c r="L335" s="9" t="inlineStr">
        <is>
          <t>USD-PKR</t>
        </is>
      </c>
      <c r="M335" s="8" t="inlineStr">
        <is>
          <t>USD</t>
        </is>
      </c>
      <c r="N335" s="10" t="n">
        <v>233.0002503567419</v>
      </c>
      <c r="O335" s="11" t="n">
        <v>0.8</v>
      </c>
      <c r="P335" s="10" t="n">
        <v>186.4002002853935</v>
      </c>
      <c r="Q335" s="10" t="n">
        <v>1.6</v>
      </c>
      <c r="R335" s="12" t="n">
        <v>0.019</v>
      </c>
      <c r="S335" s="13" t="inlineStr">
        <is>
          <t>Success</t>
        </is>
      </c>
      <c r="T335" s="10" t="n">
        <v>0.2796003004280903</v>
      </c>
      <c r="U335" s="10" t="n">
        <v>0.5592006008561806</v>
      </c>
      <c r="V335" s="10" t="n">
        <v>2.236802403424722</v>
      </c>
    </row>
    <row r="336">
      <c r="I336" s="8" t="inlineStr">
        <is>
          <t>ACE-10330</t>
        </is>
      </c>
      <c r="J336" s="8" t="inlineStr">
        <is>
          <t>2026-05-12 10:41:39</t>
        </is>
      </c>
      <c r="K336" s="8" t="inlineStr">
        <is>
          <t>CUST-52903</t>
        </is>
      </c>
      <c r="L336" s="9" t="inlineStr">
        <is>
          <t>GBP-PKR</t>
        </is>
      </c>
      <c r="M336" s="8" t="inlineStr">
        <is>
          <t>GBP</t>
        </is>
      </c>
      <c r="N336" s="10" t="n">
        <v>296.6711107777747</v>
      </c>
      <c r="O336" s="11" t="n">
        <v>1</v>
      </c>
      <c r="P336" s="10" t="n">
        <v>296.6711107777747</v>
      </c>
      <c r="Q336" s="10" t="n">
        <v>1.5</v>
      </c>
      <c r="R336" s="12" t="n">
        <v>0.021</v>
      </c>
      <c r="S336" s="13" t="inlineStr">
        <is>
          <t>Success</t>
        </is>
      </c>
      <c r="T336" s="10" t="n">
        <v>0.4450066661666621</v>
      </c>
      <c r="U336" s="10" t="n">
        <v>0.8900133323333242</v>
      </c>
      <c r="V336" s="10" t="n">
        <v>3.560053329333297</v>
      </c>
    </row>
    <row r="337">
      <c r="I337" s="8" t="inlineStr">
        <is>
          <t>ACE-10331</t>
        </is>
      </c>
      <c r="J337" s="8" t="inlineStr">
        <is>
          <t>2026-05-21 14:48:21</t>
        </is>
      </c>
      <c r="K337" s="8" t="inlineStr">
        <is>
          <t>CUST-78210</t>
        </is>
      </c>
      <c r="L337" s="9" t="inlineStr">
        <is>
          <t>GBP-PKR</t>
        </is>
      </c>
      <c r="M337" s="8" t="inlineStr">
        <is>
          <t>GBP</t>
        </is>
      </c>
      <c r="N337" s="10" t="n">
        <v>278.2625036474957</v>
      </c>
      <c r="O337" s="11" t="n">
        <v>1</v>
      </c>
      <c r="P337" s="10" t="n">
        <v>278.2625036474957</v>
      </c>
      <c r="Q337" s="10" t="n">
        <v>1.5</v>
      </c>
      <c r="R337" s="12" t="n">
        <v>0.021</v>
      </c>
      <c r="S337" s="13" t="inlineStr">
        <is>
          <t>Success</t>
        </is>
      </c>
      <c r="T337" s="10" t="n">
        <v>0.4173937554712435</v>
      </c>
      <c r="U337" s="10" t="n">
        <v>0</v>
      </c>
      <c r="V337" s="10" t="n">
        <v>3.339150043769948</v>
      </c>
    </row>
    <row r="338">
      <c r="I338" s="8" t="inlineStr">
        <is>
          <t>ACE-10332</t>
        </is>
      </c>
      <c r="J338" s="8" t="inlineStr">
        <is>
          <t>2026-05-08 16:47:33</t>
        </is>
      </c>
      <c r="K338" s="8" t="inlineStr">
        <is>
          <t>CUST-86568</t>
        </is>
      </c>
      <c r="L338" s="9" t="inlineStr">
        <is>
          <t>GBP-PKR</t>
        </is>
      </c>
      <c r="M338" s="8" t="inlineStr">
        <is>
          <t>GBP</t>
        </is>
      </c>
      <c r="N338" s="10" t="n">
        <v>254.6943416566325</v>
      </c>
      <c r="O338" s="11" t="n">
        <v>1</v>
      </c>
      <c r="P338" s="10" t="n">
        <v>254.6943416566325</v>
      </c>
      <c r="Q338" s="10" t="n">
        <v>1.5</v>
      </c>
      <c r="R338" s="12" t="n">
        <v>0.021</v>
      </c>
      <c r="S338" s="13" t="inlineStr">
        <is>
          <t>Success</t>
        </is>
      </c>
      <c r="T338" s="10" t="n">
        <v>0.3820415124849488</v>
      </c>
      <c r="U338" s="10" t="n">
        <v>0</v>
      </c>
      <c r="V338" s="10" t="n">
        <v>3.056332099879591</v>
      </c>
    </row>
    <row r="339">
      <c r="I339" s="8" t="inlineStr">
        <is>
          <t>ACE-10333</t>
        </is>
      </c>
      <c r="J339" s="8" t="inlineStr">
        <is>
          <t>2026-05-15 13:25:29</t>
        </is>
      </c>
      <c r="K339" s="8" t="inlineStr">
        <is>
          <t>CUST-94535</t>
        </is>
      </c>
      <c r="L339" s="9" t="inlineStr">
        <is>
          <t>USD-PKR</t>
        </is>
      </c>
      <c r="M339" s="8" t="inlineStr">
        <is>
          <t>USD</t>
        </is>
      </c>
      <c r="N339" s="10" t="n">
        <v>220.5684333734439</v>
      </c>
      <c r="O339" s="11" t="n">
        <v>0.8</v>
      </c>
      <c r="P339" s="10" t="n">
        <v>176.4547466987551</v>
      </c>
      <c r="Q339" s="10" t="n">
        <v>1.6</v>
      </c>
      <c r="R339" s="12" t="n">
        <v>0.019</v>
      </c>
      <c r="S339" s="13" t="inlineStr">
        <is>
          <t>Success</t>
        </is>
      </c>
      <c r="T339" s="10" t="n">
        <v>0.2646821200481327</v>
      </c>
      <c r="U339" s="10" t="n">
        <v>0</v>
      </c>
      <c r="V339" s="10" t="n">
        <v>2.117456960385061</v>
      </c>
    </row>
    <row r="340">
      <c r="I340" s="8" t="inlineStr">
        <is>
          <t>ACE-10334</t>
        </is>
      </c>
      <c r="J340" s="8" t="inlineStr">
        <is>
          <t>2026-05-12 08:30:06</t>
        </is>
      </c>
      <c r="K340" s="8" t="inlineStr">
        <is>
          <t>CUST-69361</t>
        </is>
      </c>
      <c r="L340" s="9" t="inlineStr">
        <is>
          <t>GBP-PKR</t>
        </is>
      </c>
      <c r="M340" s="8" t="inlineStr">
        <is>
          <t>GBP</t>
        </is>
      </c>
      <c r="N340" s="10" t="n">
        <v>260.3621202018271</v>
      </c>
      <c r="O340" s="11" t="n">
        <v>1</v>
      </c>
      <c r="P340" s="10" t="n">
        <v>260.3621202018271</v>
      </c>
      <c r="Q340" s="10" t="n">
        <v>1.5</v>
      </c>
      <c r="R340" s="12" t="n">
        <v>0.021</v>
      </c>
      <c r="S340" s="13" t="inlineStr">
        <is>
          <t>Success</t>
        </is>
      </c>
      <c r="T340" s="10" t="n">
        <v>0.3905431803027407</v>
      </c>
      <c r="U340" s="10" t="n">
        <v>0.7810863606054813</v>
      </c>
      <c r="V340" s="10" t="n">
        <v>3.124345442421925</v>
      </c>
    </row>
    <row r="341">
      <c r="I341" s="8" t="inlineStr">
        <is>
          <t>ACE-10335</t>
        </is>
      </c>
      <c r="J341" s="8" t="inlineStr">
        <is>
          <t>2026-05-04 19:09:22</t>
        </is>
      </c>
      <c r="K341" s="8" t="inlineStr">
        <is>
          <t>CUST-70440</t>
        </is>
      </c>
      <c r="L341" s="9" t="inlineStr">
        <is>
          <t>EUR-PKR</t>
        </is>
      </c>
      <c r="M341" s="8" t="inlineStr">
        <is>
          <t>EUR</t>
        </is>
      </c>
      <c r="N341" s="10" t="n">
        <v>208.4159923174259</v>
      </c>
      <c r="O341" s="11" t="n">
        <v>0.85</v>
      </c>
      <c r="P341" s="10" t="n">
        <v>177.153593469812</v>
      </c>
      <c r="Q341" s="10" t="n">
        <v>1.275</v>
      </c>
      <c r="R341" s="12" t="n">
        <v>0.023</v>
      </c>
      <c r="S341" s="13" t="inlineStr">
        <is>
          <t>Success</t>
        </is>
      </c>
      <c r="T341" s="10" t="n">
        <v>0.265730390204718</v>
      </c>
      <c r="U341" s="10" t="n">
        <v>0.531460780409436</v>
      </c>
      <c r="V341" s="10" t="n">
        <v>2.65730390204718</v>
      </c>
    </row>
    <row r="342">
      <c r="I342" s="8" t="inlineStr">
        <is>
          <t>ACE-10336</t>
        </is>
      </c>
      <c r="J342" s="8" t="inlineStr">
        <is>
          <t>2026-05-17 15:22:30</t>
        </is>
      </c>
      <c r="K342" s="8" t="inlineStr">
        <is>
          <t>CUST-56397</t>
        </is>
      </c>
      <c r="L342" s="9" t="inlineStr">
        <is>
          <t>EUR-PKR</t>
        </is>
      </c>
      <c r="M342" s="8" t="inlineStr">
        <is>
          <t>EUR</t>
        </is>
      </c>
      <c r="N342" s="10" t="n">
        <v>186.2925586564465</v>
      </c>
      <c r="O342" s="11" t="n">
        <v>0.85</v>
      </c>
      <c r="P342" s="10" t="n">
        <v>158.3486748579795</v>
      </c>
      <c r="Q342" s="10" t="n">
        <v>1.275</v>
      </c>
      <c r="R342" s="12" t="n">
        <v>0.023</v>
      </c>
      <c r="S342" s="13" t="inlineStr">
        <is>
          <t>Success</t>
        </is>
      </c>
      <c r="T342" s="10" t="n">
        <v>0.2375230122869693</v>
      </c>
      <c r="U342" s="10" t="n">
        <v>0.4750460245739386</v>
      </c>
      <c r="V342" s="10" t="n">
        <v>2.375230122869693</v>
      </c>
    </row>
    <row r="343">
      <c r="I343" s="8" t="inlineStr">
        <is>
          <t>ACE-10337</t>
        </is>
      </c>
      <c r="J343" s="8" t="inlineStr">
        <is>
          <t>2026-05-11 09:19:02</t>
        </is>
      </c>
      <c r="K343" s="8" t="inlineStr">
        <is>
          <t>CUST-96581</t>
        </is>
      </c>
      <c r="L343" s="9" t="inlineStr">
        <is>
          <t>GBP-PKR</t>
        </is>
      </c>
      <c r="M343" s="8" t="inlineStr">
        <is>
          <t>GBP</t>
        </is>
      </c>
      <c r="N343" s="10" t="n">
        <v>256.5285292289731</v>
      </c>
      <c r="O343" s="11" t="n">
        <v>1</v>
      </c>
      <c r="P343" s="10" t="n">
        <v>256.5285292289731</v>
      </c>
      <c r="Q343" s="10" t="n">
        <v>1.5</v>
      </c>
      <c r="R343" s="12" t="n">
        <v>0.021</v>
      </c>
      <c r="S343" s="13" t="inlineStr">
        <is>
          <t>Success</t>
        </is>
      </c>
      <c r="T343" s="10" t="n">
        <v>0.3847927938434596</v>
      </c>
      <c r="U343" s="10" t="n">
        <v>0.7695855876869192</v>
      </c>
      <c r="V343" s="10" t="n">
        <v>3.078342350747677</v>
      </c>
    </row>
    <row r="344">
      <c r="I344" s="8" t="inlineStr">
        <is>
          <t>ACE-10338</t>
        </is>
      </c>
      <c r="J344" s="8" t="inlineStr">
        <is>
          <t>2026-05-21 09:43:51</t>
        </is>
      </c>
      <c r="K344" s="8" t="inlineStr">
        <is>
          <t>CUST-60771</t>
        </is>
      </c>
      <c r="L344" s="9" t="inlineStr">
        <is>
          <t>GBP-PKR</t>
        </is>
      </c>
      <c r="M344" s="8" t="inlineStr">
        <is>
          <t>GBP</t>
        </is>
      </c>
      <c r="N344" s="10" t="n">
        <v>269.7919264179342</v>
      </c>
      <c r="O344" s="11" t="n">
        <v>1</v>
      </c>
      <c r="P344" s="10" t="n">
        <v>269.7919264179342</v>
      </c>
      <c r="Q344" s="10" t="n">
        <v>1.5</v>
      </c>
      <c r="R344" s="12" t="n">
        <v>0.021</v>
      </c>
      <c r="S344" s="13" t="inlineStr">
        <is>
          <t>Success</t>
        </is>
      </c>
      <c r="T344" s="10" t="n">
        <v>0.4046878896269013</v>
      </c>
      <c r="U344" s="10" t="n">
        <v>0.8093757792538026</v>
      </c>
      <c r="V344" s="10" t="n">
        <v>3.23750311701521</v>
      </c>
    </row>
    <row r="345">
      <c r="I345" s="8" t="inlineStr">
        <is>
          <t>ACE-10339</t>
        </is>
      </c>
      <c r="J345" s="8" t="inlineStr">
        <is>
          <t>2026-05-17 10:35:10</t>
        </is>
      </c>
      <c r="K345" s="8" t="inlineStr">
        <is>
          <t>CUST-71691</t>
        </is>
      </c>
      <c r="L345" s="9" t="inlineStr">
        <is>
          <t>GBP-PKR</t>
        </is>
      </c>
      <c r="M345" s="8" t="inlineStr">
        <is>
          <t>GBP</t>
        </is>
      </c>
      <c r="N345" s="10" t="n">
        <v>290.3487389484493</v>
      </c>
      <c r="O345" s="11" t="n">
        <v>1</v>
      </c>
      <c r="P345" s="10" t="n">
        <v>290.3487389484493</v>
      </c>
      <c r="Q345" s="10" t="n">
        <v>1.5</v>
      </c>
      <c r="R345" s="12" t="n">
        <v>0.021</v>
      </c>
      <c r="S345" s="13" t="inlineStr">
        <is>
          <t>Success</t>
        </is>
      </c>
      <c r="T345" s="10" t="n">
        <v>0.4355231084226739</v>
      </c>
      <c r="U345" s="10" t="n">
        <v>0.8710462168453479</v>
      </c>
      <c r="V345" s="10" t="n">
        <v>3.484184867381392</v>
      </c>
    </row>
    <row r="346">
      <c r="I346" s="8" t="inlineStr">
        <is>
          <t>ACE-10340</t>
        </is>
      </c>
      <c r="J346" s="8" t="inlineStr">
        <is>
          <t>2026-05-08 20:25:40</t>
        </is>
      </c>
      <c r="K346" s="8" t="inlineStr">
        <is>
          <t>CUST-62088</t>
        </is>
      </c>
      <c r="L346" s="9" t="inlineStr">
        <is>
          <t>GBP-PKR</t>
        </is>
      </c>
      <c r="M346" s="8" t="inlineStr">
        <is>
          <t>GBP</t>
        </is>
      </c>
      <c r="N346" s="10" t="n">
        <v>263.3324093235401</v>
      </c>
      <c r="O346" s="11" t="n">
        <v>1</v>
      </c>
      <c r="P346" s="10" t="n">
        <v>263.3324093235401</v>
      </c>
      <c r="Q346" s="10" t="n">
        <v>1.5</v>
      </c>
      <c r="R346" s="12" t="n">
        <v>0.021</v>
      </c>
      <c r="S346" s="13" t="inlineStr">
        <is>
          <t>Success</t>
        </is>
      </c>
      <c r="T346" s="10" t="n">
        <v>0.3949986139853102</v>
      </c>
      <c r="U346" s="10" t="n">
        <v>0.7899972279706203</v>
      </c>
      <c r="V346" s="10" t="n">
        <v>3.159988911882481</v>
      </c>
    </row>
    <row r="347">
      <c r="I347" s="8" t="inlineStr">
        <is>
          <t>ACE-10341</t>
        </is>
      </c>
      <c r="J347" s="8" t="inlineStr">
        <is>
          <t>2026-05-13 08:47:39</t>
        </is>
      </c>
      <c r="K347" s="8" t="inlineStr">
        <is>
          <t>CUST-62931</t>
        </is>
      </c>
      <c r="L347" s="9" t="inlineStr">
        <is>
          <t>GBP-PKR</t>
        </is>
      </c>
      <c r="M347" s="8" t="inlineStr">
        <is>
          <t>GBP</t>
        </is>
      </c>
      <c r="N347" s="10" t="n">
        <v>256.6126023026686</v>
      </c>
      <c r="O347" s="11" t="n">
        <v>1</v>
      </c>
      <c r="P347" s="10" t="n">
        <v>256.6126023026686</v>
      </c>
      <c r="Q347" s="10" t="n">
        <v>1.5</v>
      </c>
      <c r="R347" s="12" t="n">
        <v>0.021</v>
      </c>
      <c r="S347" s="13" t="inlineStr">
        <is>
          <t>Success</t>
        </is>
      </c>
      <c r="T347" s="10" t="n">
        <v>0.3849189034540029</v>
      </c>
      <c r="U347" s="10" t="n">
        <v>0</v>
      </c>
      <c r="V347" s="10" t="n">
        <v>3.079351227632023</v>
      </c>
    </row>
    <row r="348">
      <c r="I348" s="8" t="inlineStr">
        <is>
          <t>ACE-10342</t>
        </is>
      </c>
      <c r="J348" s="8" t="inlineStr">
        <is>
          <t>2026-05-01 19:13:13</t>
        </is>
      </c>
      <c r="K348" s="8" t="inlineStr">
        <is>
          <t>CUST-68241</t>
        </is>
      </c>
      <c r="L348" s="9" t="inlineStr">
        <is>
          <t>GBP-PKR</t>
        </is>
      </c>
      <c r="M348" s="8" t="inlineStr">
        <is>
          <t>GBP</t>
        </is>
      </c>
      <c r="N348" s="10" t="n">
        <v>285.4761032861367</v>
      </c>
      <c r="O348" s="11" t="n">
        <v>1</v>
      </c>
      <c r="P348" s="10" t="n">
        <v>285.4761032861367</v>
      </c>
      <c r="Q348" s="10" t="n">
        <v>1.5</v>
      </c>
      <c r="R348" s="12" t="n">
        <v>0.021</v>
      </c>
      <c r="S348" s="13" t="inlineStr">
        <is>
          <t>Success</t>
        </is>
      </c>
      <c r="T348" s="10" t="n">
        <v>0.4282141549292051</v>
      </c>
      <c r="U348" s="10" t="n">
        <v>0.8564283098584102</v>
      </c>
      <c r="V348" s="10" t="n">
        <v>3.425713239433641</v>
      </c>
    </row>
    <row r="349">
      <c r="I349" s="8" t="inlineStr">
        <is>
          <t>ACE-10343</t>
        </is>
      </c>
      <c r="J349" s="8" t="inlineStr">
        <is>
          <t>2026-05-03 17:06:51</t>
        </is>
      </c>
      <c r="K349" s="8" t="inlineStr">
        <is>
          <t>CUST-85185</t>
        </is>
      </c>
      <c r="L349" s="9" t="inlineStr">
        <is>
          <t>GBP-PKR</t>
        </is>
      </c>
      <c r="M349" s="8" t="inlineStr">
        <is>
          <t>GBP</t>
        </is>
      </c>
      <c r="N349" s="10" t="n">
        <v>285.5126282823281</v>
      </c>
      <c r="O349" s="11" t="n">
        <v>1</v>
      </c>
      <c r="P349" s="10" t="n">
        <v>285.5126282823281</v>
      </c>
      <c r="Q349" s="10" t="n">
        <v>1.5</v>
      </c>
      <c r="R349" s="12" t="n">
        <v>0.021</v>
      </c>
      <c r="S349" s="13" t="inlineStr">
        <is>
          <t>Success</t>
        </is>
      </c>
      <c r="T349" s="10" t="n">
        <v>0.4282689424234922</v>
      </c>
      <c r="U349" s="10" t="n">
        <v>0</v>
      </c>
      <c r="V349" s="10" t="n">
        <v>3.426151539387938</v>
      </c>
    </row>
    <row r="350">
      <c r="I350" s="8" t="inlineStr">
        <is>
          <t>ACE-10344</t>
        </is>
      </c>
      <c r="J350" s="8" t="inlineStr">
        <is>
          <t>2026-05-15 09:16:42</t>
        </is>
      </c>
      <c r="K350" s="8" t="inlineStr">
        <is>
          <t>CUST-82078</t>
        </is>
      </c>
      <c r="L350" s="9" t="inlineStr">
        <is>
          <t>GBP-PKR</t>
        </is>
      </c>
      <c r="M350" s="8" t="inlineStr">
        <is>
          <t>GBP</t>
        </is>
      </c>
      <c r="N350" s="10" t="n">
        <v>264.8319001448784</v>
      </c>
      <c r="O350" s="11" t="n">
        <v>1</v>
      </c>
      <c r="P350" s="10" t="n">
        <v>264.8319001448784</v>
      </c>
      <c r="Q350" s="10" t="n">
        <v>1.5</v>
      </c>
      <c r="R350" s="12" t="n">
        <v>0.021</v>
      </c>
      <c r="S350" s="13" t="inlineStr">
        <is>
          <t>Success</t>
        </is>
      </c>
      <c r="T350" s="10" t="n">
        <v>0.3972478502173176</v>
      </c>
      <c r="U350" s="10" t="n">
        <v>0.7944957004346351</v>
      </c>
      <c r="V350" s="10" t="n">
        <v>3.177982801738541</v>
      </c>
    </row>
    <row r="351">
      <c r="I351" s="8" t="inlineStr">
        <is>
          <t>ACE-10345</t>
        </is>
      </c>
      <c r="J351" s="8" t="inlineStr">
        <is>
          <t>2026-05-20 14:39:25</t>
        </is>
      </c>
      <c r="K351" s="8" t="inlineStr">
        <is>
          <t>CUST-88469</t>
        </is>
      </c>
      <c r="L351" s="9" t="inlineStr">
        <is>
          <t>GBP-PKR</t>
        </is>
      </c>
      <c r="M351" s="8" t="inlineStr">
        <is>
          <t>GBP</t>
        </is>
      </c>
      <c r="N351" s="10" t="n">
        <v>265.7844847309007</v>
      </c>
      <c r="O351" s="11" t="n">
        <v>1</v>
      </c>
      <c r="P351" s="10" t="n">
        <v>265.7844847309007</v>
      </c>
      <c r="Q351" s="10" t="n">
        <v>1.5</v>
      </c>
      <c r="R351" s="12" t="n">
        <v>0.021</v>
      </c>
      <c r="S351" s="13" t="inlineStr">
        <is>
          <t>Success</t>
        </is>
      </c>
      <c r="T351" s="10" t="n">
        <v>0.398676727096351</v>
      </c>
      <c r="U351" s="10" t="n">
        <v>0</v>
      </c>
      <c r="V351" s="10" t="n">
        <v>3.189413816770808</v>
      </c>
    </row>
    <row r="352">
      <c r="I352" s="8" t="inlineStr">
        <is>
          <t>ACE-10346</t>
        </is>
      </c>
      <c r="J352" s="8" t="inlineStr">
        <is>
          <t>2026-05-15 17:11:52</t>
        </is>
      </c>
      <c r="K352" s="8" t="inlineStr">
        <is>
          <t>CUST-94144</t>
        </is>
      </c>
      <c r="L352" s="9" t="inlineStr">
        <is>
          <t>GBP-PKR</t>
        </is>
      </c>
      <c r="M352" s="8" t="inlineStr">
        <is>
          <t>GBP</t>
        </is>
      </c>
      <c r="N352" s="10" t="n">
        <v>285.1440801485483</v>
      </c>
      <c r="O352" s="11" t="n">
        <v>1</v>
      </c>
      <c r="P352" s="10" t="n">
        <v>285.1440801485483</v>
      </c>
      <c r="Q352" s="10" t="n">
        <v>1.5</v>
      </c>
      <c r="R352" s="12" t="n">
        <v>0.021</v>
      </c>
      <c r="S352" s="13" t="inlineStr">
        <is>
          <t>Success</t>
        </is>
      </c>
      <c r="T352" s="10" t="n">
        <v>0.4277161202228224</v>
      </c>
      <c r="U352" s="10" t="n">
        <v>0</v>
      </c>
      <c r="V352" s="10" t="n">
        <v>3.421728961782579</v>
      </c>
    </row>
    <row r="353">
      <c r="I353" s="8" t="inlineStr">
        <is>
          <t>ACE-10347</t>
        </is>
      </c>
      <c r="J353" s="8" t="inlineStr">
        <is>
          <t>2026-05-20 17:05:43</t>
        </is>
      </c>
      <c r="K353" s="8" t="inlineStr">
        <is>
          <t>CUST-58778</t>
        </is>
      </c>
      <c r="L353" s="9" t="inlineStr">
        <is>
          <t>GBP-PKR</t>
        </is>
      </c>
      <c r="M353" s="8" t="inlineStr">
        <is>
          <t>GBP</t>
        </is>
      </c>
      <c r="N353" s="10" t="n">
        <v>241.0444048528059</v>
      </c>
      <c r="O353" s="11" t="n">
        <v>1</v>
      </c>
      <c r="P353" s="10" t="n">
        <v>241.0444048528059</v>
      </c>
      <c r="Q353" s="10" t="n">
        <v>1.5</v>
      </c>
      <c r="R353" s="12" t="n">
        <v>0.021</v>
      </c>
      <c r="S353" s="13" t="inlineStr">
        <is>
          <t>Success</t>
        </is>
      </c>
      <c r="T353" s="10" t="n">
        <v>0.3615666072792088</v>
      </c>
      <c r="U353" s="10" t="n">
        <v>0</v>
      </c>
      <c r="V353" s="10" t="n">
        <v>2.89253285823367</v>
      </c>
    </row>
    <row r="354">
      <c r="I354" s="8" t="inlineStr">
        <is>
          <t>ACE-10348</t>
        </is>
      </c>
      <c r="J354" s="8" t="inlineStr">
        <is>
          <t>2026-05-04 10:23:44</t>
        </is>
      </c>
      <c r="K354" s="8" t="inlineStr">
        <is>
          <t>CUST-59264</t>
        </is>
      </c>
      <c r="L354" s="9" t="inlineStr">
        <is>
          <t>GBP-PKR</t>
        </is>
      </c>
      <c r="M354" s="8" t="inlineStr">
        <is>
          <t>GBP</t>
        </is>
      </c>
      <c r="N354" s="10" t="n">
        <v>242.0255322439244</v>
      </c>
      <c r="O354" s="11" t="n">
        <v>1</v>
      </c>
      <c r="P354" s="10" t="n">
        <v>242.0255322439244</v>
      </c>
      <c r="Q354" s="10" t="n">
        <v>1.5</v>
      </c>
      <c r="R354" s="12" t="n">
        <v>0.021</v>
      </c>
      <c r="S354" s="13" t="inlineStr">
        <is>
          <t>Success</t>
        </is>
      </c>
      <c r="T354" s="10" t="n">
        <v>0.3630382983658866</v>
      </c>
      <c r="U354" s="10" t="n">
        <v>0</v>
      </c>
      <c r="V354" s="10" t="n">
        <v>2.904306386927093</v>
      </c>
    </row>
    <row r="355">
      <c r="I355" s="8" t="inlineStr">
        <is>
          <t>ACE-10349</t>
        </is>
      </c>
      <c r="J355" s="8" t="inlineStr">
        <is>
          <t>2026-05-05 17:24:27</t>
        </is>
      </c>
      <c r="K355" s="8" t="inlineStr">
        <is>
          <t>CUST-62173</t>
        </is>
      </c>
      <c r="L355" s="9" t="inlineStr">
        <is>
          <t>GBP-PKR</t>
        </is>
      </c>
      <c r="M355" s="8" t="inlineStr">
        <is>
          <t>GBP</t>
        </is>
      </c>
      <c r="N355" s="10" t="n">
        <v>259.2894955806674</v>
      </c>
      <c r="O355" s="11" t="n">
        <v>1</v>
      </c>
      <c r="P355" s="10" t="n">
        <v>259.2894955806674</v>
      </c>
      <c r="Q355" s="10" t="n">
        <v>1.5</v>
      </c>
      <c r="R355" s="12" t="n">
        <v>0.021</v>
      </c>
      <c r="S355" s="13" t="inlineStr">
        <is>
          <t>Success</t>
        </is>
      </c>
      <c r="T355" s="10" t="n">
        <v>0.3889342433710011</v>
      </c>
      <c r="U355" s="10" t="n">
        <v>0</v>
      </c>
      <c r="V355" s="10" t="n">
        <v>3.111473946968009</v>
      </c>
    </row>
    <row r="356">
      <c r="I356" s="8" t="inlineStr">
        <is>
          <t>ACE-10350</t>
        </is>
      </c>
      <c r="J356" s="8" t="inlineStr">
        <is>
          <t>2026-05-21 10:35:10</t>
        </is>
      </c>
      <c r="K356" s="8" t="inlineStr">
        <is>
          <t>CUST-82089</t>
        </is>
      </c>
      <c r="L356" s="9" t="inlineStr">
        <is>
          <t>USD-PKR</t>
        </is>
      </c>
      <c r="M356" s="8" t="inlineStr">
        <is>
          <t>USD</t>
        </is>
      </c>
      <c r="N356" s="10" t="n">
        <v>214.2798414689472</v>
      </c>
      <c r="O356" s="11" t="n">
        <v>0.8</v>
      </c>
      <c r="P356" s="10" t="n">
        <v>171.4238731751578</v>
      </c>
      <c r="Q356" s="10" t="n">
        <v>1.6</v>
      </c>
      <c r="R356" s="12" t="n">
        <v>0.019</v>
      </c>
      <c r="S356" s="13" t="inlineStr">
        <is>
          <t>Success</t>
        </is>
      </c>
      <c r="T356" s="10" t="n">
        <v>0.2571358097627367</v>
      </c>
      <c r="U356" s="10" t="n">
        <v>0</v>
      </c>
      <c r="V356" s="10" t="n">
        <v>2.057086478101894</v>
      </c>
    </row>
    <row r="357">
      <c r="I357" s="8" t="inlineStr">
        <is>
          <t>ACE-10351</t>
        </is>
      </c>
      <c r="J357" s="8" t="inlineStr">
        <is>
          <t>2026-05-15 17:03:55</t>
        </is>
      </c>
      <c r="K357" s="8" t="inlineStr">
        <is>
          <t>CUST-73529</t>
        </is>
      </c>
      <c r="L357" s="9" t="inlineStr">
        <is>
          <t>EUR-PKR</t>
        </is>
      </c>
      <c r="M357" s="8" t="inlineStr">
        <is>
          <t>EUR</t>
        </is>
      </c>
      <c r="N357" s="10" t="n">
        <v>195.0224789760779</v>
      </c>
      <c r="O357" s="11" t="n">
        <v>0.85</v>
      </c>
      <c r="P357" s="10" t="n">
        <v>165.7691071296663</v>
      </c>
      <c r="Q357" s="10" t="n">
        <v>1.275</v>
      </c>
      <c r="R357" s="12" t="n">
        <v>0.023</v>
      </c>
      <c r="S357" s="13" t="inlineStr">
        <is>
          <t>Success</t>
        </is>
      </c>
      <c r="T357" s="10" t="n">
        <v>0.2486536606944994</v>
      </c>
      <c r="U357" s="10" t="n">
        <v>0</v>
      </c>
      <c r="V357" s="10" t="n">
        <v>2.486536606944994</v>
      </c>
    </row>
    <row r="358">
      <c r="I358" s="8" t="inlineStr">
        <is>
          <t>ACE-10352</t>
        </is>
      </c>
      <c r="J358" s="8" t="inlineStr">
        <is>
          <t>2026-05-07 14:35:32</t>
        </is>
      </c>
      <c r="K358" s="8" t="inlineStr">
        <is>
          <t>CUST-92799</t>
        </is>
      </c>
      <c r="L358" s="9" t="inlineStr">
        <is>
          <t>GBP-PKR</t>
        </is>
      </c>
      <c r="M358" s="8" t="inlineStr">
        <is>
          <t>GBP</t>
        </is>
      </c>
      <c r="N358" s="10" t="n">
        <v>322.89436450776</v>
      </c>
      <c r="O358" s="11" t="n">
        <v>1</v>
      </c>
      <c r="P358" s="10" t="n">
        <v>322.89436450776</v>
      </c>
      <c r="Q358" s="10" t="n">
        <v>1.5</v>
      </c>
      <c r="R358" s="12" t="n">
        <v>0.021</v>
      </c>
      <c r="S358" s="13" t="inlineStr">
        <is>
          <t>Success</t>
        </is>
      </c>
      <c r="T358" s="10" t="n">
        <v>0.48434154676164</v>
      </c>
      <c r="U358" s="10" t="n">
        <v>0.9686830935232801</v>
      </c>
      <c r="V358" s="10" t="n">
        <v>3.87473237409312</v>
      </c>
    </row>
    <row r="359">
      <c r="I359" s="8" t="inlineStr">
        <is>
          <t>ACE-10353</t>
        </is>
      </c>
      <c r="J359" s="8" t="inlineStr">
        <is>
          <t>2026-05-14 19:53:28</t>
        </is>
      </c>
      <c r="K359" s="8" t="inlineStr">
        <is>
          <t>CUST-82027</t>
        </is>
      </c>
      <c r="L359" s="9" t="inlineStr">
        <is>
          <t>USD-PKR</t>
        </is>
      </c>
      <c r="M359" s="8" t="inlineStr">
        <is>
          <t>USD</t>
        </is>
      </c>
      <c r="N359" s="10" t="n">
        <v>238.5057713749126</v>
      </c>
      <c r="O359" s="11" t="n">
        <v>0.8</v>
      </c>
      <c r="P359" s="10" t="n">
        <v>190.8046170999301</v>
      </c>
      <c r="Q359" s="10" t="n">
        <v>1.6</v>
      </c>
      <c r="R359" s="12" t="n">
        <v>0.019</v>
      </c>
      <c r="S359" s="13" t="inlineStr">
        <is>
          <t>Success</t>
        </is>
      </c>
      <c r="T359" s="10" t="n">
        <v>0.2862069256498951</v>
      </c>
      <c r="U359" s="10" t="n">
        <v>0</v>
      </c>
      <c r="V359" s="10" t="n">
        <v>2.289655405199161</v>
      </c>
    </row>
    <row r="360">
      <c r="I360" s="8" t="inlineStr">
        <is>
          <t>ACE-10354</t>
        </is>
      </c>
      <c r="J360" s="8" t="inlineStr">
        <is>
          <t>2026-05-08 12:02:17</t>
        </is>
      </c>
      <c r="K360" s="8" t="inlineStr">
        <is>
          <t>CUST-64735</t>
        </is>
      </c>
      <c r="L360" s="9" t="inlineStr">
        <is>
          <t>GBP-PKR</t>
        </is>
      </c>
      <c r="M360" s="8" t="inlineStr">
        <is>
          <t>GBP</t>
        </is>
      </c>
      <c r="N360" s="10" t="n">
        <v>274.1829954781445</v>
      </c>
      <c r="O360" s="11" t="n">
        <v>1</v>
      </c>
      <c r="P360" s="10" t="n">
        <v>274.1829954781445</v>
      </c>
      <c r="Q360" s="10" t="n">
        <v>1.5</v>
      </c>
      <c r="R360" s="12" t="n">
        <v>0.021</v>
      </c>
      <c r="S360" s="13" t="inlineStr">
        <is>
          <t>Success</t>
        </is>
      </c>
      <c r="T360" s="10" t="n">
        <v>0.4112744932172168</v>
      </c>
      <c r="U360" s="10" t="n">
        <v>0</v>
      </c>
      <c r="V360" s="10" t="n">
        <v>3.290195945737734</v>
      </c>
    </row>
    <row r="361">
      <c r="I361" s="8" t="inlineStr">
        <is>
          <t>ACE-10355</t>
        </is>
      </c>
      <c r="J361" s="8" t="inlineStr">
        <is>
          <t>2026-05-15 17:47:49</t>
        </is>
      </c>
      <c r="K361" s="8" t="inlineStr">
        <is>
          <t>CUST-82460</t>
        </is>
      </c>
      <c r="L361" s="9" t="inlineStr">
        <is>
          <t>GBP-PKR</t>
        </is>
      </c>
      <c r="M361" s="8" t="inlineStr">
        <is>
          <t>GBP</t>
        </is>
      </c>
      <c r="N361" s="10" t="n">
        <v>278.0741993956667</v>
      </c>
      <c r="O361" s="11" t="n">
        <v>1</v>
      </c>
      <c r="P361" s="10" t="n">
        <v>278.0741993956667</v>
      </c>
      <c r="Q361" s="10" t="n">
        <v>1.5</v>
      </c>
      <c r="R361" s="12" t="n">
        <v>0.021</v>
      </c>
      <c r="S361" s="13" t="inlineStr">
        <is>
          <t>Success</t>
        </is>
      </c>
      <c r="T361" s="10" t="n">
        <v>0.4171112990935001</v>
      </c>
      <c r="U361" s="10" t="n">
        <v>0</v>
      </c>
      <c r="V361" s="10" t="n">
        <v>3.336890392748001</v>
      </c>
    </row>
    <row r="362">
      <c r="I362" s="8" t="inlineStr">
        <is>
          <t>ACE-10356</t>
        </is>
      </c>
      <c r="J362" s="8" t="inlineStr">
        <is>
          <t>2026-05-04 12:49:34</t>
        </is>
      </c>
      <c r="K362" s="8" t="inlineStr">
        <is>
          <t>CUST-74042</t>
        </is>
      </c>
      <c r="L362" s="9" t="inlineStr">
        <is>
          <t>GBP-PKR</t>
        </is>
      </c>
      <c r="M362" s="8" t="inlineStr">
        <is>
          <t>GBP</t>
        </is>
      </c>
      <c r="N362" s="10" t="n">
        <v>252.0271114151854</v>
      </c>
      <c r="O362" s="11" t="n">
        <v>1</v>
      </c>
      <c r="P362" s="10" t="n">
        <v>252.0271114151854</v>
      </c>
      <c r="Q362" s="10" t="n">
        <v>1.5</v>
      </c>
      <c r="R362" s="12" t="n">
        <v>0.021</v>
      </c>
      <c r="S362" s="13" t="inlineStr">
        <is>
          <t>Success</t>
        </is>
      </c>
      <c r="T362" s="10" t="n">
        <v>0.3780406671227782</v>
      </c>
      <c r="U362" s="10" t="n">
        <v>0.7560813342455563</v>
      </c>
      <c r="V362" s="10" t="n">
        <v>3.024325336982225</v>
      </c>
    </row>
    <row r="363">
      <c r="I363" s="8" t="inlineStr">
        <is>
          <t>ACE-10357</t>
        </is>
      </c>
      <c r="J363" s="8" t="inlineStr">
        <is>
          <t>2026-05-24 15:34:13</t>
        </is>
      </c>
      <c r="K363" s="8" t="inlineStr">
        <is>
          <t>CUST-77862</t>
        </is>
      </c>
      <c r="L363" s="9" t="inlineStr">
        <is>
          <t>USD-PKR</t>
        </is>
      </c>
      <c r="M363" s="8" t="inlineStr">
        <is>
          <t>USD</t>
        </is>
      </c>
      <c r="N363" s="10" t="n">
        <v>218.4978626909723</v>
      </c>
      <c r="O363" s="11" t="n">
        <v>0.8</v>
      </c>
      <c r="P363" s="10" t="n">
        <v>174.7982901527778</v>
      </c>
      <c r="Q363" s="10" t="n">
        <v>1.6</v>
      </c>
      <c r="R363" s="12" t="n">
        <v>0.019</v>
      </c>
      <c r="S363" s="13" t="inlineStr">
        <is>
          <t>Success</t>
        </is>
      </c>
      <c r="T363" s="10" t="n">
        <v>0.2621974352291668</v>
      </c>
      <c r="U363" s="10" t="n">
        <v>0.5243948704583336</v>
      </c>
      <c r="V363" s="10" t="n">
        <v>2.097579481833334</v>
      </c>
    </row>
    <row r="364">
      <c r="I364" s="8" t="inlineStr">
        <is>
          <t>ACE-10358</t>
        </is>
      </c>
      <c r="J364" s="8" t="inlineStr">
        <is>
          <t>2026-05-08 12:55:02</t>
        </is>
      </c>
      <c r="K364" s="8" t="inlineStr">
        <is>
          <t>CUST-79473</t>
        </is>
      </c>
      <c r="L364" s="9" t="inlineStr">
        <is>
          <t>USD-PKR</t>
        </is>
      </c>
      <c r="M364" s="8" t="inlineStr">
        <is>
          <t>USD</t>
        </is>
      </c>
      <c r="N364" s="10" t="n">
        <v>212.6742564040898</v>
      </c>
      <c r="O364" s="11" t="n">
        <v>0.8</v>
      </c>
      <c r="P364" s="10" t="n">
        <v>170.1394051232718</v>
      </c>
      <c r="Q364" s="10" t="n">
        <v>1.6</v>
      </c>
      <c r="R364" s="12" t="n">
        <v>0.019</v>
      </c>
      <c r="S364" s="13" t="inlineStr">
        <is>
          <t>Success</t>
        </is>
      </c>
      <c r="T364" s="10" t="n">
        <v>0.2552091076849077</v>
      </c>
      <c r="U364" s="10" t="n">
        <v>0.5104182153698155</v>
      </c>
      <c r="V364" s="10" t="n">
        <v>2.041672861479262</v>
      </c>
    </row>
    <row r="365">
      <c r="I365" s="8" t="inlineStr">
        <is>
          <t>ACE-10359</t>
        </is>
      </c>
      <c r="J365" s="8" t="inlineStr">
        <is>
          <t>2026-05-03 15:55:07</t>
        </is>
      </c>
      <c r="K365" s="8" t="inlineStr">
        <is>
          <t>CUST-65528</t>
        </is>
      </c>
      <c r="L365" s="9" t="inlineStr">
        <is>
          <t>GBP-PKR</t>
        </is>
      </c>
      <c r="M365" s="8" t="inlineStr">
        <is>
          <t>GBP</t>
        </is>
      </c>
      <c r="N365" s="10" t="n">
        <v>287.7411983228221</v>
      </c>
      <c r="O365" s="11" t="n">
        <v>1</v>
      </c>
      <c r="P365" s="10" t="n">
        <v>287.7411983228221</v>
      </c>
      <c r="Q365" s="10" t="n">
        <v>1.5</v>
      </c>
      <c r="R365" s="12" t="n">
        <v>0.021</v>
      </c>
      <c r="S365" s="13" t="inlineStr">
        <is>
          <t>Success</t>
        </is>
      </c>
      <c r="T365" s="10" t="n">
        <v>0.4316117974842331</v>
      </c>
      <c r="U365" s="10" t="n">
        <v>0.8632235949684662</v>
      </c>
      <c r="V365" s="10" t="n">
        <v>3.452894379873865</v>
      </c>
    </row>
    <row r="366">
      <c r="I366" s="8" t="inlineStr">
        <is>
          <t>ACE-10360</t>
        </is>
      </c>
      <c r="J366" s="8" t="inlineStr">
        <is>
          <t>2026-05-23 13:55:45</t>
        </is>
      </c>
      <c r="K366" s="8" t="inlineStr">
        <is>
          <t>CUST-89994</t>
        </is>
      </c>
      <c r="L366" s="9" t="inlineStr">
        <is>
          <t>GBP-PKR</t>
        </is>
      </c>
      <c r="M366" s="8" t="inlineStr">
        <is>
          <t>GBP</t>
        </is>
      </c>
      <c r="N366" s="10" t="n">
        <v>256.4840575335824</v>
      </c>
      <c r="O366" s="11" t="n">
        <v>1</v>
      </c>
      <c r="P366" s="10" t="n">
        <v>256.4840575335824</v>
      </c>
      <c r="Q366" s="10" t="n">
        <v>1.5</v>
      </c>
      <c r="R366" s="12" t="n">
        <v>0.021</v>
      </c>
      <c r="S366" s="13" t="inlineStr">
        <is>
          <t>Success</t>
        </is>
      </c>
      <c r="T366" s="10" t="n">
        <v>0.3847260863003735</v>
      </c>
      <c r="U366" s="10" t="n">
        <v>0</v>
      </c>
      <c r="V366" s="10" t="n">
        <v>3.077808690402988</v>
      </c>
    </row>
    <row r="367">
      <c r="I367" s="8" t="inlineStr">
        <is>
          <t>ACE-10361</t>
        </is>
      </c>
      <c r="J367" s="8" t="inlineStr">
        <is>
          <t>2026-05-05 20:13:52</t>
        </is>
      </c>
      <c r="K367" s="8" t="inlineStr">
        <is>
          <t>CUST-63562</t>
        </is>
      </c>
      <c r="L367" s="9" t="inlineStr">
        <is>
          <t>EUR-PKR</t>
        </is>
      </c>
      <c r="M367" s="8" t="inlineStr">
        <is>
          <t>EUR</t>
        </is>
      </c>
      <c r="N367" s="10" t="n">
        <v>199.130168427017</v>
      </c>
      <c r="O367" s="11" t="n">
        <v>0.85</v>
      </c>
      <c r="P367" s="10" t="n">
        <v>169.2606431629645</v>
      </c>
      <c r="Q367" s="10" t="n">
        <v>1.275</v>
      </c>
      <c r="R367" s="12" t="n">
        <v>0.023</v>
      </c>
      <c r="S367" s="13" t="inlineStr">
        <is>
          <t>Success</t>
        </is>
      </c>
      <c r="T367" s="10" t="n">
        <v>0.2538909647444467</v>
      </c>
      <c r="U367" s="10" t="n">
        <v>0</v>
      </c>
      <c r="V367" s="10" t="n">
        <v>2.538909647444467</v>
      </c>
    </row>
    <row r="368">
      <c r="I368" s="8" t="inlineStr">
        <is>
          <t>ACE-10362</t>
        </is>
      </c>
      <c r="J368" s="8" t="inlineStr">
        <is>
          <t>2026-05-18 12:38:34</t>
        </is>
      </c>
      <c r="K368" s="8" t="inlineStr">
        <is>
          <t>CUST-61034</t>
        </is>
      </c>
      <c r="L368" s="9" t="inlineStr">
        <is>
          <t>GBP-PKR</t>
        </is>
      </c>
      <c r="M368" s="8" t="inlineStr">
        <is>
          <t>GBP</t>
        </is>
      </c>
      <c r="N368" s="10" t="n">
        <v>324.7525456988575</v>
      </c>
      <c r="O368" s="11" t="n">
        <v>1</v>
      </c>
      <c r="P368" s="10" t="n">
        <v>324.7525456988575</v>
      </c>
      <c r="Q368" s="10" t="n">
        <v>1.5</v>
      </c>
      <c r="R368" s="12" t="n">
        <v>0.021</v>
      </c>
      <c r="S368" s="13" t="inlineStr">
        <is>
          <t>Success</t>
        </is>
      </c>
      <c r="T368" s="10" t="n">
        <v>0.4871288185482863</v>
      </c>
      <c r="U368" s="10" t="n">
        <v>0.9742576370965726</v>
      </c>
      <c r="V368" s="10" t="n">
        <v>3.897030548386291</v>
      </c>
    </row>
    <row r="369">
      <c r="I369" s="8" t="inlineStr">
        <is>
          <t>ACE-10363</t>
        </is>
      </c>
      <c r="J369" s="8" t="inlineStr">
        <is>
          <t>2026-05-10 17:17:54</t>
        </is>
      </c>
      <c r="K369" s="8" t="inlineStr">
        <is>
          <t>CUST-83712</t>
        </is>
      </c>
      <c r="L369" s="9" t="inlineStr">
        <is>
          <t>GBP-PKR</t>
        </is>
      </c>
      <c r="M369" s="8" t="inlineStr">
        <is>
          <t>GBP</t>
        </is>
      </c>
      <c r="N369" s="10" t="n">
        <v>275.5898165432715</v>
      </c>
      <c r="O369" s="11" t="n">
        <v>1</v>
      </c>
      <c r="P369" s="10" t="n">
        <v>275.5898165432715</v>
      </c>
      <c r="Q369" s="10" t="n">
        <v>1.5</v>
      </c>
      <c r="R369" s="12" t="n">
        <v>0.021</v>
      </c>
      <c r="S369" s="13" t="inlineStr">
        <is>
          <t>Success</t>
        </is>
      </c>
      <c r="T369" s="10" t="n">
        <v>0.4133847248149073</v>
      </c>
      <c r="U369" s="10" t="n">
        <v>0.8267694496298146</v>
      </c>
      <c r="V369" s="10" t="n">
        <v>3.307077798519258</v>
      </c>
    </row>
    <row r="370">
      <c r="I370" s="8" t="inlineStr">
        <is>
          <t>ACE-10364</t>
        </is>
      </c>
      <c r="J370" s="8" t="inlineStr">
        <is>
          <t>2026-05-04 10:48:50</t>
        </is>
      </c>
      <c r="K370" s="8" t="inlineStr">
        <is>
          <t>CUST-76974</t>
        </is>
      </c>
      <c r="L370" s="9" t="inlineStr">
        <is>
          <t>GBP-PKR</t>
        </is>
      </c>
      <c r="M370" s="8" t="inlineStr">
        <is>
          <t>GBP</t>
        </is>
      </c>
      <c r="N370" s="10" t="n">
        <v>290.0231581202044</v>
      </c>
      <c r="O370" s="11" t="n">
        <v>1</v>
      </c>
      <c r="P370" s="10" t="n">
        <v>290.0231581202044</v>
      </c>
      <c r="Q370" s="10" t="n">
        <v>1.5</v>
      </c>
      <c r="R370" s="12" t="n">
        <v>0.021</v>
      </c>
      <c r="S370" s="13" t="inlineStr">
        <is>
          <t>Success</t>
        </is>
      </c>
      <c r="T370" s="10" t="n">
        <v>0.4350347371803066</v>
      </c>
      <c r="U370" s="10" t="n">
        <v>0.8700694743606131</v>
      </c>
      <c r="V370" s="10" t="n">
        <v>3.480277897442452</v>
      </c>
    </row>
    <row r="371">
      <c r="I371" s="8" t="inlineStr">
        <is>
          <t>ACE-10365</t>
        </is>
      </c>
      <c r="J371" s="8" t="inlineStr">
        <is>
          <t>2026-05-21 10:44:55</t>
        </is>
      </c>
      <c r="K371" s="8" t="inlineStr">
        <is>
          <t>CUST-58696</t>
        </is>
      </c>
      <c r="L371" s="9" t="inlineStr">
        <is>
          <t>GBP-PKR</t>
        </is>
      </c>
      <c r="M371" s="8" t="inlineStr">
        <is>
          <t>GBP</t>
        </is>
      </c>
      <c r="N371" s="10" t="n">
        <v>298.5101699212908</v>
      </c>
      <c r="O371" s="11" t="n">
        <v>1</v>
      </c>
      <c r="P371" s="10" t="n">
        <v>298.5101699212908</v>
      </c>
      <c r="Q371" s="10" t="n">
        <v>1.5</v>
      </c>
      <c r="R371" s="12" t="n">
        <v>0.021</v>
      </c>
      <c r="S371" s="13" t="inlineStr">
        <is>
          <t>Success</t>
        </is>
      </c>
      <c r="T371" s="10" t="n">
        <v>0.4477652548819361</v>
      </c>
      <c r="U371" s="10" t="n">
        <v>0.8955305097638723</v>
      </c>
      <c r="V371" s="10" t="n">
        <v>3.582122039055489</v>
      </c>
    </row>
    <row r="372">
      <c r="I372" s="8" t="inlineStr">
        <is>
          <t>ACE-10366</t>
        </is>
      </c>
      <c r="J372" s="8" t="inlineStr">
        <is>
          <t>2026-05-08 20:53:43</t>
        </is>
      </c>
      <c r="K372" s="8" t="inlineStr">
        <is>
          <t>CUST-75736</t>
        </is>
      </c>
      <c r="L372" s="9" t="inlineStr">
        <is>
          <t>USD-PKR</t>
        </is>
      </c>
      <c r="M372" s="8" t="inlineStr">
        <is>
          <t>USD</t>
        </is>
      </c>
      <c r="N372" s="10" t="n">
        <v>210.2937786725375</v>
      </c>
      <c r="O372" s="11" t="n">
        <v>0.8</v>
      </c>
      <c r="P372" s="10" t="n">
        <v>168.23502293803</v>
      </c>
      <c r="Q372" s="10" t="n">
        <v>1.6</v>
      </c>
      <c r="R372" s="12" t="n">
        <v>0.019</v>
      </c>
      <c r="S372" s="13" t="inlineStr">
        <is>
          <t>Success</t>
        </is>
      </c>
      <c r="T372" s="10" t="n">
        <v>0.252352534407045</v>
      </c>
      <c r="U372" s="10" t="n">
        <v>0</v>
      </c>
      <c r="V372" s="10" t="n">
        <v>2.01882027525636</v>
      </c>
    </row>
    <row r="373">
      <c r="I373" s="8" t="inlineStr">
        <is>
          <t>ACE-10367</t>
        </is>
      </c>
      <c r="J373" s="8" t="inlineStr">
        <is>
          <t>2026-05-09 18:26:24</t>
        </is>
      </c>
      <c r="K373" s="8" t="inlineStr">
        <is>
          <t>CUST-79621</t>
        </is>
      </c>
      <c r="L373" s="9" t="inlineStr">
        <is>
          <t>EUR-PKR</t>
        </is>
      </c>
      <c r="M373" s="8" t="inlineStr">
        <is>
          <t>EUR</t>
        </is>
      </c>
      <c r="N373" s="10" t="n">
        <v>193.3367177536629</v>
      </c>
      <c r="O373" s="11" t="n">
        <v>0.85</v>
      </c>
      <c r="P373" s="10" t="n">
        <v>164.3362100906134</v>
      </c>
      <c r="Q373" s="10" t="n">
        <v>1.275</v>
      </c>
      <c r="R373" s="12" t="n">
        <v>0.023</v>
      </c>
      <c r="S373" s="13" t="inlineStr">
        <is>
          <t>Success</t>
        </is>
      </c>
      <c r="T373" s="10" t="n">
        <v>0.2465043151359202</v>
      </c>
      <c r="U373" s="10" t="n">
        <v>0.4930086302718403</v>
      </c>
      <c r="V373" s="10" t="n">
        <v>2.465043151359201</v>
      </c>
    </row>
    <row r="374">
      <c r="I374" s="8" t="inlineStr">
        <is>
          <t>ACE-10368</t>
        </is>
      </c>
      <c r="J374" s="8" t="inlineStr">
        <is>
          <t>2026-05-03 14:32:47</t>
        </is>
      </c>
      <c r="K374" s="8" t="inlineStr">
        <is>
          <t>CUST-68233</t>
        </is>
      </c>
      <c r="L374" s="9" t="inlineStr">
        <is>
          <t>GBP-PKR</t>
        </is>
      </c>
      <c r="M374" s="8" t="inlineStr">
        <is>
          <t>GBP</t>
        </is>
      </c>
      <c r="N374" s="10" t="n">
        <v>278.9545438412531</v>
      </c>
      <c r="O374" s="11" t="n">
        <v>1</v>
      </c>
      <c r="P374" s="10" t="n">
        <v>278.9545438412531</v>
      </c>
      <c r="Q374" s="10" t="n">
        <v>1.5</v>
      </c>
      <c r="R374" s="12" t="n">
        <v>0.021</v>
      </c>
      <c r="S374" s="13" t="inlineStr">
        <is>
          <t>Success</t>
        </is>
      </c>
      <c r="T374" s="10" t="n">
        <v>0.4184318157618797</v>
      </c>
      <c r="U374" s="10" t="n">
        <v>0.8368636315237593</v>
      </c>
      <c r="V374" s="10" t="n">
        <v>3.347454526095037</v>
      </c>
    </row>
    <row r="375">
      <c r="I375" s="8" t="inlineStr">
        <is>
          <t>ACE-10369</t>
        </is>
      </c>
      <c r="J375" s="8" t="inlineStr">
        <is>
          <t>2026-05-15 15:20:37</t>
        </is>
      </c>
      <c r="K375" s="8" t="inlineStr">
        <is>
          <t>CUST-50162</t>
        </is>
      </c>
      <c r="L375" s="9" t="inlineStr">
        <is>
          <t>EUR-PKR</t>
        </is>
      </c>
      <c r="M375" s="8" t="inlineStr">
        <is>
          <t>EUR</t>
        </is>
      </c>
      <c r="N375" s="10" t="n">
        <v>190.9080086680379</v>
      </c>
      <c r="O375" s="11" t="n">
        <v>0.85</v>
      </c>
      <c r="P375" s="10" t="n">
        <v>162.2718073678322</v>
      </c>
      <c r="Q375" s="10" t="n">
        <v>1.275</v>
      </c>
      <c r="R375" s="12" t="n">
        <v>0.023</v>
      </c>
      <c r="S375" s="13" t="inlineStr">
        <is>
          <t>Success</t>
        </is>
      </c>
      <c r="T375" s="10" t="n">
        <v>0.2434077110517483</v>
      </c>
      <c r="U375" s="10" t="n">
        <v>0.4868154221034966</v>
      </c>
      <c r="V375" s="10" t="n">
        <v>2.434077110517483</v>
      </c>
    </row>
    <row r="376">
      <c r="I376" s="8" t="inlineStr">
        <is>
          <t>ACE-10370</t>
        </is>
      </c>
      <c r="J376" s="8" t="inlineStr">
        <is>
          <t>2026-05-03 19:29:40</t>
        </is>
      </c>
      <c r="K376" s="8" t="inlineStr">
        <is>
          <t>CUST-93525</t>
        </is>
      </c>
      <c r="L376" s="9" t="inlineStr">
        <is>
          <t>USD-PKR</t>
        </is>
      </c>
      <c r="M376" s="8" t="inlineStr">
        <is>
          <t>USD</t>
        </is>
      </c>
      <c r="N376" s="10" t="n">
        <v>202.6188378441638</v>
      </c>
      <c r="O376" s="11" t="n">
        <v>0.8</v>
      </c>
      <c r="P376" s="10" t="n">
        <v>162.095070275331</v>
      </c>
      <c r="Q376" s="10" t="n">
        <v>1.6</v>
      </c>
      <c r="R376" s="12" t="n">
        <v>0.019</v>
      </c>
      <c r="S376" s="13" t="inlineStr">
        <is>
          <t>Success</t>
        </is>
      </c>
      <c r="T376" s="10" t="n">
        <v>0.2431426054129966</v>
      </c>
      <c r="U376" s="10" t="n">
        <v>0.4862852108259931</v>
      </c>
      <c r="V376" s="10" t="n">
        <v>1.945140843303973</v>
      </c>
    </row>
    <row r="377">
      <c r="I377" s="8" t="inlineStr">
        <is>
          <t>ACE-10371</t>
        </is>
      </c>
      <c r="J377" s="8" t="inlineStr">
        <is>
          <t>2026-05-18 14:13:27</t>
        </is>
      </c>
      <c r="K377" s="8" t="inlineStr">
        <is>
          <t>CUST-63883</t>
        </is>
      </c>
      <c r="L377" s="9" t="inlineStr">
        <is>
          <t>GBP-PKR</t>
        </is>
      </c>
      <c r="M377" s="8" t="inlineStr">
        <is>
          <t>GBP</t>
        </is>
      </c>
      <c r="N377" s="10" t="n">
        <v>279.2871937305738</v>
      </c>
      <c r="O377" s="11" t="n">
        <v>1</v>
      </c>
      <c r="P377" s="10" t="n">
        <v>279.2871937305738</v>
      </c>
      <c r="Q377" s="10" t="n">
        <v>1.5</v>
      </c>
      <c r="R377" s="12" t="n">
        <v>0.021</v>
      </c>
      <c r="S377" s="13" t="inlineStr">
        <is>
          <t>Success</t>
        </is>
      </c>
      <c r="T377" s="10" t="n">
        <v>0.4189307905958607</v>
      </c>
      <c r="U377" s="10" t="n">
        <v>0</v>
      </c>
      <c r="V377" s="10" t="n">
        <v>3.351446324766886</v>
      </c>
    </row>
    <row r="378">
      <c r="I378" s="8" t="inlineStr">
        <is>
          <t>ACE-10372</t>
        </is>
      </c>
      <c r="J378" s="8" t="inlineStr">
        <is>
          <t>2026-05-10 13:35:36</t>
        </is>
      </c>
      <c r="K378" s="8" t="inlineStr">
        <is>
          <t>CUST-58558</t>
        </is>
      </c>
      <c r="L378" s="9" t="inlineStr">
        <is>
          <t>USD-PKR</t>
        </is>
      </c>
      <c r="M378" s="8" t="inlineStr">
        <is>
          <t>USD</t>
        </is>
      </c>
      <c r="N378" s="10" t="n">
        <v>230.0800692412578</v>
      </c>
      <c r="O378" s="11" t="n">
        <v>0.8</v>
      </c>
      <c r="P378" s="10" t="n">
        <v>184.0640553930062</v>
      </c>
      <c r="Q378" s="10" t="n">
        <v>1.6</v>
      </c>
      <c r="R378" s="12" t="n">
        <v>0.019</v>
      </c>
      <c r="S378" s="13" t="inlineStr">
        <is>
          <t>Success</t>
        </is>
      </c>
      <c r="T378" s="10" t="n">
        <v>0.2760960830895094</v>
      </c>
      <c r="U378" s="10" t="n">
        <v>0</v>
      </c>
      <c r="V378" s="10" t="n">
        <v>2.208768664716075</v>
      </c>
    </row>
    <row r="379">
      <c r="I379" s="8" t="inlineStr">
        <is>
          <t>ACE-10373</t>
        </is>
      </c>
      <c r="J379" s="8" t="inlineStr">
        <is>
          <t>2026-05-11 18:48:03</t>
        </is>
      </c>
      <c r="K379" s="8" t="inlineStr">
        <is>
          <t>CUST-53010</t>
        </is>
      </c>
      <c r="L379" s="9" t="inlineStr">
        <is>
          <t>GBP-PKR</t>
        </is>
      </c>
      <c r="M379" s="8" t="inlineStr">
        <is>
          <t>GBP</t>
        </is>
      </c>
      <c r="N379" s="10" t="n">
        <v>322.1134987245443</v>
      </c>
      <c r="O379" s="11" t="n">
        <v>1</v>
      </c>
      <c r="P379" s="10" t="n">
        <v>322.1134987245443</v>
      </c>
      <c r="Q379" s="10" t="n">
        <v>1.5</v>
      </c>
      <c r="R379" s="12" t="n">
        <v>0.021</v>
      </c>
      <c r="S379" s="13" t="inlineStr">
        <is>
          <t>Success</t>
        </is>
      </c>
      <c r="T379" s="10" t="n">
        <v>0.4831702480868164</v>
      </c>
      <c r="U379" s="10" t="n">
        <v>0.9663404961736328</v>
      </c>
      <c r="V379" s="10" t="n">
        <v>3.865361984694531</v>
      </c>
    </row>
    <row r="380">
      <c r="I380" s="8" t="inlineStr">
        <is>
          <t>ACE-10374</t>
        </is>
      </c>
      <c r="J380" s="8" t="inlineStr">
        <is>
          <t>2026-05-15 08:07:59</t>
        </is>
      </c>
      <c r="K380" s="8" t="inlineStr">
        <is>
          <t>CUST-60353</t>
        </is>
      </c>
      <c r="L380" s="9" t="inlineStr">
        <is>
          <t>EUR-PKR</t>
        </is>
      </c>
      <c r="M380" s="8" t="inlineStr">
        <is>
          <t>EUR</t>
        </is>
      </c>
      <c r="N380" s="10" t="n">
        <v>208.0859373621482</v>
      </c>
      <c r="O380" s="11" t="n">
        <v>0.85</v>
      </c>
      <c r="P380" s="10" t="n">
        <v>176.8730467578259</v>
      </c>
      <c r="Q380" s="10" t="n">
        <v>1.275</v>
      </c>
      <c r="R380" s="12" t="n">
        <v>0.023</v>
      </c>
      <c r="S380" s="13" t="inlineStr">
        <is>
          <t>Success</t>
        </is>
      </c>
      <c r="T380" s="10" t="n">
        <v>0.2653095701367389</v>
      </c>
      <c r="U380" s="10" t="n">
        <v>0</v>
      </c>
      <c r="V380" s="10" t="n">
        <v>2.653095701367389</v>
      </c>
    </row>
    <row r="381">
      <c r="I381" s="8" t="inlineStr">
        <is>
          <t>ACE-10375</t>
        </is>
      </c>
      <c r="J381" s="8" t="inlineStr">
        <is>
          <t>2026-05-14 11:44:58</t>
        </is>
      </c>
      <c r="K381" s="8" t="inlineStr">
        <is>
          <t>CUST-58645</t>
        </is>
      </c>
      <c r="L381" s="9" t="inlineStr">
        <is>
          <t>GBP-PKR</t>
        </is>
      </c>
      <c r="M381" s="8" t="inlineStr">
        <is>
          <t>GBP</t>
        </is>
      </c>
      <c r="N381" s="10" t="n">
        <v>345.5398058666186</v>
      </c>
      <c r="O381" s="11" t="n">
        <v>1</v>
      </c>
      <c r="P381" s="10" t="n">
        <v>345.5398058666186</v>
      </c>
      <c r="Q381" s="10" t="n">
        <v>1.5</v>
      </c>
      <c r="R381" s="12" t="n">
        <v>0.021</v>
      </c>
      <c r="S381" s="13" t="inlineStr">
        <is>
          <t>Success</t>
        </is>
      </c>
      <c r="T381" s="10" t="n">
        <v>0.5183097087999279</v>
      </c>
      <c r="U381" s="10" t="n">
        <v>0</v>
      </c>
      <c r="V381" s="10" t="n">
        <v>4.146477670399423</v>
      </c>
    </row>
    <row r="382">
      <c r="I382" s="8" t="inlineStr">
        <is>
          <t>ACE-10376</t>
        </is>
      </c>
      <c r="J382" s="8" t="inlineStr">
        <is>
          <t>2026-05-09 09:41:23</t>
        </is>
      </c>
      <c r="K382" s="8" t="inlineStr">
        <is>
          <t>CUST-66409</t>
        </is>
      </c>
      <c r="L382" s="9" t="inlineStr">
        <is>
          <t>USD-PKR</t>
        </is>
      </c>
      <c r="M382" s="8" t="inlineStr">
        <is>
          <t>USD</t>
        </is>
      </c>
      <c r="N382" s="10" t="n">
        <v>202.7335975940544</v>
      </c>
      <c r="O382" s="11" t="n">
        <v>0.8</v>
      </c>
      <c r="P382" s="10" t="n">
        <v>162.1868780752435</v>
      </c>
      <c r="Q382" s="10" t="n">
        <v>1.6</v>
      </c>
      <c r="R382" s="12" t="n">
        <v>0.019</v>
      </c>
      <c r="S382" s="13" t="inlineStr">
        <is>
          <t>Success</t>
        </is>
      </c>
      <c r="T382" s="10" t="n">
        <v>0.2432803171128652</v>
      </c>
      <c r="U382" s="10" t="n">
        <v>0.4865606342257305</v>
      </c>
      <c r="V382" s="10" t="n">
        <v>1.946242536902922</v>
      </c>
    </row>
    <row r="383">
      <c r="I383" s="8" t="inlineStr">
        <is>
          <t>ACE-10377</t>
        </is>
      </c>
      <c r="J383" s="8" t="inlineStr">
        <is>
          <t>2026-05-21 10:03:25</t>
        </is>
      </c>
      <c r="K383" s="8" t="inlineStr">
        <is>
          <t>CUST-90999</t>
        </is>
      </c>
      <c r="L383" s="9" t="inlineStr">
        <is>
          <t>USD-PKR</t>
        </is>
      </c>
      <c r="M383" s="8" t="inlineStr">
        <is>
          <t>USD</t>
        </is>
      </c>
      <c r="N383" s="10" t="n">
        <v>238.8557014625607</v>
      </c>
      <c r="O383" s="11" t="n">
        <v>0.8</v>
      </c>
      <c r="P383" s="10" t="n">
        <v>191.0845611700485</v>
      </c>
      <c r="Q383" s="10" t="n">
        <v>1.6</v>
      </c>
      <c r="R383" s="12" t="n">
        <v>0.019</v>
      </c>
      <c r="S383" s="13" t="inlineStr">
        <is>
          <t>Success</t>
        </is>
      </c>
      <c r="T383" s="10" t="n">
        <v>0.2866268417550728</v>
      </c>
      <c r="U383" s="10" t="n">
        <v>0.5732536835101456</v>
      </c>
      <c r="V383" s="10" t="n">
        <v>2.293014734040582</v>
      </c>
    </row>
    <row r="384">
      <c r="I384" s="8" t="inlineStr">
        <is>
          <t>ACE-10378</t>
        </is>
      </c>
      <c r="J384" s="8" t="inlineStr">
        <is>
          <t>2026-05-08 14:41:05</t>
        </is>
      </c>
      <c r="K384" s="8" t="inlineStr">
        <is>
          <t>CUST-96117</t>
        </is>
      </c>
      <c r="L384" s="9" t="inlineStr">
        <is>
          <t>GBP-PKR</t>
        </is>
      </c>
      <c r="M384" s="8" t="inlineStr">
        <is>
          <t>GBP</t>
        </is>
      </c>
      <c r="N384" s="10" t="n">
        <v>283.7585792960418</v>
      </c>
      <c r="O384" s="11" t="n">
        <v>1</v>
      </c>
      <c r="P384" s="10" t="n">
        <v>283.7585792960418</v>
      </c>
      <c r="Q384" s="10" t="n">
        <v>1.5</v>
      </c>
      <c r="R384" s="12" t="n">
        <v>0.021</v>
      </c>
      <c r="S384" s="13" t="inlineStr">
        <is>
          <t>Success</t>
        </is>
      </c>
      <c r="T384" s="10" t="n">
        <v>0.4256378689440627</v>
      </c>
      <c r="U384" s="10" t="n">
        <v>0</v>
      </c>
      <c r="V384" s="10" t="n">
        <v>3.405102951552502</v>
      </c>
    </row>
    <row r="385">
      <c r="I385" s="8" t="inlineStr">
        <is>
          <t>ACE-10379</t>
        </is>
      </c>
      <c r="J385" s="8" t="inlineStr">
        <is>
          <t>2026-05-03 10:37:14</t>
        </is>
      </c>
      <c r="K385" s="8" t="inlineStr">
        <is>
          <t>CUST-84042</t>
        </is>
      </c>
      <c r="L385" s="9" t="inlineStr">
        <is>
          <t>GBP-PKR</t>
        </is>
      </c>
      <c r="M385" s="8" t="inlineStr">
        <is>
          <t>GBP</t>
        </is>
      </c>
      <c r="N385" s="10" t="n">
        <v>346.8075088508385</v>
      </c>
      <c r="O385" s="11" t="n">
        <v>1</v>
      </c>
      <c r="P385" s="10" t="n">
        <v>346.8075088508385</v>
      </c>
      <c r="Q385" s="10" t="n">
        <v>1.5</v>
      </c>
      <c r="R385" s="12" t="n">
        <v>0.021</v>
      </c>
      <c r="S385" s="13" t="inlineStr">
        <is>
          <t>Success</t>
        </is>
      </c>
      <c r="T385" s="10" t="n">
        <v>0.5202112632762578</v>
      </c>
      <c r="U385" s="10" t="n">
        <v>0</v>
      </c>
      <c r="V385" s="10" t="n">
        <v>4.161690106210062</v>
      </c>
    </row>
    <row r="386">
      <c r="I386" s="8" t="inlineStr">
        <is>
          <t>ACE-10380</t>
        </is>
      </c>
      <c r="J386" s="8" t="inlineStr">
        <is>
          <t>2026-05-23 13:52:07</t>
        </is>
      </c>
      <c r="K386" s="8" t="inlineStr">
        <is>
          <t>CUST-77676</t>
        </is>
      </c>
      <c r="L386" s="9" t="inlineStr">
        <is>
          <t>USD-PKR</t>
        </is>
      </c>
      <c r="M386" s="8" t="inlineStr">
        <is>
          <t>USD</t>
        </is>
      </c>
      <c r="N386" s="10" t="n">
        <v>201.9050864294269</v>
      </c>
      <c r="O386" s="11" t="n">
        <v>0.8</v>
      </c>
      <c r="P386" s="10" t="n">
        <v>161.5240691435416</v>
      </c>
      <c r="Q386" s="10" t="n">
        <v>1.6</v>
      </c>
      <c r="R386" s="12" t="n">
        <v>0.019</v>
      </c>
      <c r="S386" s="13" t="inlineStr">
        <is>
          <t>Success</t>
        </is>
      </c>
      <c r="T386" s="10" t="n">
        <v>0.2422861037153124</v>
      </c>
      <c r="U386" s="10" t="n">
        <v>0</v>
      </c>
      <c r="V386" s="10" t="n">
        <v>1.938288829722499</v>
      </c>
    </row>
    <row r="387">
      <c r="I387" s="8" t="inlineStr">
        <is>
          <t>ACE-10381</t>
        </is>
      </c>
      <c r="J387" s="8" t="inlineStr">
        <is>
          <t>2026-05-08 14:05:46</t>
        </is>
      </c>
      <c r="K387" s="8" t="inlineStr">
        <is>
          <t>CUST-56712</t>
        </is>
      </c>
      <c r="L387" s="9" t="inlineStr">
        <is>
          <t>EUR-PKR</t>
        </is>
      </c>
      <c r="M387" s="8" t="inlineStr">
        <is>
          <t>EUR</t>
        </is>
      </c>
      <c r="N387" s="10" t="n">
        <v>173.8254940039344</v>
      </c>
      <c r="O387" s="11" t="n">
        <v>0.85</v>
      </c>
      <c r="P387" s="10" t="n">
        <v>147.7516699033442</v>
      </c>
      <c r="Q387" s="10" t="n">
        <v>1.275</v>
      </c>
      <c r="R387" s="12" t="n">
        <v>0.023</v>
      </c>
      <c r="S387" s="13" t="inlineStr">
        <is>
          <t>Success</t>
        </is>
      </c>
      <c r="T387" s="10" t="n">
        <v>0.2216275048550164</v>
      </c>
      <c r="U387" s="10" t="n">
        <v>0</v>
      </c>
      <c r="V387" s="10" t="n">
        <v>2.216275048550163</v>
      </c>
    </row>
    <row r="388">
      <c r="I388" s="8" t="inlineStr">
        <is>
          <t>ACE-10382</t>
        </is>
      </c>
      <c r="J388" s="8" t="inlineStr">
        <is>
          <t>2026-05-10 10:24:49</t>
        </is>
      </c>
      <c r="K388" s="8" t="inlineStr">
        <is>
          <t>CUST-99358</t>
        </is>
      </c>
      <c r="L388" s="9" t="inlineStr">
        <is>
          <t>GBP-PKR</t>
        </is>
      </c>
      <c r="M388" s="8" t="inlineStr">
        <is>
          <t>GBP</t>
        </is>
      </c>
      <c r="N388" s="10" t="n">
        <v>262.3948259310217</v>
      </c>
      <c r="O388" s="11" t="n">
        <v>1</v>
      </c>
      <c r="P388" s="10" t="n">
        <v>262.3948259310217</v>
      </c>
      <c r="Q388" s="10" t="n">
        <v>1.5</v>
      </c>
      <c r="R388" s="12" t="n">
        <v>0.021</v>
      </c>
      <c r="S388" s="13" t="inlineStr">
        <is>
          <t>Success</t>
        </is>
      </c>
      <c r="T388" s="10" t="n">
        <v>0.3935922388965325</v>
      </c>
      <c r="U388" s="10" t="n">
        <v>0.787184477793065</v>
      </c>
      <c r="V388" s="10" t="n">
        <v>3.14873791117226</v>
      </c>
    </row>
    <row r="389">
      <c r="I389" s="8" t="inlineStr">
        <is>
          <t>ACE-10383</t>
        </is>
      </c>
      <c r="J389" s="8" t="inlineStr">
        <is>
          <t>2026-05-22 10:04:33</t>
        </is>
      </c>
      <c r="K389" s="8" t="inlineStr">
        <is>
          <t>CUST-86915</t>
        </is>
      </c>
      <c r="L389" s="9" t="inlineStr">
        <is>
          <t>GBP-PKR</t>
        </is>
      </c>
      <c r="M389" s="8" t="inlineStr">
        <is>
          <t>GBP</t>
        </is>
      </c>
      <c r="N389" s="10" t="n">
        <v>225.2926065188212</v>
      </c>
      <c r="O389" s="11" t="n">
        <v>1</v>
      </c>
      <c r="P389" s="10" t="n">
        <v>225.2926065188212</v>
      </c>
      <c r="Q389" s="10" t="n">
        <v>1.5</v>
      </c>
      <c r="R389" s="12" t="n">
        <v>0.021</v>
      </c>
      <c r="S389" s="13" t="inlineStr">
        <is>
          <t>Failed</t>
        </is>
      </c>
      <c r="T389" s="10" t="n">
        <v>0</v>
      </c>
      <c r="U389" s="10" t="n">
        <v>0</v>
      </c>
      <c r="V389" s="10" t="n">
        <v>0.5</v>
      </c>
    </row>
    <row r="390">
      <c r="I390" s="8" t="inlineStr">
        <is>
          <t>ACE-10384</t>
        </is>
      </c>
      <c r="J390" s="8" t="inlineStr">
        <is>
          <t>2026-05-21 10:28:22</t>
        </is>
      </c>
      <c r="K390" s="8" t="inlineStr">
        <is>
          <t>CUST-97345</t>
        </is>
      </c>
      <c r="L390" s="9" t="inlineStr">
        <is>
          <t>GBP-PKR</t>
        </is>
      </c>
      <c r="M390" s="8" t="inlineStr">
        <is>
          <t>GBP</t>
        </is>
      </c>
      <c r="N390" s="10" t="n">
        <v>264.3341707517621</v>
      </c>
      <c r="O390" s="11" t="n">
        <v>1</v>
      </c>
      <c r="P390" s="10" t="n">
        <v>264.3341707517621</v>
      </c>
      <c r="Q390" s="10" t="n">
        <v>1.5</v>
      </c>
      <c r="R390" s="12" t="n">
        <v>0.021</v>
      </c>
      <c r="S390" s="13" t="inlineStr">
        <is>
          <t>Success</t>
        </is>
      </c>
      <c r="T390" s="10" t="n">
        <v>0.3965012561276432</v>
      </c>
      <c r="U390" s="10" t="n">
        <v>0.7930025122552864</v>
      </c>
      <c r="V390" s="10" t="n">
        <v>3.172010049021146</v>
      </c>
    </row>
    <row r="391">
      <c r="I391" s="8" t="inlineStr">
        <is>
          <t>ACE-10385</t>
        </is>
      </c>
      <c r="J391" s="8" t="inlineStr">
        <is>
          <t>2026-05-14 17:43:28</t>
        </is>
      </c>
      <c r="K391" s="8" t="inlineStr">
        <is>
          <t>CUST-64237</t>
        </is>
      </c>
      <c r="L391" s="9" t="inlineStr">
        <is>
          <t>EUR-PKR</t>
        </is>
      </c>
      <c r="M391" s="8" t="inlineStr">
        <is>
          <t>EUR</t>
        </is>
      </c>
      <c r="N391" s="10" t="n">
        <v>175.2319992603786</v>
      </c>
      <c r="O391" s="11" t="n">
        <v>0.85</v>
      </c>
      <c r="P391" s="10" t="n">
        <v>148.9471993713218</v>
      </c>
      <c r="Q391" s="10" t="n">
        <v>1.275</v>
      </c>
      <c r="R391" s="12" t="n">
        <v>0.023</v>
      </c>
      <c r="S391" s="13" t="inlineStr">
        <is>
          <t>Success</t>
        </is>
      </c>
      <c r="T391" s="10" t="n">
        <v>0.2234207990569828</v>
      </c>
      <c r="U391" s="10" t="n">
        <v>0</v>
      </c>
      <c r="V391" s="10" t="n">
        <v>2.234207990569828</v>
      </c>
    </row>
    <row r="392">
      <c r="I392" s="8" t="inlineStr">
        <is>
          <t>ACE-10386</t>
        </is>
      </c>
      <c r="J392" s="8" t="inlineStr">
        <is>
          <t>2026-05-04 17:46:24</t>
        </is>
      </c>
      <c r="K392" s="8" t="inlineStr">
        <is>
          <t>CUST-73038</t>
        </is>
      </c>
      <c r="L392" s="9" t="inlineStr">
        <is>
          <t>GBP-PKR</t>
        </is>
      </c>
      <c r="M392" s="8" t="inlineStr">
        <is>
          <t>GBP</t>
        </is>
      </c>
      <c r="N392" s="10" t="n">
        <v>282.8251838375371</v>
      </c>
      <c r="O392" s="11" t="n">
        <v>1</v>
      </c>
      <c r="P392" s="10" t="n">
        <v>282.8251838375371</v>
      </c>
      <c r="Q392" s="10" t="n">
        <v>1.5</v>
      </c>
      <c r="R392" s="12" t="n">
        <v>0.021</v>
      </c>
      <c r="S392" s="13" t="inlineStr">
        <is>
          <t>Success</t>
        </is>
      </c>
      <c r="T392" s="10" t="n">
        <v>0.4242377757563056</v>
      </c>
      <c r="U392" s="10" t="n">
        <v>0</v>
      </c>
      <c r="V392" s="10" t="n">
        <v>3.393902206050445</v>
      </c>
    </row>
    <row r="393">
      <c r="I393" s="8" t="inlineStr">
        <is>
          <t>ACE-10387</t>
        </is>
      </c>
      <c r="J393" s="8" t="inlineStr">
        <is>
          <t>2026-05-05 11:17:41</t>
        </is>
      </c>
      <c r="K393" s="8" t="inlineStr">
        <is>
          <t>CUST-55521</t>
        </is>
      </c>
      <c r="L393" s="9" t="inlineStr">
        <is>
          <t>GBP-PKR</t>
        </is>
      </c>
      <c r="M393" s="8" t="inlineStr">
        <is>
          <t>GBP</t>
        </is>
      </c>
      <c r="N393" s="10" t="n">
        <v>288.2895049474136</v>
      </c>
      <c r="O393" s="11" t="n">
        <v>1</v>
      </c>
      <c r="P393" s="10" t="n">
        <v>288.2895049474136</v>
      </c>
      <c r="Q393" s="10" t="n">
        <v>1.5</v>
      </c>
      <c r="R393" s="12" t="n">
        <v>0.021</v>
      </c>
      <c r="S393" s="13" t="inlineStr">
        <is>
          <t>Success</t>
        </is>
      </c>
      <c r="T393" s="10" t="n">
        <v>0.4324342574211204</v>
      </c>
      <c r="U393" s="10" t="n">
        <v>0.8648685148422408</v>
      </c>
      <c r="V393" s="10" t="n">
        <v>3.459474059368963</v>
      </c>
    </row>
    <row r="394">
      <c r="I394" s="8" t="inlineStr">
        <is>
          <t>ACE-10388</t>
        </is>
      </c>
      <c r="J394" s="8" t="inlineStr">
        <is>
          <t>2026-05-24 17:18:49</t>
        </is>
      </c>
      <c r="K394" s="8" t="inlineStr">
        <is>
          <t>CUST-95251</t>
        </is>
      </c>
      <c r="L394" s="9" t="inlineStr">
        <is>
          <t>GBP-PKR</t>
        </is>
      </c>
      <c r="M394" s="8" t="inlineStr">
        <is>
          <t>GBP</t>
        </is>
      </c>
      <c r="N394" s="10" t="n">
        <v>336.0993117888259</v>
      </c>
      <c r="O394" s="11" t="n">
        <v>1</v>
      </c>
      <c r="P394" s="10" t="n">
        <v>336.0993117888259</v>
      </c>
      <c r="Q394" s="10" t="n">
        <v>1.5</v>
      </c>
      <c r="R394" s="12" t="n">
        <v>0.021</v>
      </c>
      <c r="S394" s="13" t="inlineStr">
        <is>
          <t>Success</t>
        </is>
      </c>
      <c r="T394" s="10" t="n">
        <v>0.5041489676832389</v>
      </c>
      <c r="U394" s="10" t="n">
        <v>1.008297935366478</v>
      </c>
      <c r="V394" s="10" t="n">
        <v>4.033191741465911</v>
      </c>
    </row>
    <row r="395">
      <c r="I395" s="8" t="inlineStr">
        <is>
          <t>ACE-10389</t>
        </is>
      </c>
      <c r="J395" s="8" t="inlineStr">
        <is>
          <t>2026-05-10 11:33:38</t>
        </is>
      </c>
      <c r="K395" s="8" t="inlineStr">
        <is>
          <t>CUST-83392</t>
        </is>
      </c>
      <c r="L395" s="9" t="inlineStr">
        <is>
          <t>GBP-PKR</t>
        </is>
      </c>
      <c r="M395" s="8" t="inlineStr">
        <is>
          <t>GBP</t>
        </is>
      </c>
      <c r="N395" s="10" t="n">
        <v>306.3817847922629</v>
      </c>
      <c r="O395" s="11" t="n">
        <v>1</v>
      </c>
      <c r="P395" s="10" t="n">
        <v>306.3817847922629</v>
      </c>
      <c r="Q395" s="10" t="n">
        <v>1.5</v>
      </c>
      <c r="R395" s="12" t="n">
        <v>0.021</v>
      </c>
      <c r="S395" s="13" t="inlineStr">
        <is>
          <t>Success</t>
        </is>
      </c>
      <c r="T395" s="10" t="n">
        <v>0.4595726771883943</v>
      </c>
      <c r="U395" s="10" t="n">
        <v>0</v>
      </c>
      <c r="V395" s="10" t="n">
        <v>3.676581417507154</v>
      </c>
    </row>
    <row r="396">
      <c r="I396" s="8" t="inlineStr">
        <is>
          <t>ACE-10390</t>
        </is>
      </c>
      <c r="J396" s="8" t="inlineStr">
        <is>
          <t>2026-05-21 08:50:57</t>
        </is>
      </c>
      <c r="K396" s="8" t="inlineStr">
        <is>
          <t>CUST-65685</t>
        </is>
      </c>
      <c r="L396" s="9" t="inlineStr">
        <is>
          <t>GBP-PKR</t>
        </is>
      </c>
      <c r="M396" s="8" t="inlineStr">
        <is>
          <t>GBP</t>
        </is>
      </c>
      <c r="N396" s="10" t="n">
        <v>262.9855894216536</v>
      </c>
      <c r="O396" s="11" t="n">
        <v>1</v>
      </c>
      <c r="P396" s="10" t="n">
        <v>262.9855894216536</v>
      </c>
      <c r="Q396" s="10" t="n">
        <v>1.5</v>
      </c>
      <c r="R396" s="12" t="n">
        <v>0.021</v>
      </c>
      <c r="S396" s="13" t="inlineStr">
        <is>
          <t>Success</t>
        </is>
      </c>
      <c r="T396" s="10" t="n">
        <v>0.3944783841324804</v>
      </c>
      <c r="U396" s="10" t="n">
        <v>0</v>
      </c>
      <c r="V396" s="10" t="n">
        <v>3.155827073059843</v>
      </c>
    </row>
    <row r="397">
      <c r="I397" s="8" t="inlineStr">
        <is>
          <t>ACE-10391</t>
        </is>
      </c>
      <c r="J397" s="8" t="inlineStr">
        <is>
          <t>2026-05-16 18:38:04</t>
        </is>
      </c>
      <c r="K397" s="8" t="inlineStr">
        <is>
          <t>CUST-84621</t>
        </is>
      </c>
      <c r="L397" s="9" t="inlineStr">
        <is>
          <t>GBP-PKR</t>
        </is>
      </c>
      <c r="M397" s="8" t="inlineStr">
        <is>
          <t>GBP</t>
        </is>
      </c>
      <c r="N397" s="10" t="n">
        <v>254.6647911900747</v>
      </c>
      <c r="O397" s="11" t="n">
        <v>1</v>
      </c>
      <c r="P397" s="10" t="n">
        <v>254.6647911900747</v>
      </c>
      <c r="Q397" s="10" t="n">
        <v>1.5</v>
      </c>
      <c r="R397" s="12" t="n">
        <v>0.021</v>
      </c>
      <c r="S397" s="13" t="inlineStr">
        <is>
          <t>Success</t>
        </is>
      </c>
      <c r="T397" s="10" t="n">
        <v>0.3819971867851121</v>
      </c>
      <c r="U397" s="10" t="n">
        <v>0</v>
      </c>
      <c r="V397" s="10" t="n">
        <v>3.055977494280897</v>
      </c>
    </row>
    <row r="398">
      <c r="I398" s="8" t="inlineStr">
        <is>
          <t>ACE-10392</t>
        </is>
      </c>
      <c r="J398" s="8" t="inlineStr">
        <is>
          <t>2026-05-12 13:08:24</t>
        </is>
      </c>
      <c r="K398" s="8" t="inlineStr">
        <is>
          <t>CUST-87249</t>
        </is>
      </c>
      <c r="L398" s="9" t="inlineStr">
        <is>
          <t>USD-PKR</t>
        </is>
      </c>
      <c r="M398" s="8" t="inlineStr">
        <is>
          <t>USD</t>
        </is>
      </c>
      <c r="N398" s="10" t="n">
        <v>229.9402433174444</v>
      </c>
      <c r="O398" s="11" t="n">
        <v>0.8</v>
      </c>
      <c r="P398" s="10" t="n">
        <v>183.9521946539556</v>
      </c>
      <c r="Q398" s="10" t="n">
        <v>1.6</v>
      </c>
      <c r="R398" s="12" t="n">
        <v>0.019</v>
      </c>
      <c r="S398" s="13" t="inlineStr">
        <is>
          <t>Success</t>
        </is>
      </c>
      <c r="T398" s="10" t="n">
        <v>0.2759282919809333</v>
      </c>
      <c r="U398" s="10" t="n">
        <v>0</v>
      </c>
      <c r="V398" s="10" t="n">
        <v>2.207426335847467</v>
      </c>
    </row>
    <row r="399">
      <c r="I399" s="8" t="inlineStr">
        <is>
          <t>ACE-10393</t>
        </is>
      </c>
      <c r="J399" s="8" t="inlineStr">
        <is>
          <t>2026-05-06 20:30:49</t>
        </is>
      </c>
      <c r="K399" s="8" t="inlineStr">
        <is>
          <t>CUST-54783</t>
        </is>
      </c>
      <c r="L399" s="9" t="inlineStr">
        <is>
          <t>GBP-PKR</t>
        </is>
      </c>
      <c r="M399" s="8" t="inlineStr">
        <is>
          <t>GBP</t>
        </is>
      </c>
      <c r="N399" s="10" t="n">
        <v>244.1459695951829</v>
      </c>
      <c r="O399" s="11" t="n">
        <v>1</v>
      </c>
      <c r="P399" s="10" t="n">
        <v>244.1459695951829</v>
      </c>
      <c r="Q399" s="10" t="n">
        <v>1.5</v>
      </c>
      <c r="R399" s="12" t="n">
        <v>0.021</v>
      </c>
      <c r="S399" s="13" t="inlineStr">
        <is>
          <t>Failed</t>
        </is>
      </c>
      <c r="T399" s="10" t="n">
        <v>0</v>
      </c>
      <c r="U399" s="10" t="n">
        <v>0</v>
      </c>
      <c r="V399" s="10" t="n">
        <v>0.5</v>
      </c>
    </row>
    <row r="400">
      <c r="I400" s="8" t="inlineStr">
        <is>
          <t>ACE-10394</t>
        </is>
      </c>
      <c r="J400" s="8" t="inlineStr">
        <is>
          <t>2026-05-03 08:16:13</t>
        </is>
      </c>
      <c r="K400" s="8" t="inlineStr">
        <is>
          <t>CUST-52610</t>
        </is>
      </c>
      <c r="L400" s="9" t="inlineStr">
        <is>
          <t>GBP-PKR</t>
        </is>
      </c>
      <c r="M400" s="8" t="inlineStr">
        <is>
          <t>GBP</t>
        </is>
      </c>
      <c r="N400" s="10" t="n">
        <v>334.599896676192</v>
      </c>
      <c r="O400" s="11" t="n">
        <v>1</v>
      </c>
      <c r="P400" s="10" t="n">
        <v>334.599896676192</v>
      </c>
      <c r="Q400" s="10" t="n">
        <v>1.5</v>
      </c>
      <c r="R400" s="12" t="n">
        <v>0.021</v>
      </c>
      <c r="S400" s="13" t="inlineStr">
        <is>
          <t>Success</t>
        </is>
      </c>
      <c r="T400" s="10" t="n">
        <v>0.5018998450142881</v>
      </c>
      <c r="U400" s="10" t="n">
        <v>1.003799690028576</v>
      </c>
      <c r="V400" s="10" t="n">
        <v>4.015198760114305</v>
      </c>
    </row>
    <row r="401">
      <c r="I401" s="8" t="inlineStr">
        <is>
          <t>ACE-10395</t>
        </is>
      </c>
      <c r="J401" s="8" t="inlineStr">
        <is>
          <t>2026-05-13 16:18:40</t>
        </is>
      </c>
      <c r="K401" s="8" t="inlineStr">
        <is>
          <t>CUST-96702</t>
        </is>
      </c>
      <c r="L401" s="9" t="inlineStr">
        <is>
          <t>GBP-PKR</t>
        </is>
      </c>
      <c r="M401" s="8" t="inlineStr">
        <is>
          <t>GBP</t>
        </is>
      </c>
      <c r="N401" s="10" t="n">
        <v>313.4793896728129</v>
      </c>
      <c r="O401" s="11" t="n">
        <v>1</v>
      </c>
      <c r="P401" s="10" t="n">
        <v>313.4793896728129</v>
      </c>
      <c r="Q401" s="10" t="n">
        <v>1.5</v>
      </c>
      <c r="R401" s="12" t="n">
        <v>0.021</v>
      </c>
      <c r="S401" s="13" t="inlineStr">
        <is>
          <t>Success</t>
        </is>
      </c>
      <c r="T401" s="10" t="n">
        <v>0.4702190845092193</v>
      </c>
      <c r="U401" s="10" t="n">
        <v>0</v>
      </c>
      <c r="V401" s="10" t="n">
        <v>3.761752676073755</v>
      </c>
    </row>
    <row r="402">
      <c r="I402" s="8" t="inlineStr">
        <is>
          <t>ACE-10396</t>
        </is>
      </c>
      <c r="J402" s="8" t="inlineStr">
        <is>
          <t>2026-05-23 14:05:40</t>
        </is>
      </c>
      <c r="K402" s="8" t="inlineStr">
        <is>
          <t>CUST-85164</t>
        </is>
      </c>
      <c r="L402" s="9" t="inlineStr">
        <is>
          <t>GBP-PKR</t>
        </is>
      </c>
      <c r="M402" s="8" t="inlineStr">
        <is>
          <t>GBP</t>
        </is>
      </c>
      <c r="N402" s="10" t="n">
        <v>265.8339957822893</v>
      </c>
      <c r="O402" s="11" t="n">
        <v>1</v>
      </c>
      <c r="P402" s="10" t="n">
        <v>265.8339957822893</v>
      </c>
      <c r="Q402" s="10" t="n">
        <v>1.5</v>
      </c>
      <c r="R402" s="12" t="n">
        <v>0.021</v>
      </c>
      <c r="S402" s="13" t="inlineStr">
        <is>
          <t>Success</t>
        </is>
      </c>
      <c r="T402" s="10" t="n">
        <v>0.398750993673434</v>
      </c>
      <c r="U402" s="10" t="n">
        <v>0</v>
      </c>
      <c r="V402" s="10" t="n">
        <v>3.190007949387472</v>
      </c>
    </row>
    <row r="403">
      <c r="I403" s="8" t="inlineStr">
        <is>
          <t>ACE-10397</t>
        </is>
      </c>
      <c r="J403" s="8" t="inlineStr">
        <is>
          <t>2026-05-03 12:05:32</t>
        </is>
      </c>
      <c r="K403" s="8" t="inlineStr">
        <is>
          <t>CUST-63316</t>
        </is>
      </c>
      <c r="L403" s="9" t="inlineStr">
        <is>
          <t>GBP-PKR</t>
        </is>
      </c>
      <c r="M403" s="8" t="inlineStr">
        <is>
          <t>GBP</t>
        </is>
      </c>
      <c r="N403" s="10" t="n">
        <v>234.7394440396687</v>
      </c>
      <c r="O403" s="11" t="n">
        <v>1</v>
      </c>
      <c r="P403" s="10" t="n">
        <v>234.7394440396687</v>
      </c>
      <c r="Q403" s="10" t="n">
        <v>1.5</v>
      </c>
      <c r="R403" s="12" t="n">
        <v>0.021</v>
      </c>
      <c r="S403" s="13" t="inlineStr">
        <is>
          <t>Success</t>
        </is>
      </c>
      <c r="T403" s="10" t="n">
        <v>0.352109166059503</v>
      </c>
      <c r="U403" s="10" t="n">
        <v>0</v>
      </c>
      <c r="V403" s="10" t="n">
        <v>2.816873328476024</v>
      </c>
    </row>
    <row r="404">
      <c r="I404" s="8" t="inlineStr">
        <is>
          <t>ACE-10398</t>
        </is>
      </c>
      <c r="J404" s="8" t="inlineStr">
        <is>
          <t>2026-05-11 14:37:40</t>
        </is>
      </c>
      <c r="K404" s="8" t="inlineStr">
        <is>
          <t>CUST-92587</t>
        </is>
      </c>
      <c r="L404" s="9" t="inlineStr">
        <is>
          <t>GBP-PKR</t>
        </is>
      </c>
      <c r="M404" s="8" t="inlineStr">
        <is>
          <t>GBP</t>
        </is>
      </c>
      <c r="N404" s="10" t="n">
        <v>318.9954503909456</v>
      </c>
      <c r="O404" s="11" t="n">
        <v>1</v>
      </c>
      <c r="P404" s="10" t="n">
        <v>318.9954503909456</v>
      </c>
      <c r="Q404" s="10" t="n">
        <v>1.5</v>
      </c>
      <c r="R404" s="12" t="n">
        <v>0.021</v>
      </c>
      <c r="S404" s="13" t="inlineStr">
        <is>
          <t>Success</t>
        </is>
      </c>
      <c r="T404" s="10" t="n">
        <v>0.4784931755864184</v>
      </c>
      <c r="U404" s="10" t="n">
        <v>0</v>
      </c>
      <c r="V404" s="10" t="n">
        <v>3.827945404691347</v>
      </c>
    </row>
    <row r="405">
      <c r="I405" s="8" t="inlineStr">
        <is>
          <t>ACE-10399</t>
        </is>
      </c>
      <c r="J405" s="8" t="inlineStr">
        <is>
          <t>2026-05-23 14:46:54</t>
        </is>
      </c>
      <c r="K405" s="8" t="inlineStr">
        <is>
          <t>CUST-65639</t>
        </is>
      </c>
      <c r="L405" s="9" t="inlineStr">
        <is>
          <t>GBP-PKR</t>
        </is>
      </c>
      <c r="M405" s="8" t="inlineStr">
        <is>
          <t>GBP</t>
        </is>
      </c>
      <c r="N405" s="10" t="n">
        <v>275.4305800066875</v>
      </c>
      <c r="O405" s="11" t="n">
        <v>1</v>
      </c>
      <c r="P405" s="10" t="n">
        <v>275.4305800066875</v>
      </c>
      <c r="Q405" s="10" t="n">
        <v>1.5</v>
      </c>
      <c r="R405" s="12" t="n">
        <v>0.021</v>
      </c>
      <c r="S405" s="13" t="inlineStr">
        <is>
          <t>Success</t>
        </is>
      </c>
      <c r="T405" s="10" t="n">
        <v>0.4131458700100312</v>
      </c>
      <c r="U405" s="10" t="n">
        <v>0</v>
      </c>
      <c r="V405" s="10" t="n">
        <v>3.30516696008025</v>
      </c>
    </row>
    <row r="406">
      <c r="I406" s="8" t="inlineStr">
        <is>
          <t>ACE-10400</t>
        </is>
      </c>
      <c r="J406" s="8" t="inlineStr">
        <is>
          <t>2026-05-14 09:29:39</t>
        </is>
      </c>
      <c r="K406" s="8" t="inlineStr">
        <is>
          <t>CUST-89900</t>
        </is>
      </c>
      <c r="L406" s="9" t="inlineStr">
        <is>
          <t>EUR-PKR</t>
        </is>
      </c>
      <c r="M406" s="8" t="inlineStr">
        <is>
          <t>EUR</t>
        </is>
      </c>
      <c r="N406" s="10" t="n">
        <v>213.9635564073724</v>
      </c>
      <c r="O406" s="11" t="n">
        <v>0.85</v>
      </c>
      <c r="P406" s="10" t="n">
        <v>181.8690229462666</v>
      </c>
      <c r="Q406" s="10" t="n">
        <v>1.275</v>
      </c>
      <c r="R406" s="12" t="n">
        <v>0.023</v>
      </c>
      <c r="S406" s="13" t="inlineStr">
        <is>
          <t>Success</t>
        </is>
      </c>
      <c r="T406" s="10" t="n">
        <v>0.2728035344193999</v>
      </c>
      <c r="U406" s="10" t="n">
        <v>0.5456070688387997</v>
      </c>
      <c r="V406" s="10" t="n">
        <v>2.728035344193998</v>
      </c>
    </row>
    <row r="407">
      <c r="I407" s="8" t="inlineStr">
        <is>
          <t>ACE-10401</t>
        </is>
      </c>
      <c r="J407" s="8" t="inlineStr">
        <is>
          <t>2026-05-22 19:11:07</t>
        </is>
      </c>
      <c r="K407" s="8" t="inlineStr">
        <is>
          <t>CUST-50830</t>
        </is>
      </c>
      <c r="L407" s="9" t="inlineStr">
        <is>
          <t>USD-PKR</t>
        </is>
      </c>
      <c r="M407" s="8" t="inlineStr">
        <is>
          <t>USD</t>
        </is>
      </c>
      <c r="N407" s="10" t="n">
        <v>186.6405884320075</v>
      </c>
      <c r="O407" s="11" t="n">
        <v>0.8</v>
      </c>
      <c r="P407" s="10" t="n">
        <v>149.312470745606</v>
      </c>
      <c r="Q407" s="10" t="n">
        <v>1.6</v>
      </c>
      <c r="R407" s="12" t="n">
        <v>0.019</v>
      </c>
      <c r="S407" s="13" t="inlineStr">
        <is>
          <t>Success</t>
        </is>
      </c>
      <c r="T407" s="10" t="n">
        <v>0.223968706118409</v>
      </c>
      <c r="U407" s="10" t="n">
        <v>0.447937412236818</v>
      </c>
      <c r="V407" s="10" t="n">
        <v>1.791749648947272</v>
      </c>
    </row>
    <row r="408">
      <c r="I408" s="8" t="inlineStr">
        <is>
          <t>ACE-10402</t>
        </is>
      </c>
      <c r="J408" s="8" t="inlineStr">
        <is>
          <t>2026-05-06 15:22:33</t>
        </is>
      </c>
      <c r="K408" s="8" t="inlineStr">
        <is>
          <t>CUST-83896</t>
        </is>
      </c>
      <c r="L408" s="9" t="inlineStr">
        <is>
          <t>GBP-PKR</t>
        </is>
      </c>
      <c r="M408" s="8" t="inlineStr">
        <is>
          <t>GBP</t>
        </is>
      </c>
      <c r="N408" s="10" t="n">
        <v>262.3952883364552</v>
      </c>
      <c r="O408" s="11" t="n">
        <v>1</v>
      </c>
      <c r="P408" s="10" t="n">
        <v>262.3952883364552</v>
      </c>
      <c r="Q408" s="10" t="n">
        <v>1.5</v>
      </c>
      <c r="R408" s="12" t="n">
        <v>0.021</v>
      </c>
      <c r="S408" s="13" t="inlineStr">
        <is>
          <t>Success</t>
        </is>
      </c>
      <c r="T408" s="10" t="n">
        <v>0.3935929325046829</v>
      </c>
      <c r="U408" s="10" t="n">
        <v>0.7871858650093657</v>
      </c>
      <c r="V408" s="10" t="n">
        <v>3.148743460037463</v>
      </c>
    </row>
    <row r="409">
      <c r="I409" s="8" t="inlineStr">
        <is>
          <t>ACE-10403</t>
        </is>
      </c>
      <c r="J409" s="8" t="inlineStr">
        <is>
          <t>2026-05-06 13:08:47</t>
        </is>
      </c>
      <c r="K409" s="8" t="inlineStr">
        <is>
          <t>CUST-67613</t>
        </is>
      </c>
      <c r="L409" s="9" t="inlineStr">
        <is>
          <t>GBP-PKR</t>
        </is>
      </c>
      <c r="M409" s="8" t="inlineStr">
        <is>
          <t>GBP</t>
        </is>
      </c>
      <c r="N409" s="10" t="n">
        <v>278.7496237899824</v>
      </c>
      <c r="O409" s="11" t="n">
        <v>1</v>
      </c>
      <c r="P409" s="10" t="n">
        <v>278.7496237899824</v>
      </c>
      <c r="Q409" s="10" t="n">
        <v>1.5</v>
      </c>
      <c r="R409" s="12" t="n">
        <v>0.021</v>
      </c>
      <c r="S409" s="13" t="inlineStr">
        <is>
          <t>Success</t>
        </is>
      </c>
      <c r="T409" s="10" t="n">
        <v>0.4181244356849735</v>
      </c>
      <c r="U409" s="10" t="n">
        <v>0</v>
      </c>
      <c r="V409" s="10" t="n">
        <v>3.344995485479788</v>
      </c>
    </row>
    <row r="410">
      <c r="I410" s="8" t="inlineStr">
        <is>
          <t>ACE-10404</t>
        </is>
      </c>
      <c r="J410" s="8" t="inlineStr">
        <is>
          <t>2026-05-01 13:51:27</t>
        </is>
      </c>
      <c r="K410" s="8" t="inlineStr">
        <is>
          <t>CUST-67824</t>
        </is>
      </c>
      <c r="L410" s="9" t="inlineStr">
        <is>
          <t>GBP-PKR</t>
        </is>
      </c>
      <c r="M410" s="8" t="inlineStr">
        <is>
          <t>GBP</t>
        </is>
      </c>
      <c r="N410" s="10" t="n">
        <v>279.9154693876677</v>
      </c>
      <c r="O410" s="11" t="n">
        <v>1</v>
      </c>
      <c r="P410" s="10" t="n">
        <v>279.9154693876677</v>
      </c>
      <c r="Q410" s="10" t="n">
        <v>1.5</v>
      </c>
      <c r="R410" s="12" t="n">
        <v>0.021</v>
      </c>
      <c r="S410" s="13" t="inlineStr">
        <is>
          <t>Success</t>
        </is>
      </c>
      <c r="T410" s="10" t="n">
        <v>0.4198732040815016</v>
      </c>
      <c r="U410" s="10" t="n">
        <v>0</v>
      </c>
      <c r="V410" s="10" t="n">
        <v>3.358985632652013</v>
      </c>
    </row>
    <row r="411">
      <c r="I411" s="8" t="inlineStr">
        <is>
          <t>ACE-10405</t>
        </is>
      </c>
      <c r="J411" s="8" t="inlineStr">
        <is>
          <t>2026-05-19 18:04:31</t>
        </is>
      </c>
      <c r="K411" s="8" t="inlineStr">
        <is>
          <t>CUST-79831</t>
        </is>
      </c>
      <c r="L411" s="9" t="inlineStr">
        <is>
          <t>EUR-PKR</t>
        </is>
      </c>
      <c r="M411" s="8" t="inlineStr">
        <is>
          <t>EUR</t>
        </is>
      </c>
      <c r="N411" s="10" t="n">
        <v>180.7324073694564</v>
      </c>
      <c r="O411" s="11" t="n">
        <v>0.85</v>
      </c>
      <c r="P411" s="10" t="n">
        <v>153.6225462640379</v>
      </c>
      <c r="Q411" s="10" t="n">
        <v>1.275</v>
      </c>
      <c r="R411" s="12" t="n">
        <v>0.023</v>
      </c>
      <c r="S411" s="13" t="inlineStr">
        <is>
          <t>Success</t>
        </is>
      </c>
      <c r="T411" s="10" t="n">
        <v>0.2304338193960569</v>
      </c>
      <c r="U411" s="10" t="n">
        <v>0</v>
      </c>
      <c r="V411" s="10" t="n">
        <v>2.304338193960568</v>
      </c>
    </row>
    <row r="412">
      <c r="I412" s="8" t="inlineStr">
        <is>
          <t>ACE-10406</t>
        </is>
      </c>
      <c r="J412" s="8" t="inlineStr">
        <is>
          <t>2026-05-19 10:23:10</t>
        </is>
      </c>
      <c r="K412" s="8" t="inlineStr">
        <is>
          <t>CUST-66719</t>
        </is>
      </c>
      <c r="L412" s="9" t="inlineStr">
        <is>
          <t>GBP-PKR</t>
        </is>
      </c>
      <c r="M412" s="8" t="inlineStr">
        <is>
          <t>GBP</t>
        </is>
      </c>
      <c r="N412" s="10" t="n">
        <v>296.5081176781061</v>
      </c>
      <c r="O412" s="11" t="n">
        <v>1</v>
      </c>
      <c r="P412" s="10" t="n">
        <v>296.5081176781061</v>
      </c>
      <c r="Q412" s="10" t="n">
        <v>1.5</v>
      </c>
      <c r="R412" s="12" t="n">
        <v>0.021</v>
      </c>
      <c r="S412" s="13" t="inlineStr">
        <is>
          <t>Success</t>
        </is>
      </c>
      <c r="T412" s="10" t="n">
        <v>0.4447621765171592</v>
      </c>
      <c r="U412" s="10" t="n">
        <v>0.8895243530343184</v>
      </c>
      <c r="V412" s="10" t="n">
        <v>3.558097412137274</v>
      </c>
    </row>
    <row r="413">
      <c r="I413" s="8" t="inlineStr">
        <is>
          <t>ACE-10407</t>
        </is>
      </c>
      <c r="J413" s="8" t="inlineStr">
        <is>
          <t>2026-05-22 19:07:14</t>
        </is>
      </c>
      <c r="K413" s="8" t="inlineStr">
        <is>
          <t>CUST-98547</t>
        </is>
      </c>
      <c r="L413" s="9" t="inlineStr">
        <is>
          <t>GBP-PKR</t>
        </is>
      </c>
      <c r="M413" s="8" t="inlineStr">
        <is>
          <t>GBP</t>
        </is>
      </c>
      <c r="N413" s="10" t="n">
        <v>250.3919675485007</v>
      </c>
      <c r="O413" s="11" t="n">
        <v>1</v>
      </c>
      <c r="P413" s="10" t="n">
        <v>250.3919675485007</v>
      </c>
      <c r="Q413" s="10" t="n">
        <v>1.5</v>
      </c>
      <c r="R413" s="12" t="n">
        <v>0.021</v>
      </c>
      <c r="S413" s="13" t="inlineStr">
        <is>
          <t>Success</t>
        </is>
      </c>
      <c r="T413" s="10" t="n">
        <v>0.3755879513227511</v>
      </c>
      <c r="U413" s="10" t="n">
        <v>0</v>
      </c>
      <c r="V413" s="10" t="n">
        <v>3.004703610582009</v>
      </c>
    </row>
    <row r="414">
      <c r="I414" s="8" t="inlineStr">
        <is>
          <t>ACE-10408</t>
        </is>
      </c>
      <c r="J414" s="8" t="inlineStr">
        <is>
          <t>2026-05-01 11:02:30</t>
        </is>
      </c>
      <c r="K414" s="8" t="inlineStr">
        <is>
          <t>CUST-73853</t>
        </is>
      </c>
      <c r="L414" s="9" t="inlineStr">
        <is>
          <t>GBP-PKR</t>
        </is>
      </c>
      <c r="M414" s="8" t="inlineStr">
        <is>
          <t>GBP</t>
        </is>
      </c>
      <c r="N414" s="10" t="n">
        <v>274.6648575602327</v>
      </c>
      <c r="O414" s="11" t="n">
        <v>1</v>
      </c>
      <c r="P414" s="10" t="n">
        <v>274.6648575602327</v>
      </c>
      <c r="Q414" s="10" t="n">
        <v>1.5</v>
      </c>
      <c r="R414" s="12" t="n">
        <v>0.021</v>
      </c>
      <c r="S414" s="13" t="inlineStr">
        <is>
          <t>Success</t>
        </is>
      </c>
      <c r="T414" s="10" t="n">
        <v>0.411997286340349</v>
      </c>
      <c r="U414" s="10" t="n">
        <v>0</v>
      </c>
      <c r="V414" s="10" t="n">
        <v>3.295978290722792</v>
      </c>
    </row>
    <row r="415">
      <c r="I415" s="8" t="inlineStr">
        <is>
          <t>ACE-10409</t>
        </is>
      </c>
      <c r="J415" s="8" t="inlineStr">
        <is>
          <t>2026-05-02 16:51:58</t>
        </is>
      </c>
      <c r="K415" s="8" t="inlineStr">
        <is>
          <t>CUST-96794</t>
        </is>
      </c>
      <c r="L415" s="9" t="inlineStr">
        <is>
          <t>EUR-PKR</t>
        </is>
      </c>
      <c r="M415" s="8" t="inlineStr">
        <is>
          <t>EUR</t>
        </is>
      </c>
      <c r="N415" s="10" t="n">
        <v>191.3403224237955</v>
      </c>
      <c r="O415" s="11" t="n">
        <v>0.85</v>
      </c>
      <c r="P415" s="10" t="n">
        <v>162.6392740602261</v>
      </c>
      <c r="Q415" s="10" t="n">
        <v>1.275</v>
      </c>
      <c r="R415" s="12" t="n">
        <v>0.023</v>
      </c>
      <c r="S415" s="13" t="inlineStr">
        <is>
          <t>Success</t>
        </is>
      </c>
      <c r="T415" s="10" t="n">
        <v>0.2439589110903392</v>
      </c>
      <c r="U415" s="10" t="n">
        <v>0</v>
      </c>
      <c r="V415" s="10" t="n">
        <v>2.439589110903392</v>
      </c>
    </row>
    <row r="416">
      <c r="I416" s="8" t="inlineStr">
        <is>
          <t>ACE-10410</t>
        </is>
      </c>
      <c r="J416" s="8" t="inlineStr">
        <is>
          <t>2026-05-11 11:26:58</t>
        </is>
      </c>
      <c r="K416" s="8" t="inlineStr">
        <is>
          <t>CUST-97204</t>
        </is>
      </c>
      <c r="L416" s="9" t="inlineStr">
        <is>
          <t>GBP-PKR</t>
        </is>
      </c>
      <c r="M416" s="8" t="inlineStr">
        <is>
          <t>GBP</t>
        </is>
      </c>
      <c r="N416" s="10" t="n">
        <v>293.3110020628967</v>
      </c>
      <c r="O416" s="11" t="n">
        <v>1</v>
      </c>
      <c r="P416" s="10" t="n">
        <v>293.3110020628967</v>
      </c>
      <c r="Q416" s="10" t="n">
        <v>1.5</v>
      </c>
      <c r="R416" s="12" t="n">
        <v>0.021</v>
      </c>
      <c r="S416" s="13" t="inlineStr">
        <is>
          <t>Success</t>
        </is>
      </c>
      <c r="T416" s="10" t="n">
        <v>0.439966503094345</v>
      </c>
      <c r="U416" s="10" t="n">
        <v>0.8799330061886901</v>
      </c>
      <c r="V416" s="10" t="n">
        <v>3.51973202475476</v>
      </c>
    </row>
    <row r="417">
      <c r="I417" s="8" t="inlineStr">
        <is>
          <t>ACE-10411</t>
        </is>
      </c>
      <c r="J417" s="8" t="inlineStr">
        <is>
          <t>2026-05-19 13:07:32</t>
        </is>
      </c>
      <c r="K417" s="8" t="inlineStr">
        <is>
          <t>CUST-94127</t>
        </is>
      </c>
      <c r="L417" s="9" t="inlineStr">
        <is>
          <t>GBP-PKR</t>
        </is>
      </c>
      <c r="M417" s="8" t="inlineStr">
        <is>
          <t>GBP</t>
        </is>
      </c>
      <c r="N417" s="10" t="n">
        <v>299.1517862724916</v>
      </c>
      <c r="O417" s="11" t="n">
        <v>1</v>
      </c>
      <c r="P417" s="10" t="n">
        <v>299.1517862724916</v>
      </c>
      <c r="Q417" s="10" t="n">
        <v>1.5</v>
      </c>
      <c r="R417" s="12" t="n">
        <v>0.021</v>
      </c>
      <c r="S417" s="13" t="inlineStr">
        <is>
          <t>Success</t>
        </is>
      </c>
      <c r="T417" s="10" t="n">
        <v>0.4487276794087374</v>
      </c>
      <c r="U417" s="10" t="n">
        <v>0</v>
      </c>
      <c r="V417" s="10" t="n">
        <v>3.589821435269899</v>
      </c>
    </row>
    <row r="418">
      <c r="I418" s="8" t="inlineStr">
        <is>
          <t>ACE-10412</t>
        </is>
      </c>
      <c r="J418" s="8" t="inlineStr">
        <is>
          <t>2026-05-17 08:25:04</t>
        </is>
      </c>
      <c r="K418" s="8" t="inlineStr">
        <is>
          <t>CUST-80480</t>
        </is>
      </c>
      <c r="L418" s="9" t="inlineStr">
        <is>
          <t>GBP-PKR</t>
        </is>
      </c>
      <c r="M418" s="8" t="inlineStr">
        <is>
          <t>GBP</t>
        </is>
      </c>
      <c r="N418" s="10" t="n">
        <v>248.9682539065638</v>
      </c>
      <c r="O418" s="11" t="n">
        <v>1</v>
      </c>
      <c r="P418" s="10" t="n">
        <v>248.9682539065638</v>
      </c>
      <c r="Q418" s="10" t="n">
        <v>1.5</v>
      </c>
      <c r="R418" s="12" t="n">
        <v>0.021</v>
      </c>
      <c r="S418" s="13" t="inlineStr">
        <is>
          <t>Success</t>
        </is>
      </c>
      <c r="T418" s="10" t="n">
        <v>0.3734523808598457</v>
      </c>
      <c r="U418" s="10" t="n">
        <v>0.7469047617196913</v>
      </c>
      <c r="V418" s="10" t="n">
        <v>2.987619046878765</v>
      </c>
    </row>
    <row r="419">
      <c r="I419" s="8" t="inlineStr">
        <is>
          <t>ACE-10413</t>
        </is>
      </c>
      <c r="J419" s="8" t="inlineStr">
        <is>
          <t>2026-05-10 13:05:35</t>
        </is>
      </c>
      <c r="K419" s="8" t="inlineStr">
        <is>
          <t>CUST-79933</t>
        </is>
      </c>
      <c r="L419" s="9" t="inlineStr">
        <is>
          <t>USD-PKR</t>
        </is>
      </c>
      <c r="M419" s="8" t="inlineStr">
        <is>
          <t>USD</t>
        </is>
      </c>
      <c r="N419" s="10" t="n">
        <v>187.769684485467</v>
      </c>
      <c r="O419" s="11" t="n">
        <v>0.8</v>
      </c>
      <c r="P419" s="10" t="n">
        <v>150.2157475883736</v>
      </c>
      <c r="Q419" s="10" t="n">
        <v>1.6</v>
      </c>
      <c r="R419" s="12" t="n">
        <v>0.019</v>
      </c>
      <c r="S419" s="13" t="inlineStr">
        <is>
          <t>Failed</t>
        </is>
      </c>
      <c r="T419" s="10" t="n">
        <v>0</v>
      </c>
      <c r="U419" s="10" t="n">
        <v>0</v>
      </c>
      <c r="V419" s="10" t="n">
        <v>0.5</v>
      </c>
    </row>
    <row r="420">
      <c r="I420" s="8" t="inlineStr">
        <is>
          <t>ACE-10414</t>
        </is>
      </c>
      <c r="J420" s="8" t="inlineStr">
        <is>
          <t>2026-05-07 12:36:50</t>
        </is>
      </c>
      <c r="K420" s="8" t="inlineStr">
        <is>
          <t>CUST-69917</t>
        </is>
      </c>
      <c r="L420" s="9" t="inlineStr">
        <is>
          <t>GBP-PKR</t>
        </is>
      </c>
      <c r="M420" s="8" t="inlineStr">
        <is>
          <t>GBP</t>
        </is>
      </c>
      <c r="N420" s="10" t="n">
        <v>316.5740835238017</v>
      </c>
      <c r="O420" s="11" t="n">
        <v>1</v>
      </c>
      <c r="P420" s="10" t="n">
        <v>316.5740835238017</v>
      </c>
      <c r="Q420" s="10" t="n">
        <v>1.5</v>
      </c>
      <c r="R420" s="12" t="n">
        <v>0.021</v>
      </c>
      <c r="S420" s="13" t="inlineStr">
        <is>
          <t>Success</t>
        </is>
      </c>
      <c r="T420" s="10" t="n">
        <v>0.4748611252857026</v>
      </c>
      <c r="U420" s="10" t="n">
        <v>0</v>
      </c>
      <c r="V420" s="10" t="n">
        <v>3.798889002285621</v>
      </c>
    </row>
    <row r="421">
      <c r="I421" s="8" t="inlineStr">
        <is>
          <t>ACE-10415</t>
        </is>
      </c>
      <c r="J421" s="8" t="inlineStr">
        <is>
          <t>2026-05-12 17:31:49</t>
        </is>
      </c>
      <c r="K421" s="8" t="inlineStr">
        <is>
          <t>CUST-62807</t>
        </is>
      </c>
      <c r="L421" s="9" t="inlineStr">
        <is>
          <t>GBP-PKR</t>
        </is>
      </c>
      <c r="M421" s="8" t="inlineStr">
        <is>
          <t>GBP</t>
        </is>
      </c>
      <c r="N421" s="10" t="n">
        <v>288.0174315061125</v>
      </c>
      <c r="O421" s="11" t="n">
        <v>1</v>
      </c>
      <c r="P421" s="10" t="n">
        <v>288.0174315061125</v>
      </c>
      <c r="Q421" s="10" t="n">
        <v>1.5</v>
      </c>
      <c r="R421" s="12" t="n">
        <v>0.021</v>
      </c>
      <c r="S421" s="13" t="inlineStr">
        <is>
          <t>Success</t>
        </is>
      </c>
      <c r="T421" s="10" t="n">
        <v>0.4320261472591688</v>
      </c>
      <c r="U421" s="10" t="n">
        <v>0</v>
      </c>
      <c r="V421" s="10" t="n">
        <v>3.456209178073351</v>
      </c>
    </row>
    <row r="422">
      <c r="I422" s="8" t="inlineStr">
        <is>
          <t>ACE-10416</t>
        </is>
      </c>
      <c r="J422" s="8" t="inlineStr">
        <is>
          <t>2026-05-08 10:00:59</t>
        </is>
      </c>
      <c r="K422" s="8" t="inlineStr">
        <is>
          <t>CUST-76872</t>
        </is>
      </c>
      <c r="L422" s="9" t="inlineStr">
        <is>
          <t>GBP-PKR</t>
        </is>
      </c>
      <c r="M422" s="8" t="inlineStr">
        <is>
          <t>GBP</t>
        </is>
      </c>
      <c r="N422" s="10" t="n">
        <v>258.5116988282976</v>
      </c>
      <c r="O422" s="11" t="n">
        <v>1</v>
      </c>
      <c r="P422" s="10" t="n">
        <v>258.5116988282976</v>
      </c>
      <c r="Q422" s="10" t="n">
        <v>1.5</v>
      </c>
      <c r="R422" s="12" t="n">
        <v>0.021</v>
      </c>
      <c r="S422" s="13" t="inlineStr">
        <is>
          <t>Success</t>
        </is>
      </c>
      <c r="T422" s="10" t="n">
        <v>0.3877675482424464</v>
      </c>
      <c r="U422" s="10" t="n">
        <v>0</v>
      </c>
      <c r="V422" s="10" t="n">
        <v>3.102140385939571</v>
      </c>
    </row>
    <row r="423">
      <c r="I423" s="8" t="inlineStr">
        <is>
          <t>ACE-10417</t>
        </is>
      </c>
      <c r="J423" s="8" t="inlineStr">
        <is>
          <t>2026-05-21 19:56:00</t>
        </is>
      </c>
      <c r="K423" s="8" t="inlineStr">
        <is>
          <t>CUST-71955</t>
        </is>
      </c>
      <c r="L423" s="9" t="inlineStr">
        <is>
          <t>GBP-PKR</t>
        </is>
      </c>
      <c r="M423" s="8" t="inlineStr">
        <is>
          <t>GBP</t>
        </is>
      </c>
      <c r="N423" s="10" t="n">
        <v>325.351065451583</v>
      </c>
      <c r="O423" s="11" t="n">
        <v>1</v>
      </c>
      <c r="P423" s="10" t="n">
        <v>325.351065451583</v>
      </c>
      <c r="Q423" s="10" t="n">
        <v>1.5</v>
      </c>
      <c r="R423" s="12" t="n">
        <v>0.021</v>
      </c>
      <c r="S423" s="13" t="inlineStr">
        <is>
          <t>Failed</t>
        </is>
      </c>
      <c r="T423" s="10" t="n">
        <v>0</v>
      </c>
      <c r="U423" s="10" t="n">
        <v>0</v>
      </c>
      <c r="V423" s="10" t="n">
        <v>0.5</v>
      </c>
    </row>
    <row r="424">
      <c r="I424" s="8" t="inlineStr">
        <is>
          <t>ACE-10418</t>
        </is>
      </c>
      <c r="J424" s="8" t="inlineStr">
        <is>
          <t>2026-05-22 14:54:47</t>
        </is>
      </c>
      <c r="K424" s="8" t="inlineStr">
        <is>
          <t>CUST-97658</t>
        </is>
      </c>
      <c r="L424" s="9" t="inlineStr">
        <is>
          <t>GBP-PKR</t>
        </is>
      </c>
      <c r="M424" s="8" t="inlineStr">
        <is>
          <t>GBP</t>
        </is>
      </c>
      <c r="N424" s="10" t="n">
        <v>281.8449414215931</v>
      </c>
      <c r="O424" s="11" t="n">
        <v>1</v>
      </c>
      <c r="P424" s="10" t="n">
        <v>281.8449414215931</v>
      </c>
      <c r="Q424" s="10" t="n">
        <v>1.5</v>
      </c>
      <c r="R424" s="12" t="n">
        <v>0.021</v>
      </c>
      <c r="S424" s="13" t="inlineStr">
        <is>
          <t>Success</t>
        </is>
      </c>
      <c r="T424" s="10" t="n">
        <v>0.4227674121323897</v>
      </c>
      <c r="U424" s="10" t="n">
        <v>0</v>
      </c>
      <c r="V424" s="10" t="n">
        <v>3.382139297059118</v>
      </c>
    </row>
    <row r="425">
      <c r="I425" s="8" t="inlineStr">
        <is>
          <t>ACE-10419</t>
        </is>
      </c>
      <c r="J425" s="8" t="inlineStr">
        <is>
          <t>2026-05-08 14:31:03</t>
        </is>
      </c>
      <c r="K425" s="8" t="inlineStr">
        <is>
          <t>CUST-59330</t>
        </is>
      </c>
      <c r="L425" s="9" t="inlineStr">
        <is>
          <t>GBP-PKR</t>
        </is>
      </c>
      <c r="M425" s="8" t="inlineStr">
        <is>
          <t>GBP</t>
        </is>
      </c>
      <c r="N425" s="10" t="n">
        <v>313.4749089352218</v>
      </c>
      <c r="O425" s="11" t="n">
        <v>1</v>
      </c>
      <c r="P425" s="10" t="n">
        <v>313.4749089352218</v>
      </c>
      <c r="Q425" s="10" t="n">
        <v>1.5</v>
      </c>
      <c r="R425" s="12" t="n">
        <v>0.021</v>
      </c>
      <c r="S425" s="13" t="inlineStr">
        <is>
          <t>Success</t>
        </is>
      </c>
      <c r="T425" s="10" t="n">
        <v>0.4702123634028327</v>
      </c>
      <c r="U425" s="10" t="n">
        <v>0</v>
      </c>
      <c r="V425" s="10" t="n">
        <v>3.761698907222661</v>
      </c>
    </row>
    <row r="426">
      <c r="I426" s="8" t="inlineStr">
        <is>
          <t>ACE-10420</t>
        </is>
      </c>
      <c r="J426" s="8" t="inlineStr">
        <is>
          <t>2026-05-08 16:26:44</t>
        </is>
      </c>
      <c r="K426" s="8" t="inlineStr">
        <is>
          <t>CUST-74411</t>
        </is>
      </c>
      <c r="L426" s="9" t="inlineStr">
        <is>
          <t>USD-PKR</t>
        </is>
      </c>
      <c r="M426" s="8" t="inlineStr">
        <is>
          <t>USD</t>
        </is>
      </c>
      <c r="N426" s="10" t="n">
        <v>220.3857443751526</v>
      </c>
      <c r="O426" s="11" t="n">
        <v>0.8</v>
      </c>
      <c r="P426" s="10" t="n">
        <v>176.3085955001221</v>
      </c>
      <c r="Q426" s="10" t="n">
        <v>1.6</v>
      </c>
      <c r="R426" s="12" t="n">
        <v>0.019</v>
      </c>
      <c r="S426" s="13" t="inlineStr">
        <is>
          <t>Success</t>
        </is>
      </c>
      <c r="T426" s="10" t="n">
        <v>0.2644628932501832</v>
      </c>
      <c r="U426" s="10" t="n">
        <v>0.5289257865003664</v>
      </c>
      <c r="V426" s="10" t="n">
        <v>2.115703146001465</v>
      </c>
    </row>
    <row r="427">
      <c r="I427" s="8" t="inlineStr">
        <is>
          <t>ACE-10421</t>
        </is>
      </c>
      <c r="J427" s="8" t="inlineStr">
        <is>
          <t>2026-05-19 09:32:08</t>
        </is>
      </c>
      <c r="K427" s="8" t="inlineStr">
        <is>
          <t>CUST-91760</t>
        </is>
      </c>
      <c r="L427" s="9" t="inlineStr">
        <is>
          <t>EUR-PKR</t>
        </is>
      </c>
      <c r="M427" s="8" t="inlineStr">
        <is>
          <t>EUR</t>
        </is>
      </c>
      <c r="N427" s="10" t="n">
        <v>232.3160814944536</v>
      </c>
      <c r="O427" s="11" t="n">
        <v>0.85</v>
      </c>
      <c r="P427" s="10" t="n">
        <v>197.4686692702855</v>
      </c>
      <c r="Q427" s="10" t="n">
        <v>1.275</v>
      </c>
      <c r="R427" s="12" t="n">
        <v>0.023</v>
      </c>
      <c r="S427" s="13" t="inlineStr">
        <is>
          <t>Success</t>
        </is>
      </c>
      <c r="T427" s="10" t="n">
        <v>0.2962030039054283</v>
      </c>
      <c r="U427" s="10" t="n">
        <v>0</v>
      </c>
      <c r="V427" s="10" t="n">
        <v>2.962030039054283</v>
      </c>
    </row>
    <row r="428">
      <c r="I428" s="8" t="inlineStr">
        <is>
          <t>ACE-10422</t>
        </is>
      </c>
      <c r="J428" s="8" t="inlineStr">
        <is>
          <t>2026-05-19 08:27:42</t>
        </is>
      </c>
      <c r="K428" s="8" t="inlineStr">
        <is>
          <t>CUST-58566</t>
        </is>
      </c>
      <c r="L428" s="9" t="inlineStr">
        <is>
          <t>GBP-PKR</t>
        </is>
      </c>
      <c r="M428" s="8" t="inlineStr">
        <is>
          <t>GBP</t>
        </is>
      </c>
      <c r="N428" s="10" t="n">
        <v>332.0626604534384</v>
      </c>
      <c r="O428" s="11" t="n">
        <v>1</v>
      </c>
      <c r="P428" s="10" t="n">
        <v>332.0626604534384</v>
      </c>
      <c r="Q428" s="10" t="n">
        <v>1.5</v>
      </c>
      <c r="R428" s="12" t="n">
        <v>0.021</v>
      </c>
      <c r="S428" s="13" t="inlineStr">
        <is>
          <t>Success</t>
        </is>
      </c>
      <c r="T428" s="10" t="n">
        <v>0.4980939906801576</v>
      </c>
      <c r="U428" s="10" t="n">
        <v>0</v>
      </c>
      <c r="V428" s="10" t="n">
        <v>3.984751925441261</v>
      </c>
    </row>
    <row r="429">
      <c r="I429" s="8" t="inlineStr">
        <is>
          <t>ACE-10423</t>
        </is>
      </c>
      <c r="J429" s="8" t="inlineStr">
        <is>
          <t>2026-05-11 20:25:44</t>
        </is>
      </c>
      <c r="K429" s="8" t="inlineStr">
        <is>
          <t>CUST-98192</t>
        </is>
      </c>
      <c r="L429" s="9" t="inlineStr">
        <is>
          <t>USD-PKR</t>
        </is>
      </c>
      <c r="M429" s="8" t="inlineStr">
        <is>
          <t>USD</t>
        </is>
      </c>
      <c r="N429" s="10" t="n">
        <v>213.5201337507178</v>
      </c>
      <c r="O429" s="11" t="n">
        <v>0.8</v>
      </c>
      <c r="P429" s="10" t="n">
        <v>170.8161070005742</v>
      </c>
      <c r="Q429" s="10" t="n">
        <v>1.6</v>
      </c>
      <c r="R429" s="12" t="n">
        <v>0.019</v>
      </c>
      <c r="S429" s="13" t="inlineStr">
        <is>
          <t>Success</t>
        </is>
      </c>
      <c r="T429" s="10" t="n">
        <v>0.2562241605008614</v>
      </c>
      <c r="U429" s="10" t="n">
        <v>0</v>
      </c>
      <c r="V429" s="10" t="n">
        <v>2.049793284006891</v>
      </c>
    </row>
    <row r="430">
      <c r="I430" s="8" t="inlineStr">
        <is>
          <t>ACE-10424</t>
        </is>
      </c>
      <c r="J430" s="8" t="inlineStr">
        <is>
          <t>2026-05-08 09:12:08</t>
        </is>
      </c>
      <c r="K430" s="8" t="inlineStr">
        <is>
          <t>CUST-88319</t>
        </is>
      </c>
      <c r="L430" s="9" t="inlineStr">
        <is>
          <t>GBP-PKR</t>
        </is>
      </c>
      <c r="M430" s="8" t="inlineStr">
        <is>
          <t>GBP</t>
        </is>
      </c>
      <c r="N430" s="10" t="n">
        <v>307.0303793609932</v>
      </c>
      <c r="O430" s="11" t="n">
        <v>1</v>
      </c>
      <c r="P430" s="10" t="n">
        <v>307.0303793609932</v>
      </c>
      <c r="Q430" s="10" t="n">
        <v>1.5</v>
      </c>
      <c r="R430" s="12" t="n">
        <v>0.021</v>
      </c>
      <c r="S430" s="13" t="inlineStr">
        <is>
          <t>Success</t>
        </is>
      </c>
      <c r="T430" s="10" t="n">
        <v>0.4605455690414897</v>
      </c>
      <c r="U430" s="10" t="n">
        <v>0</v>
      </c>
      <c r="V430" s="10" t="n">
        <v>3.684364552331918</v>
      </c>
    </row>
    <row r="431">
      <c r="I431" s="8" t="inlineStr">
        <is>
          <t>ACE-10425</t>
        </is>
      </c>
      <c r="J431" s="8" t="inlineStr">
        <is>
          <t>2026-05-15 15:20:26</t>
        </is>
      </c>
      <c r="K431" s="8" t="inlineStr">
        <is>
          <t>CUST-57912</t>
        </is>
      </c>
      <c r="L431" s="9" t="inlineStr">
        <is>
          <t>USD-PKR</t>
        </is>
      </c>
      <c r="M431" s="8" t="inlineStr">
        <is>
          <t>USD</t>
        </is>
      </c>
      <c r="N431" s="10" t="n">
        <v>233.4960455246357</v>
      </c>
      <c r="O431" s="11" t="n">
        <v>0.8</v>
      </c>
      <c r="P431" s="10" t="n">
        <v>186.7968364197086</v>
      </c>
      <c r="Q431" s="10" t="n">
        <v>1.6</v>
      </c>
      <c r="R431" s="12" t="n">
        <v>0.019</v>
      </c>
      <c r="S431" s="13" t="inlineStr">
        <is>
          <t>Success</t>
        </is>
      </c>
      <c r="T431" s="10" t="n">
        <v>0.2801952546295629</v>
      </c>
      <c r="U431" s="10" t="n">
        <v>0.5603905092591257</v>
      </c>
      <c r="V431" s="10" t="n">
        <v>2.241562037036503</v>
      </c>
    </row>
    <row r="432">
      <c r="I432" s="8" t="inlineStr">
        <is>
          <t>ACE-10426</t>
        </is>
      </c>
      <c r="J432" s="8" t="inlineStr">
        <is>
          <t>2026-05-07 15:19:29</t>
        </is>
      </c>
      <c r="K432" s="8" t="inlineStr">
        <is>
          <t>CUST-67367</t>
        </is>
      </c>
      <c r="L432" s="9" t="inlineStr">
        <is>
          <t>GBP-PKR</t>
        </is>
      </c>
      <c r="M432" s="8" t="inlineStr">
        <is>
          <t>GBP</t>
        </is>
      </c>
      <c r="N432" s="10" t="n">
        <v>319.4666092359604</v>
      </c>
      <c r="O432" s="11" t="n">
        <v>1</v>
      </c>
      <c r="P432" s="10" t="n">
        <v>319.4666092359604</v>
      </c>
      <c r="Q432" s="10" t="n">
        <v>1.5</v>
      </c>
      <c r="R432" s="12" t="n">
        <v>0.021</v>
      </c>
      <c r="S432" s="13" t="inlineStr">
        <is>
          <t>Success</t>
        </is>
      </c>
      <c r="T432" s="10" t="n">
        <v>0.4791999138539407</v>
      </c>
      <c r="U432" s="10" t="n">
        <v>0</v>
      </c>
      <c r="V432" s="10" t="n">
        <v>3.833599310831525</v>
      </c>
    </row>
    <row r="433">
      <c r="I433" s="8" t="inlineStr">
        <is>
          <t>ACE-10427</t>
        </is>
      </c>
      <c r="J433" s="8" t="inlineStr">
        <is>
          <t>2026-05-22 12:52:45</t>
        </is>
      </c>
      <c r="K433" s="8" t="inlineStr">
        <is>
          <t>CUST-95670</t>
        </is>
      </c>
      <c r="L433" s="9" t="inlineStr">
        <is>
          <t>GBP-PKR</t>
        </is>
      </c>
      <c r="M433" s="8" t="inlineStr">
        <is>
          <t>GBP</t>
        </is>
      </c>
      <c r="N433" s="10" t="n">
        <v>252.9766664771417</v>
      </c>
      <c r="O433" s="11" t="n">
        <v>1</v>
      </c>
      <c r="P433" s="10" t="n">
        <v>252.9766664771417</v>
      </c>
      <c r="Q433" s="10" t="n">
        <v>1.5</v>
      </c>
      <c r="R433" s="12" t="n">
        <v>0.021</v>
      </c>
      <c r="S433" s="13" t="inlineStr">
        <is>
          <t>Success</t>
        </is>
      </c>
      <c r="T433" s="10" t="n">
        <v>0.3794649997157125</v>
      </c>
      <c r="U433" s="10" t="n">
        <v>0</v>
      </c>
      <c r="V433" s="10" t="n">
        <v>3.0357199977257</v>
      </c>
    </row>
    <row r="434">
      <c r="I434" s="8" t="inlineStr">
        <is>
          <t>ACE-10428</t>
        </is>
      </c>
      <c r="J434" s="8" t="inlineStr">
        <is>
          <t>2026-05-11 10:05:45</t>
        </is>
      </c>
      <c r="K434" s="8" t="inlineStr">
        <is>
          <t>CUST-66267</t>
        </is>
      </c>
      <c r="L434" s="9" t="inlineStr">
        <is>
          <t>USD-PKR</t>
        </is>
      </c>
      <c r="M434" s="8" t="inlineStr">
        <is>
          <t>USD</t>
        </is>
      </c>
      <c r="N434" s="10" t="n">
        <v>234.4477368220778</v>
      </c>
      <c r="O434" s="11" t="n">
        <v>0.8</v>
      </c>
      <c r="P434" s="10" t="n">
        <v>187.5581894576623</v>
      </c>
      <c r="Q434" s="10" t="n">
        <v>1.6</v>
      </c>
      <c r="R434" s="12" t="n">
        <v>0.019</v>
      </c>
      <c r="S434" s="13" t="inlineStr">
        <is>
          <t>Success</t>
        </is>
      </c>
      <c r="T434" s="10" t="n">
        <v>0.2813372841864935</v>
      </c>
      <c r="U434" s="10" t="n">
        <v>0</v>
      </c>
      <c r="V434" s="10" t="n">
        <v>2.250698273491948</v>
      </c>
    </row>
    <row r="435">
      <c r="I435" s="8" t="inlineStr">
        <is>
          <t>ACE-10429</t>
        </is>
      </c>
      <c r="J435" s="8" t="inlineStr">
        <is>
          <t>2026-05-02 18:19:16</t>
        </is>
      </c>
      <c r="K435" s="8" t="inlineStr">
        <is>
          <t>CUST-61394</t>
        </is>
      </c>
      <c r="L435" s="9" t="inlineStr">
        <is>
          <t>GBP-PKR</t>
        </is>
      </c>
      <c r="M435" s="8" t="inlineStr">
        <is>
          <t>GBP</t>
        </is>
      </c>
      <c r="N435" s="10" t="n">
        <v>309.7086608429024</v>
      </c>
      <c r="O435" s="11" t="n">
        <v>1</v>
      </c>
      <c r="P435" s="10" t="n">
        <v>309.7086608429024</v>
      </c>
      <c r="Q435" s="10" t="n">
        <v>1.5</v>
      </c>
      <c r="R435" s="12" t="n">
        <v>0.021</v>
      </c>
      <c r="S435" s="13" t="inlineStr">
        <is>
          <t>Success</t>
        </is>
      </c>
      <c r="T435" s="10" t="n">
        <v>0.4645629912643536</v>
      </c>
      <c r="U435" s="10" t="n">
        <v>0</v>
      </c>
      <c r="V435" s="10" t="n">
        <v>3.716503930114829</v>
      </c>
    </row>
    <row r="436">
      <c r="I436" s="8" t="inlineStr">
        <is>
          <t>ACE-10430</t>
        </is>
      </c>
      <c r="J436" s="8" t="inlineStr">
        <is>
          <t>2026-05-15 16:47:35</t>
        </is>
      </c>
      <c r="K436" s="8" t="inlineStr">
        <is>
          <t>CUST-66374</t>
        </is>
      </c>
      <c r="L436" s="9" t="inlineStr">
        <is>
          <t>GBP-PKR</t>
        </is>
      </c>
      <c r="M436" s="8" t="inlineStr">
        <is>
          <t>GBP</t>
        </is>
      </c>
      <c r="N436" s="10" t="n">
        <v>233.6713531698234</v>
      </c>
      <c r="O436" s="11" t="n">
        <v>1</v>
      </c>
      <c r="P436" s="10" t="n">
        <v>233.6713531698234</v>
      </c>
      <c r="Q436" s="10" t="n">
        <v>1.5</v>
      </c>
      <c r="R436" s="12" t="n">
        <v>0.021</v>
      </c>
      <c r="S436" s="13" t="inlineStr">
        <is>
          <t>Success</t>
        </is>
      </c>
      <c r="T436" s="10" t="n">
        <v>0.3505070297547351</v>
      </c>
      <c r="U436" s="10" t="n">
        <v>0</v>
      </c>
      <c r="V436" s="10" t="n">
        <v>2.804056238037881</v>
      </c>
    </row>
    <row r="437">
      <c r="I437" s="8" t="inlineStr">
        <is>
          <t>ACE-10431</t>
        </is>
      </c>
      <c r="J437" s="8" t="inlineStr">
        <is>
          <t>2026-05-05 09:00:03</t>
        </is>
      </c>
      <c r="K437" s="8" t="inlineStr">
        <is>
          <t>CUST-64567</t>
        </is>
      </c>
      <c r="L437" s="9" t="inlineStr">
        <is>
          <t>GBP-PKR</t>
        </is>
      </c>
      <c r="M437" s="8" t="inlineStr">
        <is>
          <t>GBP</t>
        </is>
      </c>
      <c r="N437" s="10" t="n">
        <v>247.513159898599</v>
      </c>
      <c r="O437" s="11" t="n">
        <v>1</v>
      </c>
      <c r="P437" s="10" t="n">
        <v>247.513159898599</v>
      </c>
      <c r="Q437" s="10" t="n">
        <v>1.5</v>
      </c>
      <c r="R437" s="12" t="n">
        <v>0.021</v>
      </c>
      <c r="S437" s="13" t="inlineStr">
        <is>
          <t>Success</t>
        </is>
      </c>
      <c r="T437" s="10" t="n">
        <v>0.3712697398478985</v>
      </c>
      <c r="U437" s="10" t="n">
        <v>0.7425394796957969</v>
      </c>
      <c r="V437" s="10" t="n">
        <v>2.970157918783188</v>
      </c>
    </row>
    <row r="438">
      <c r="I438" s="8" t="inlineStr">
        <is>
          <t>ACE-10432</t>
        </is>
      </c>
      <c r="J438" s="8" t="inlineStr">
        <is>
          <t>2026-05-12 18:40:41</t>
        </is>
      </c>
      <c r="K438" s="8" t="inlineStr">
        <is>
          <t>CUST-55507</t>
        </is>
      </c>
      <c r="L438" s="9" t="inlineStr">
        <is>
          <t>GBP-PKR</t>
        </is>
      </c>
      <c r="M438" s="8" t="inlineStr">
        <is>
          <t>GBP</t>
        </is>
      </c>
      <c r="N438" s="10" t="n">
        <v>227.2081108544784</v>
      </c>
      <c r="O438" s="11" t="n">
        <v>1</v>
      </c>
      <c r="P438" s="10" t="n">
        <v>227.2081108544784</v>
      </c>
      <c r="Q438" s="10" t="n">
        <v>1.5</v>
      </c>
      <c r="R438" s="12" t="n">
        <v>0.021</v>
      </c>
      <c r="S438" s="13" t="inlineStr">
        <is>
          <t>Success</t>
        </is>
      </c>
      <c r="T438" s="10" t="n">
        <v>0.3408121662817176</v>
      </c>
      <c r="U438" s="10" t="n">
        <v>0</v>
      </c>
      <c r="V438" s="10" t="n">
        <v>2.726497330253741</v>
      </c>
    </row>
    <row r="439">
      <c r="I439" s="8" t="inlineStr">
        <is>
          <t>ACE-10433</t>
        </is>
      </c>
      <c r="J439" s="8" t="inlineStr">
        <is>
          <t>2026-05-03 08:04:12</t>
        </is>
      </c>
      <c r="K439" s="8" t="inlineStr">
        <is>
          <t>CUST-92335</t>
        </is>
      </c>
      <c r="L439" s="9" t="inlineStr">
        <is>
          <t>USD-PKR</t>
        </is>
      </c>
      <c r="M439" s="8" t="inlineStr">
        <is>
          <t>USD</t>
        </is>
      </c>
      <c r="N439" s="10" t="n">
        <v>213.0840870966557</v>
      </c>
      <c r="O439" s="11" t="n">
        <v>0.8</v>
      </c>
      <c r="P439" s="10" t="n">
        <v>170.4672696773246</v>
      </c>
      <c r="Q439" s="10" t="n">
        <v>1.6</v>
      </c>
      <c r="R439" s="12" t="n">
        <v>0.019</v>
      </c>
      <c r="S439" s="13" t="inlineStr">
        <is>
          <t>Success</t>
        </is>
      </c>
      <c r="T439" s="10" t="n">
        <v>0.2557009045159869</v>
      </c>
      <c r="U439" s="10" t="n">
        <v>0</v>
      </c>
      <c r="V439" s="10" t="n">
        <v>2.045607236127895</v>
      </c>
    </row>
    <row r="440">
      <c r="I440" s="8" t="inlineStr">
        <is>
          <t>ACE-10434</t>
        </is>
      </c>
      <c r="J440" s="8" t="inlineStr">
        <is>
          <t>2026-05-11 09:02:29</t>
        </is>
      </c>
      <c r="K440" s="8" t="inlineStr">
        <is>
          <t>CUST-53318</t>
        </is>
      </c>
      <c r="L440" s="9" t="inlineStr">
        <is>
          <t>GBP-PKR</t>
        </is>
      </c>
      <c r="M440" s="8" t="inlineStr">
        <is>
          <t>GBP</t>
        </is>
      </c>
      <c r="N440" s="10" t="n">
        <v>299.3291573974793</v>
      </c>
      <c r="O440" s="11" t="n">
        <v>1</v>
      </c>
      <c r="P440" s="10" t="n">
        <v>299.3291573974793</v>
      </c>
      <c r="Q440" s="10" t="n">
        <v>1.5</v>
      </c>
      <c r="R440" s="12" t="n">
        <v>0.021</v>
      </c>
      <c r="S440" s="13" t="inlineStr">
        <is>
          <t>Success</t>
        </is>
      </c>
      <c r="T440" s="10" t="n">
        <v>0.4489937360962189</v>
      </c>
      <c r="U440" s="10" t="n">
        <v>0</v>
      </c>
      <c r="V440" s="10" t="n">
        <v>3.591949888769751</v>
      </c>
    </row>
    <row r="441">
      <c r="I441" s="8" t="inlineStr">
        <is>
          <t>ACE-10435</t>
        </is>
      </c>
      <c r="J441" s="8" t="inlineStr">
        <is>
          <t>2026-05-24 14:31:01</t>
        </is>
      </c>
      <c r="K441" s="8" t="inlineStr">
        <is>
          <t>CUST-75082</t>
        </is>
      </c>
      <c r="L441" s="9" t="inlineStr">
        <is>
          <t>USD-PKR</t>
        </is>
      </c>
      <c r="M441" s="8" t="inlineStr">
        <is>
          <t>USD</t>
        </is>
      </c>
      <c r="N441" s="10" t="n">
        <v>254.3886591252113</v>
      </c>
      <c r="O441" s="11" t="n">
        <v>0.8</v>
      </c>
      <c r="P441" s="10" t="n">
        <v>203.5109273001691</v>
      </c>
      <c r="Q441" s="10" t="n">
        <v>1.6</v>
      </c>
      <c r="R441" s="12" t="n">
        <v>0.019</v>
      </c>
      <c r="S441" s="13" t="inlineStr">
        <is>
          <t>Success</t>
        </is>
      </c>
      <c r="T441" s="10" t="n">
        <v>0.3052663909502537</v>
      </c>
      <c r="U441" s="10" t="n">
        <v>0</v>
      </c>
      <c r="V441" s="10" t="n">
        <v>2.442131127602029</v>
      </c>
    </row>
    <row r="442">
      <c r="I442" s="8" t="inlineStr">
        <is>
          <t>ACE-10436</t>
        </is>
      </c>
      <c r="J442" s="8" t="inlineStr">
        <is>
          <t>2026-05-07 10:17:17</t>
        </is>
      </c>
      <c r="K442" s="8" t="inlineStr">
        <is>
          <t>CUST-79229</t>
        </is>
      </c>
      <c r="L442" s="9" t="inlineStr">
        <is>
          <t>GBP-PKR</t>
        </is>
      </c>
      <c r="M442" s="8" t="inlineStr">
        <is>
          <t>GBP</t>
        </is>
      </c>
      <c r="N442" s="10" t="n">
        <v>280.6754672867613</v>
      </c>
      <c r="O442" s="11" t="n">
        <v>1</v>
      </c>
      <c r="P442" s="10" t="n">
        <v>280.6754672867613</v>
      </c>
      <c r="Q442" s="10" t="n">
        <v>1.5</v>
      </c>
      <c r="R442" s="12" t="n">
        <v>0.021</v>
      </c>
      <c r="S442" s="13" t="inlineStr">
        <is>
          <t>Success</t>
        </is>
      </c>
      <c r="T442" s="10" t="n">
        <v>0.4210132009301419</v>
      </c>
      <c r="U442" s="10" t="n">
        <v>0</v>
      </c>
      <c r="V442" s="10" t="n">
        <v>3.368105607441135</v>
      </c>
    </row>
    <row r="443">
      <c r="I443" s="8" t="inlineStr">
        <is>
          <t>ACE-10437</t>
        </is>
      </c>
      <c r="J443" s="8" t="inlineStr">
        <is>
          <t>2026-05-20 17:15:41</t>
        </is>
      </c>
      <c r="K443" s="8" t="inlineStr">
        <is>
          <t>CUST-69340</t>
        </is>
      </c>
      <c r="L443" s="9" t="inlineStr">
        <is>
          <t>GBP-PKR</t>
        </is>
      </c>
      <c r="M443" s="8" t="inlineStr">
        <is>
          <t>GBP</t>
        </is>
      </c>
      <c r="N443" s="10" t="n">
        <v>327.881137726409</v>
      </c>
      <c r="O443" s="11" t="n">
        <v>1</v>
      </c>
      <c r="P443" s="10" t="n">
        <v>327.881137726409</v>
      </c>
      <c r="Q443" s="10" t="n">
        <v>1.5</v>
      </c>
      <c r="R443" s="12" t="n">
        <v>0.021</v>
      </c>
      <c r="S443" s="13" t="inlineStr">
        <is>
          <t>Success</t>
        </is>
      </c>
      <c r="T443" s="10" t="n">
        <v>0.4918217065896135</v>
      </c>
      <c r="U443" s="10" t="n">
        <v>0.9836434131792271</v>
      </c>
      <c r="V443" s="10" t="n">
        <v>3.934573652716908</v>
      </c>
    </row>
    <row r="444">
      <c r="I444" s="8" t="inlineStr">
        <is>
          <t>ACE-10438</t>
        </is>
      </c>
      <c r="J444" s="8" t="inlineStr">
        <is>
          <t>2026-05-16 08:05:17</t>
        </is>
      </c>
      <c r="K444" s="8" t="inlineStr">
        <is>
          <t>CUST-75101</t>
        </is>
      </c>
      <c r="L444" s="9" t="inlineStr">
        <is>
          <t>GBP-PKR</t>
        </is>
      </c>
      <c r="M444" s="8" t="inlineStr">
        <is>
          <t>GBP</t>
        </is>
      </c>
      <c r="N444" s="10" t="n">
        <v>242.6886770022515</v>
      </c>
      <c r="O444" s="11" t="n">
        <v>1</v>
      </c>
      <c r="P444" s="10" t="n">
        <v>242.6886770022515</v>
      </c>
      <c r="Q444" s="10" t="n">
        <v>1.5</v>
      </c>
      <c r="R444" s="12" t="n">
        <v>0.021</v>
      </c>
      <c r="S444" s="13" t="inlineStr">
        <is>
          <t>Success</t>
        </is>
      </c>
      <c r="T444" s="10" t="n">
        <v>0.3640330155033773</v>
      </c>
      <c r="U444" s="10" t="n">
        <v>0</v>
      </c>
      <c r="V444" s="10" t="n">
        <v>2.912264124027018</v>
      </c>
    </row>
    <row r="445">
      <c r="I445" s="8" t="inlineStr">
        <is>
          <t>ACE-10439</t>
        </is>
      </c>
      <c r="J445" s="8" t="inlineStr">
        <is>
          <t>2026-05-17 11:40:51</t>
        </is>
      </c>
      <c r="K445" s="8" t="inlineStr">
        <is>
          <t>CUST-85629</t>
        </is>
      </c>
      <c r="L445" s="9" t="inlineStr">
        <is>
          <t>USD-PKR</t>
        </is>
      </c>
      <c r="M445" s="8" t="inlineStr">
        <is>
          <t>USD</t>
        </is>
      </c>
      <c r="N445" s="10" t="n">
        <v>184.618088058381</v>
      </c>
      <c r="O445" s="11" t="n">
        <v>0.8</v>
      </c>
      <c r="P445" s="10" t="n">
        <v>147.6944704467048</v>
      </c>
      <c r="Q445" s="10" t="n">
        <v>1.6</v>
      </c>
      <c r="R445" s="12" t="n">
        <v>0.019</v>
      </c>
      <c r="S445" s="13" t="inlineStr">
        <is>
          <t>Success</t>
        </is>
      </c>
      <c r="T445" s="10" t="n">
        <v>0.2215417056700572</v>
      </c>
      <c r="U445" s="10" t="n">
        <v>0.4430834113401144</v>
      </c>
      <c r="V445" s="10" t="n">
        <v>1.772333645360458</v>
      </c>
    </row>
    <row r="446">
      <c r="I446" s="8" t="inlineStr">
        <is>
          <t>ACE-10440</t>
        </is>
      </c>
      <c r="J446" s="8" t="inlineStr">
        <is>
          <t>2026-05-23 13:30:34</t>
        </is>
      </c>
      <c r="K446" s="8" t="inlineStr">
        <is>
          <t>CUST-81763</t>
        </is>
      </c>
      <c r="L446" s="9" t="inlineStr">
        <is>
          <t>GBP-PKR</t>
        </is>
      </c>
      <c r="M446" s="8" t="inlineStr">
        <is>
          <t>GBP</t>
        </is>
      </c>
      <c r="N446" s="10" t="n">
        <v>277.0602061465293</v>
      </c>
      <c r="O446" s="11" t="n">
        <v>1</v>
      </c>
      <c r="P446" s="10" t="n">
        <v>277.0602061465293</v>
      </c>
      <c r="Q446" s="10" t="n">
        <v>1.5</v>
      </c>
      <c r="R446" s="12" t="n">
        <v>0.021</v>
      </c>
      <c r="S446" s="13" t="inlineStr">
        <is>
          <t>Success</t>
        </is>
      </c>
      <c r="T446" s="10" t="n">
        <v>0.4155903092197939</v>
      </c>
      <c r="U446" s="10" t="n">
        <v>0</v>
      </c>
      <c r="V446" s="10" t="n">
        <v>3.324722473758351</v>
      </c>
    </row>
    <row r="447">
      <c r="I447" s="8" t="inlineStr">
        <is>
          <t>ACE-10441</t>
        </is>
      </c>
      <c r="J447" s="8" t="inlineStr">
        <is>
          <t>2026-05-11 14:17:11</t>
        </is>
      </c>
      <c r="K447" s="8" t="inlineStr">
        <is>
          <t>CUST-51708</t>
        </is>
      </c>
      <c r="L447" s="9" t="inlineStr">
        <is>
          <t>GBP-PKR</t>
        </is>
      </c>
      <c r="M447" s="8" t="inlineStr">
        <is>
          <t>GBP</t>
        </is>
      </c>
      <c r="N447" s="10" t="n">
        <v>289.5118266205761</v>
      </c>
      <c r="O447" s="11" t="n">
        <v>1</v>
      </c>
      <c r="P447" s="10" t="n">
        <v>289.5118266205761</v>
      </c>
      <c r="Q447" s="10" t="n">
        <v>1.5</v>
      </c>
      <c r="R447" s="12" t="n">
        <v>0.021</v>
      </c>
      <c r="S447" s="13" t="inlineStr">
        <is>
          <t>Success</t>
        </is>
      </c>
      <c r="T447" s="10" t="n">
        <v>0.4342677399308641</v>
      </c>
      <c r="U447" s="10" t="n">
        <v>0</v>
      </c>
      <c r="V447" s="10" t="n">
        <v>3.474141919446913</v>
      </c>
    </row>
    <row r="448">
      <c r="I448" s="8" t="inlineStr">
        <is>
          <t>ACE-10442</t>
        </is>
      </c>
      <c r="J448" s="8" t="inlineStr">
        <is>
          <t>2026-05-09 08:51:30</t>
        </is>
      </c>
      <c r="K448" s="8" t="inlineStr">
        <is>
          <t>CUST-84696</t>
        </is>
      </c>
      <c r="L448" s="9" t="inlineStr">
        <is>
          <t>GBP-PKR</t>
        </is>
      </c>
      <c r="M448" s="8" t="inlineStr">
        <is>
          <t>GBP</t>
        </is>
      </c>
      <c r="N448" s="10" t="n">
        <v>277.6940945076691</v>
      </c>
      <c r="O448" s="11" t="n">
        <v>1</v>
      </c>
      <c r="P448" s="10" t="n">
        <v>277.6940945076691</v>
      </c>
      <c r="Q448" s="10" t="n">
        <v>1.5</v>
      </c>
      <c r="R448" s="12" t="n">
        <v>0.021</v>
      </c>
      <c r="S448" s="13" t="inlineStr">
        <is>
          <t>Success</t>
        </is>
      </c>
      <c r="T448" s="10" t="n">
        <v>0.4165411417615036</v>
      </c>
      <c r="U448" s="10" t="n">
        <v>0</v>
      </c>
      <c r="V448" s="10" t="n">
        <v>3.332329134092029</v>
      </c>
    </row>
    <row r="449">
      <c r="I449" s="8" t="inlineStr">
        <is>
          <t>ACE-10443</t>
        </is>
      </c>
      <c r="J449" s="8" t="inlineStr">
        <is>
          <t>2026-05-08 10:06:15</t>
        </is>
      </c>
      <c r="K449" s="8" t="inlineStr">
        <is>
          <t>CUST-93048</t>
        </is>
      </c>
      <c r="L449" s="9" t="inlineStr">
        <is>
          <t>GBP-PKR</t>
        </is>
      </c>
      <c r="M449" s="8" t="inlineStr">
        <is>
          <t>GBP</t>
        </is>
      </c>
      <c r="N449" s="10" t="n">
        <v>226.5680617508568</v>
      </c>
      <c r="O449" s="11" t="n">
        <v>1</v>
      </c>
      <c r="P449" s="10" t="n">
        <v>226.5680617508568</v>
      </c>
      <c r="Q449" s="10" t="n">
        <v>1.5</v>
      </c>
      <c r="R449" s="12" t="n">
        <v>0.021</v>
      </c>
      <c r="S449" s="13" t="inlineStr">
        <is>
          <t>Success</t>
        </is>
      </c>
      <c r="T449" s="10" t="n">
        <v>0.3398520926262852</v>
      </c>
      <c r="U449" s="10" t="n">
        <v>0</v>
      </c>
      <c r="V449" s="10" t="n">
        <v>2.718816741010282</v>
      </c>
    </row>
    <row r="450">
      <c r="I450" s="8" t="inlineStr">
        <is>
          <t>ACE-10444</t>
        </is>
      </c>
      <c r="J450" s="8" t="inlineStr">
        <is>
          <t>2026-05-24 08:48:14</t>
        </is>
      </c>
      <c r="K450" s="8" t="inlineStr">
        <is>
          <t>CUST-87728</t>
        </is>
      </c>
      <c r="L450" s="9" t="inlineStr">
        <is>
          <t>USD-PKR</t>
        </is>
      </c>
      <c r="M450" s="8" t="inlineStr">
        <is>
          <t>USD</t>
        </is>
      </c>
      <c r="N450" s="10" t="n">
        <v>216.960550569037</v>
      </c>
      <c r="O450" s="11" t="n">
        <v>0.8</v>
      </c>
      <c r="P450" s="10" t="n">
        <v>173.5684404552296</v>
      </c>
      <c r="Q450" s="10" t="n">
        <v>1.6</v>
      </c>
      <c r="R450" s="12" t="n">
        <v>0.019</v>
      </c>
      <c r="S450" s="13" t="inlineStr">
        <is>
          <t>Success</t>
        </is>
      </c>
      <c r="T450" s="10" t="n">
        <v>0.2603526606828445</v>
      </c>
      <c r="U450" s="10" t="n">
        <v>0.5207053213656889</v>
      </c>
      <c r="V450" s="10" t="n">
        <v>2.082821285462756</v>
      </c>
    </row>
    <row r="451">
      <c r="I451" s="8" t="inlineStr">
        <is>
          <t>ACE-10445</t>
        </is>
      </c>
      <c r="J451" s="8" t="inlineStr">
        <is>
          <t>2026-05-12 10:11:15</t>
        </is>
      </c>
      <c r="K451" s="8" t="inlineStr">
        <is>
          <t>CUST-88831</t>
        </is>
      </c>
      <c r="L451" s="9" t="inlineStr">
        <is>
          <t>GBP-PKR</t>
        </is>
      </c>
      <c r="M451" s="8" t="inlineStr">
        <is>
          <t>GBP</t>
        </is>
      </c>
      <c r="N451" s="10" t="n">
        <v>244.5311376403951</v>
      </c>
      <c r="O451" s="11" t="n">
        <v>1</v>
      </c>
      <c r="P451" s="10" t="n">
        <v>244.5311376403951</v>
      </c>
      <c r="Q451" s="10" t="n">
        <v>1.5</v>
      </c>
      <c r="R451" s="12" t="n">
        <v>0.021</v>
      </c>
      <c r="S451" s="13" t="inlineStr">
        <is>
          <t>Success</t>
        </is>
      </c>
      <c r="T451" s="10" t="n">
        <v>0.3667967064605927</v>
      </c>
      <c r="U451" s="10" t="n">
        <v>0.7335934129211854</v>
      </c>
      <c r="V451" s="10" t="n">
        <v>2.934373651684742</v>
      </c>
    </row>
    <row r="452">
      <c r="I452" s="8" t="inlineStr">
        <is>
          <t>ACE-10446</t>
        </is>
      </c>
      <c r="J452" s="8" t="inlineStr">
        <is>
          <t>2026-05-12 17:01:45</t>
        </is>
      </c>
      <c r="K452" s="8" t="inlineStr">
        <is>
          <t>CUST-95911</t>
        </is>
      </c>
      <c r="L452" s="9" t="inlineStr">
        <is>
          <t>GBP-PKR</t>
        </is>
      </c>
      <c r="M452" s="8" t="inlineStr">
        <is>
          <t>GBP</t>
        </is>
      </c>
      <c r="N452" s="10" t="n">
        <v>297.899701603555</v>
      </c>
      <c r="O452" s="11" t="n">
        <v>1</v>
      </c>
      <c r="P452" s="10" t="n">
        <v>297.899701603555</v>
      </c>
      <c r="Q452" s="10" t="n">
        <v>1.5</v>
      </c>
      <c r="R452" s="12" t="n">
        <v>0.021</v>
      </c>
      <c r="S452" s="13" t="inlineStr">
        <is>
          <t>Success</t>
        </is>
      </c>
      <c r="T452" s="10" t="n">
        <v>0.4468495524053325</v>
      </c>
      <c r="U452" s="10" t="n">
        <v>0</v>
      </c>
      <c r="V452" s="10" t="n">
        <v>3.57479641924266</v>
      </c>
    </row>
    <row r="453">
      <c r="I453" s="8" t="inlineStr">
        <is>
          <t>ACE-10447</t>
        </is>
      </c>
      <c r="J453" s="8" t="inlineStr">
        <is>
          <t>2026-05-05 17:12:53</t>
        </is>
      </c>
      <c r="K453" s="8" t="inlineStr">
        <is>
          <t>CUST-82258</t>
        </is>
      </c>
      <c r="L453" s="9" t="inlineStr">
        <is>
          <t>USD-PKR</t>
        </is>
      </c>
      <c r="M453" s="8" t="inlineStr">
        <is>
          <t>USD</t>
        </is>
      </c>
      <c r="N453" s="10" t="n">
        <v>227.0765921586955</v>
      </c>
      <c r="O453" s="11" t="n">
        <v>0.8</v>
      </c>
      <c r="P453" s="10" t="n">
        <v>181.6612737269564</v>
      </c>
      <c r="Q453" s="10" t="n">
        <v>1.6</v>
      </c>
      <c r="R453" s="12" t="n">
        <v>0.019</v>
      </c>
      <c r="S453" s="13" t="inlineStr">
        <is>
          <t>Success</t>
        </is>
      </c>
      <c r="T453" s="10" t="n">
        <v>0.2724919105904346</v>
      </c>
      <c r="U453" s="10" t="n">
        <v>0</v>
      </c>
      <c r="V453" s="10" t="n">
        <v>2.179935284723477</v>
      </c>
    </row>
    <row r="454">
      <c r="I454" s="8" t="inlineStr">
        <is>
          <t>ACE-10448</t>
        </is>
      </c>
      <c r="J454" s="8" t="inlineStr">
        <is>
          <t>2026-05-02 09:03:14</t>
        </is>
      </c>
      <c r="K454" s="8" t="inlineStr">
        <is>
          <t>CUST-89430</t>
        </is>
      </c>
      <c r="L454" s="9" t="inlineStr">
        <is>
          <t>EUR-PKR</t>
        </is>
      </c>
      <c r="M454" s="8" t="inlineStr">
        <is>
          <t>EUR</t>
        </is>
      </c>
      <c r="N454" s="10" t="n">
        <v>172.0931833073997</v>
      </c>
      <c r="O454" s="11" t="n">
        <v>0.85</v>
      </c>
      <c r="P454" s="10" t="n">
        <v>146.2792058112898</v>
      </c>
      <c r="Q454" s="10" t="n">
        <v>1.275</v>
      </c>
      <c r="R454" s="12" t="n">
        <v>0.023</v>
      </c>
      <c r="S454" s="13" t="inlineStr">
        <is>
          <t>Success</t>
        </is>
      </c>
      <c r="T454" s="10" t="n">
        <v>0.2194188087169346</v>
      </c>
      <c r="U454" s="10" t="n">
        <v>0</v>
      </c>
      <c r="V454" s="10" t="n">
        <v>2.194188087169346</v>
      </c>
    </row>
    <row r="455">
      <c r="I455" s="8" t="inlineStr">
        <is>
          <t>ACE-10449</t>
        </is>
      </c>
      <c r="J455" s="8" t="inlineStr">
        <is>
          <t>2026-05-01 13:58:39</t>
        </is>
      </c>
      <c r="K455" s="8" t="inlineStr">
        <is>
          <t>CUST-63203</t>
        </is>
      </c>
      <c r="L455" s="9" t="inlineStr">
        <is>
          <t>GBP-PKR</t>
        </is>
      </c>
      <c r="M455" s="8" t="inlineStr">
        <is>
          <t>GBP</t>
        </is>
      </c>
      <c r="N455" s="10" t="n">
        <v>264.6486008339722</v>
      </c>
      <c r="O455" s="11" t="n">
        <v>1</v>
      </c>
      <c r="P455" s="10" t="n">
        <v>264.6486008339722</v>
      </c>
      <c r="Q455" s="10" t="n">
        <v>1.5</v>
      </c>
      <c r="R455" s="12" t="n">
        <v>0.021</v>
      </c>
      <c r="S455" s="13" t="inlineStr">
        <is>
          <t>Success</t>
        </is>
      </c>
      <c r="T455" s="10" t="n">
        <v>0.3969729012509583</v>
      </c>
      <c r="U455" s="10" t="n">
        <v>0</v>
      </c>
      <c r="V455" s="10" t="n">
        <v>3.175783210007666</v>
      </c>
    </row>
    <row r="456">
      <c r="I456" s="8" t="inlineStr">
        <is>
          <t>ACE-10450</t>
        </is>
      </c>
      <c r="J456" s="8" t="inlineStr">
        <is>
          <t>2026-05-06 20:54:55</t>
        </is>
      </c>
      <c r="K456" s="8" t="inlineStr">
        <is>
          <t>CUST-71206</t>
        </is>
      </c>
      <c r="L456" s="9" t="inlineStr">
        <is>
          <t>GBP-PKR</t>
        </is>
      </c>
      <c r="M456" s="8" t="inlineStr">
        <is>
          <t>GBP</t>
        </is>
      </c>
      <c r="N456" s="10" t="n">
        <v>250.6025582677656</v>
      </c>
      <c r="O456" s="11" t="n">
        <v>1</v>
      </c>
      <c r="P456" s="10" t="n">
        <v>250.6025582677656</v>
      </c>
      <c r="Q456" s="10" t="n">
        <v>1.5</v>
      </c>
      <c r="R456" s="12" t="n">
        <v>0.021</v>
      </c>
      <c r="S456" s="13" t="inlineStr">
        <is>
          <t>Success</t>
        </is>
      </c>
      <c r="T456" s="10" t="n">
        <v>0.3759038374016484</v>
      </c>
      <c r="U456" s="10" t="n">
        <v>0</v>
      </c>
      <c r="V456" s="10" t="n">
        <v>3.007230699213187</v>
      </c>
    </row>
    <row r="457">
      <c r="I457" s="8" t="inlineStr">
        <is>
          <t>ACE-10451</t>
        </is>
      </c>
      <c r="J457" s="8" t="inlineStr">
        <is>
          <t>2026-05-23 10:49:07</t>
        </is>
      </c>
      <c r="K457" s="8" t="inlineStr">
        <is>
          <t>CUST-84491</t>
        </is>
      </c>
      <c r="L457" s="9" t="inlineStr">
        <is>
          <t>GBP-PKR</t>
        </is>
      </c>
      <c r="M457" s="8" t="inlineStr">
        <is>
          <t>GBP</t>
        </is>
      </c>
      <c r="N457" s="10" t="n">
        <v>276.8626939113898</v>
      </c>
      <c r="O457" s="11" t="n">
        <v>1</v>
      </c>
      <c r="P457" s="10" t="n">
        <v>276.8626939113898</v>
      </c>
      <c r="Q457" s="10" t="n">
        <v>1.5</v>
      </c>
      <c r="R457" s="12" t="n">
        <v>0.021</v>
      </c>
      <c r="S457" s="13" t="inlineStr">
        <is>
          <t>Success</t>
        </is>
      </c>
      <c r="T457" s="10" t="n">
        <v>0.4152940408670847</v>
      </c>
      <c r="U457" s="10" t="n">
        <v>0.8305880817341693</v>
      </c>
      <c r="V457" s="10" t="n">
        <v>3.322352326936677</v>
      </c>
    </row>
    <row r="458">
      <c r="I458" s="8" t="inlineStr">
        <is>
          <t>ACE-10452</t>
        </is>
      </c>
      <c r="J458" s="8" t="inlineStr">
        <is>
          <t>2026-05-12 19:42:25</t>
        </is>
      </c>
      <c r="K458" s="8" t="inlineStr">
        <is>
          <t>CUST-88405</t>
        </is>
      </c>
      <c r="L458" s="9" t="inlineStr">
        <is>
          <t>GBP-PKR</t>
        </is>
      </c>
      <c r="M458" s="8" t="inlineStr">
        <is>
          <t>GBP</t>
        </is>
      </c>
      <c r="N458" s="10" t="n">
        <v>306.5263846074874</v>
      </c>
      <c r="O458" s="11" t="n">
        <v>1</v>
      </c>
      <c r="P458" s="10" t="n">
        <v>306.5263846074874</v>
      </c>
      <c r="Q458" s="10" t="n">
        <v>1.5</v>
      </c>
      <c r="R458" s="12" t="n">
        <v>0.021</v>
      </c>
      <c r="S458" s="13" t="inlineStr">
        <is>
          <t>Success</t>
        </is>
      </c>
      <c r="T458" s="10" t="n">
        <v>0.4597895769112312</v>
      </c>
      <c r="U458" s="10" t="n">
        <v>0</v>
      </c>
      <c r="V458" s="10" t="n">
        <v>3.678316615289849</v>
      </c>
    </row>
    <row r="459">
      <c r="I459" s="8" t="inlineStr">
        <is>
          <t>ACE-10453</t>
        </is>
      </c>
      <c r="J459" s="8" t="inlineStr">
        <is>
          <t>2026-05-05 10:46:27</t>
        </is>
      </c>
      <c r="K459" s="8" t="inlineStr">
        <is>
          <t>CUST-91894</t>
        </is>
      </c>
      <c r="L459" s="9" t="inlineStr">
        <is>
          <t>EUR-PKR</t>
        </is>
      </c>
      <c r="M459" s="8" t="inlineStr">
        <is>
          <t>EUR</t>
        </is>
      </c>
      <c r="N459" s="10" t="n">
        <v>171.3060062596174</v>
      </c>
      <c r="O459" s="11" t="n">
        <v>0.85</v>
      </c>
      <c r="P459" s="10" t="n">
        <v>145.6101053206748</v>
      </c>
      <c r="Q459" s="10" t="n">
        <v>1.275</v>
      </c>
      <c r="R459" s="12" t="n">
        <v>0.023</v>
      </c>
      <c r="S459" s="13" t="inlineStr">
        <is>
          <t>Success</t>
        </is>
      </c>
      <c r="T459" s="10" t="n">
        <v>0.2184151579810122</v>
      </c>
      <c r="U459" s="10" t="n">
        <v>0.4368303159620244</v>
      </c>
      <c r="V459" s="10" t="n">
        <v>2.184151579810122</v>
      </c>
    </row>
    <row r="460">
      <c r="I460" s="8" t="inlineStr">
        <is>
          <t>ACE-10454</t>
        </is>
      </c>
      <c r="J460" s="8" t="inlineStr">
        <is>
          <t>2026-05-06 19:35:44</t>
        </is>
      </c>
      <c r="K460" s="8" t="inlineStr">
        <is>
          <t>CUST-90220</t>
        </is>
      </c>
      <c r="L460" s="9" t="inlineStr">
        <is>
          <t>GBP-PKR</t>
        </is>
      </c>
      <c r="M460" s="8" t="inlineStr">
        <is>
          <t>GBP</t>
        </is>
      </c>
      <c r="N460" s="10" t="n">
        <v>293.0063422599032</v>
      </c>
      <c r="O460" s="11" t="n">
        <v>1</v>
      </c>
      <c r="P460" s="10" t="n">
        <v>293.0063422599032</v>
      </c>
      <c r="Q460" s="10" t="n">
        <v>1.5</v>
      </c>
      <c r="R460" s="12" t="n">
        <v>0.021</v>
      </c>
      <c r="S460" s="13" t="inlineStr">
        <is>
          <t>Success</t>
        </is>
      </c>
      <c r="T460" s="10" t="n">
        <v>0.4395095133898549</v>
      </c>
      <c r="U460" s="10" t="n">
        <v>0</v>
      </c>
      <c r="V460" s="10" t="n">
        <v>3.516076107118839</v>
      </c>
    </row>
    <row r="461">
      <c r="I461" s="8" t="inlineStr">
        <is>
          <t>ACE-10455</t>
        </is>
      </c>
      <c r="J461" s="8" t="inlineStr">
        <is>
          <t>2026-05-19 10:24:19</t>
        </is>
      </c>
      <c r="K461" s="8" t="inlineStr">
        <is>
          <t>CUST-98103</t>
        </is>
      </c>
      <c r="L461" s="9" t="inlineStr">
        <is>
          <t>GBP-PKR</t>
        </is>
      </c>
      <c r="M461" s="8" t="inlineStr">
        <is>
          <t>GBP</t>
        </is>
      </c>
      <c r="N461" s="10" t="n">
        <v>264.2151785262001</v>
      </c>
      <c r="O461" s="11" t="n">
        <v>1</v>
      </c>
      <c r="P461" s="10" t="n">
        <v>264.2151785262001</v>
      </c>
      <c r="Q461" s="10" t="n">
        <v>1.5</v>
      </c>
      <c r="R461" s="12" t="n">
        <v>0.021</v>
      </c>
      <c r="S461" s="13" t="inlineStr">
        <is>
          <t>Success</t>
        </is>
      </c>
      <c r="T461" s="10" t="n">
        <v>0.3963227677893001</v>
      </c>
      <c r="U461" s="10" t="n">
        <v>0</v>
      </c>
      <c r="V461" s="10" t="n">
        <v>3.170582142314401</v>
      </c>
    </row>
    <row r="462">
      <c r="I462" s="8" t="inlineStr">
        <is>
          <t>ACE-10456</t>
        </is>
      </c>
      <c r="J462" s="8" t="inlineStr">
        <is>
          <t>2026-05-24 08:44:36</t>
        </is>
      </c>
      <c r="K462" s="8" t="inlineStr">
        <is>
          <t>CUST-75663</t>
        </is>
      </c>
      <c r="L462" s="9" t="inlineStr">
        <is>
          <t>GBP-PKR</t>
        </is>
      </c>
      <c r="M462" s="8" t="inlineStr">
        <is>
          <t>GBP</t>
        </is>
      </c>
      <c r="N462" s="10" t="n">
        <v>257.3668039194084</v>
      </c>
      <c r="O462" s="11" t="n">
        <v>1</v>
      </c>
      <c r="P462" s="10" t="n">
        <v>257.3668039194084</v>
      </c>
      <c r="Q462" s="10" t="n">
        <v>1.5</v>
      </c>
      <c r="R462" s="12" t="n">
        <v>0.021</v>
      </c>
      <c r="S462" s="13" t="inlineStr">
        <is>
          <t>Success</t>
        </is>
      </c>
      <c r="T462" s="10" t="n">
        <v>0.3860502058791127</v>
      </c>
      <c r="U462" s="10" t="n">
        <v>0.7721004117582253</v>
      </c>
      <c r="V462" s="10" t="n">
        <v>3.088401647032901</v>
      </c>
    </row>
    <row r="463">
      <c r="I463" s="8" t="inlineStr">
        <is>
          <t>ACE-10457</t>
        </is>
      </c>
      <c r="J463" s="8" t="inlineStr">
        <is>
          <t>2026-05-19 08:11:38</t>
        </is>
      </c>
      <c r="K463" s="8" t="inlineStr">
        <is>
          <t>CUST-70854</t>
        </is>
      </c>
      <c r="L463" s="9" t="inlineStr">
        <is>
          <t>GBP-PKR</t>
        </is>
      </c>
      <c r="M463" s="8" t="inlineStr">
        <is>
          <t>GBP</t>
        </is>
      </c>
      <c r="N463" s="10" t="n">
        <v>275.6374918761656</v>
      </c>
      <c r="O463" s="11" t="n">
        <v>1</v>
      </c>
      <c r="P463" s="10" t="n">
        <v>275.6374918761656</v>
      </c>
      <c r="Q463" s="10" t="n">
        <v>1.5</v>
      </c>
      <c r="R463" s="12" t="n">
        <v>0.021</v>
      </c>
      <c r="S463" s="13" t="inlineStr">
        <is>
          <t>Success</t>
        </is>
      </c>
      <c r="T463" s="10" t="n">
        <v>0.4134562378142484</v>
      </c>
      <c r="U463" s="10" t="n">
        <v>0.8269124756284968</v>
      </c>
      <c r="V463" s="10" t="n">
        <v>3.307649902513987</v>
      </c>
    </row>
    <row r="464">
      <c r="I464" s="8" t="inlineStr">
        <is>
          <t>ACE-10458</t>
        </is>
      </c>
      <c r="J464" s="8" t="inlineStr">
        <is>
          <t>2026-05-08 18:36:06</t>
        </is>
      </c>
      <c r="K464" s="8" t="inlineStr">
        <is>
          <t>CUST-82517</t>
        </is>
      </c>
      <c r="L464" s="9" t="inlineStr">
        <is>
          <t>GBP-PKR</t>
        </is>
      </c>
      <c r="M464" s="8" t="inlineStr">
        <is>
          <t>GBP</t>
        </is>
      </c>
      <c r="N464" s="10" t="n">
        <v>251.2040032388155</v>
      </c>
      <c r="O464" s="11" t="n">
        <v>1</v>
      </c>
      <c r="P464" s="10" t="n">
        <v>251.2040032388155</v>
      </c>
      <c r="Q464" s="10" t="n">
        <v>1.5</v>
      </c>
      <c r="R464" s="12" t="n">
        <v>0.021</v>
      </c>
      <c r="S464" s="13" t="inlineStr">
        <is>
          <t>Success</t>
        </is>
      </c>
      <c r="T464" s="10" t="n">
        <v>0.3768060048582233</v>
      </c>
      <c r="U464" s="10" t="n">
        <v>0.7536120097164466</v>
      </c>
      <c r="V464" s="10" t="n">
        <v>3.014448038865786</v>
      </c>
    </row>
    <row r="465">
      <c r="I465" s="8" t="inlineStr">
        <is>
          <t>ACE-10459</t>
        </is>
      </c>
      <c r="J465" s="8" t="inlineStr">
        <is>
          <t>2026-05-08 13:20:10</t>
        </is>
      </c>
      <c r="K465" s="8" t="inlineStr">
        <is>
          <t>CUST-91693</t>
        </is>
      </c>
      <c r="L465" s="9" t="inlineStr">
        <is>
          <t>USD-PKR</t>
        </is>
      </c>
      <c r="M465" s="8" t="inlineStr">
        <is>
          <t>USD</t>
        </is>
      </c>
      <c r="N465" s="10" t="n">
        <v>207.1126018832675</v>
      </c>
      <c r="O465" s="11" t="n">
        <v>0.8</v>
      </c>
      <c r="P465" s="10" t="n">
        <v>165.690081506614</v>
      </c>
      <c r="Q465" s="10" t="n">
        <v>1.6</v>
      </c>
      <c r="R465" s="12" t="n">
        <v>0.019</v>
      </c>
      <c r="S465" s="13" t="inlineStr">
        <is>
          <t>Success</t>
        </is>
      </c>
      <c r="T465" s="10" t="n">
        <v>0.248535122259921</v>
      </c>
      <c r="U465" s="10" t="n">
        <v>0</v>
      </c>
      <c r="V465" s="10" t="n">
        <v>1.988280978079368</v>
      </c>
    </row>
    <row r="466">
      <c r="I466" s="8" t="inlineStr">
        <is>
          <t>ACE-10460</t>
        </is>
      </c>
      <c r="J466" s="8" t="inlineStr">
        <is>
          <t>2026-05-23 18:40:46</t>
        </is>
      </c>
      <c r="K466" s="8" t="inlineStr">
        <is>
          <t>CUST-72003</t>
        </is>
      </c>
      <c r="L466" s="9" t="inlineStr">
        <is>
          <t>EUR-PKR</t>
        </is>
      </c>
      <c r="M466" s="8" t="inlineStr">
        <is>
          <t>EUR</t>
        </is>
      </c>
      <c r="N466" s="10" t="n">
        <v>167.7099975779431</v>
      </c>
      <c r="O466" s="11" t="n">
        <v>0.85</v>
      </c>
      <c r="P466" s="10" t="n">
        <v>142.5534979412517</v>
      </c>
      <c r="Q466" s="10" t="n">
        <v>1.275</v>
      </c>
      <c r="R466" s="12" t="n">
        <v>0.023</v>
      </c>
      <c r="S466" s="13" t="inlineStr">
        <is>
          <t>Success</t>
        </is>
      </c>
      <c r="T466" s="10" t="n">
        <v>0.2138302469118775</v>
      </c>
      <c r="U466" s="10" t="n">
        <v>0</v>
      </c>
      <c r="V466" s="10" t="n">
        <v>2.138302469118775</v>
      </c>
    </row>
    <row r="467">
      <c r="I467" s="8" t="inlineStr">
        <is>
          <t>ACE-10461</t>
        </is>
      </c>
      <c r="J467" s="8" t="inlineStr">
        <is>
          <t>2026-05-08 19:04:22</t>
        </is>
      </c>
      <c r="K467" s="8" t="inlineStr">
        <is>
          <t>CUST-66820</t>
        </is>
      </c>
      <c r="L467" s="9" t="inlineStr">
        <is>
          <t>GBP-PKR</t>
        </is>
      </c>
      <c r="M467" s="8" t="inlineStr">
        <is>
          <t>GBP</t>
        </is>
      </c>
      <c r="N467" s="10" t="n">
        <v>339.0888327152495</v>
      </c>
      <c r="O467" s="11" t="n">
        <v>1</v>
      </c>
      <c r="P467" s="10" t="n">
        <v>339.0888327152495</v>
      </c>
      <c r="Q467" s="10" t="n">
        <v>1.5</v>
      </c>
      <c r="R467" s="12" t="n">
        <v>0.021</v>
      </c>
      <c r="S467" s="13" t="inlineStr">
        <is>
          <t>Success</t>
        </is>
      </c>
      <c r="T467" s="10" t="n">
        <v>0.5086332490728743</v>
      </c>
      <c r="U467" s="10" t="n">
        <v>1.017266498145749</v>
      </c>
      <c r="V467" s="10" t="n">
        <v>4.069065992582995</v>
      </c>
    </row>
    <row r="468">
      <c r="I468" s="8" t="inlineStr">
        <is>
          <t>ACE-10462</t>
        </is>
      </c>
      <c r="J468" s="8" t="inlineStr">
        <is>
          <t>2026-05-02 14:28:46</t>
        </is>
      </c>
      <c r="K468" s="8" t="inlineStr">
        <is>
          <t>CUST-77502</t>
        </is>
      </c>
      <c r="L468" s="9" t="inlineStr">
        <is>
          <t>GBP-PKR</t>
        </is>
      </c>
      <c r="M468" s="8" t="inlineStr">
        <is>
          <t>GBP</t>
        </is>
      </c>
      <c r="N468" s="10" t="n">
        <v>279.5876833339809</v>
      </c>
      <c r="O468" s="11" t="n">
        <v>1</v>
      </c>
      <c r="P468" s="10" t="n">
        <v>279.5876833339809</v>
      </c>
      <c r="Q468" s="10" t="n">
        <v>1.5</v>
      </c>
      <c r="R468" s="12" t="n">
        <v>0.021</v>
      </c>
      <c r="S468" s="13" t="inlineStr">
        <is>
          <t>Success</t>
        </is>
      </c>
      <c r="T468" s="10" t="n">
        <v>0.4193815250009714</v>
      </c>
      <c r="U468" s="10" t="n">
        <v>0.8387630500019427</v>
      </c>
      <c r="V468" s="10" t="n">
        <v>3.355052200007771</v>
      </c>
    </row>
    <row r="469">
      <c r="I469" s="8" t="inlineStr">
        <is>
          <t>ACE-10463</t>
        </is>
      </c>
      <c r="J469" s="8" t="inlineStr">
        <is>
          <t>2026-05-16 14:22:34</t>
        </is>
      </c>
      <c r="K469" s="8" t="inlineStr">
        <is>
          <t>CUST-74598</t>
        </is>
      </c>
      <c r="L469" s="9" t="inlineStr">
        <is>
          <t>GBP-PKR</t>
        </is>
      </c>
      <c r="M469" s="8" t="inlineStr">
        <is>
          <t>GBP</t>
        </is>
      </c>
      <c r="N469" s="10" t="n">
        <v>259.7753066986719</v>
      </c>
      <c r="O469" s="11" t="n">
        <v>1</v>
      </c>
      <c r="P469" s="10" t="n">
        <v>259.7753066986719</v>
      </c>
      <c r="Q469" s="10" t="n">
        <v>1.5</v>
      </c>
      <c r="R469" s="12" t="n">
        <v>0.021</v>
      </c>
      <c r="S469" s="13" t="inlineStr">
        <is>
          <t>Success</t>
        </is>
      </c>
      <c r="T469" s="10" t="n">
        <v>0.3896629600480079</v>
      </c>
      <c r="U469" s="10" t="n">
        <v>0</v>
      </c>
      <c r="V469" s="10" t="n">
        <v>3.117303680384063</v>
      </c>
    </row>
    <row r="470">
      <c r="I470" s="8" t="inlineStr">
        <is>
          <t>ACE-10464</t>
        </is>
      </c>
      <c r="J470" s="8" t="inlineStr">
        <is>
          <t>2026-05-19 18:48:43</t>
        </is>
      </c>
      <c r="K470" s="8" t="inlineStr">
        <is>
          <t>CUST-64783</t>
        </is>
      </c>
      <c r="L470" s="9" t="inlineStr">
        <is>
          <t>GBP-PKR</t>
        </is>
      </c>
      <c r="M470" s="8" t="inlineStr">
        <is>
          <t>GBP</t>
        </is>
      </c>
      <c r="N470" s="10" t="n">
        <v>284.6292892908712</v>
      </c>
      <c r="O470" s="11" t="n">
        <v>1</v>
      </c>
      <c r="P470" s="10" t="n">
        <v>284.6292892908712</v>
      </c>
      <c r="Q470" s="10" t="n">
        <v>1.5</v>
      </c>
      <c r="R470" s="12" t="n">
        <v>0.021</v>
      </c>
      <c r="S470" s="13" t="inlineStr">
        <is>
          <t>Success</t>
        </is>
      </c>
      <c r="T470" s="10" t="n">
        <v>0.4269439339363068</v>
      </c>
      <c r="U470" s="10" t="n">
        <v>0</v>
      </c>
      <c r="V470" s="10" t="n">
        <v>3.415551471490454</v>
      </c>
    </row>
    <row r="471">
      <c r="I471" s="8" t="inlineStr">
        <is>
          <t>ACE-10465</t>
        </is>
      </c>
      <c r="J471" s="8" t="inlineStr">
        <is>
          <t>2026-05-02 12:01:20</t>
        </is>
      </c>
      <c r="K471" s="8" t="inlineStr">
        <is>
          <t>CUST-67113</t>
        </is>
      </c>
      <c r="L471" s="9" t="inlineStr">
        <is>
          <t>GBP-PKR</t>
        </is>
      </c>
      <c r="M471" s="8" t="inlineStr">
        <is>
          <t>GBP</t>
        </is>
      </c>
      <c r="N471" s="10" t="n">
        <v>275.4915063577146</v>
      </c>
      <c r="O471" s="11" t="n">
        <v>1</v>
      </c>
      <c r="P471" s="10" t="n">
        <v>275.4915063577146</v>
      </c>
      <c r="Q471" s="10" t="n">
        <v>1.5</v>
      </c>
      <c r="R471" s="12" t="n">
        <v>0.021</v>
      </c>
      <c r="S471" s="13" t="inlineStr">
        <is>
          <t>Success</t>
        </is>
      </c>
      <c r="T471" s="10" t="n">
        <v>0.4132372595365719</v>
      </c>
      <c r="U471" s="10" t="n">
        <v>0</v>
      </c>
      <c r="V471" s="10" t="n">
        <v>3.305898076292575</v>
      </c>
    </row>
    <row r="472">
      <c r="I472" s="8" t="inlineStr">
        <is>
          <t>ACE-10466</t>
        </is>
      </c>
      <c r="J472" s="8" t="inlineStr">
        <is>
          <t>2026-05-06 14:10:46</t>
        </is>
      </c>
      <c r="K472" s="8" t="inlineStr">
        <is>
          <t>CUST-54915</t>
        </is>
      </c>
      <c r="L472" s="9" t="inlineStr">
        <is>
          <t>GBP-PKR</t>
        </is>
      </c>
      <c r="M472" s="8" t="inlineStr">
        <is>
          <t>GBP</t>
        </is>
      </c>
      <c r="N472" s="10" t="n">
        <v>272.5147233309318</v>
      </c>
      <c r="O472" s="11" t="n">
        <v>1</v>
      </c>
      <c r="P472" s="10" t="n">
        <v>272.5147233309318</v>
      </c>
      <c r="Q472" s="10" t="n">
        <v>1.5</v>
      </c>
      <c r="R472" s="12" t="n">
        <v>0.021</v>
      </c>
      <c r="S472" s="13" t="inlineStr">
        <is>
          <t>Success</t>
        </is>
      </c>
      <c r="T472" s="10" t="n">
        <v>0.4087720849963977</v>
      </c>
      <c r="U472" s="10" t="n">
        <v>0.8175441699927954</v>
      </c>
      <c r="V472" s="10" t="n">
        <v>3.270176679971182</v>
      </c>
    </row>
    <row r="473">
      <c r="I473" s="8" t="inlineStr">
        <is>
          <t>ACE-10467</t>
        </is>
      </c>
      <c r="J473" s="8" t="inlineStr">
        <is>
          <t>2026-05-03 13:38:39</t>
        </is>
      </c>
      <c r="K473" s="8" t="inlineStr">
        <is>
          <t>CUST-81636</t>
        </is>
      </c>
      <c r="L473" s="9" t="inlineStr">
        <is>
          <t>GBP-PKR</t>
        </is>
      </c>
      <c r="M473" s="8" t="inlineStr">
        <is>
          <t>GBP</t>
        </is>
      </c>
      <c r="N473" s="10" t="n">
        <v>296.2507645405458</v>
      </c>
      <c r="O473" s="11" t="n">
        <v>1</v>
      </c>
      <c r="P473" s="10" t="n">
        <v>296.2507645405458</v>
      </c>
      <c r="Q473" s="10" t="n">
        <v>1.5</v>
      </c>
      <c r="R473" s="12" t="n">
        <v>0.021</v>
      </c>
      <c r="S473" s="13" t="inlineStr">
        <is>
          <t>Success</t>
        </is>
      </c>
      <c r="T473" s="10" t="n">
        <v>0.4443761468108187</v>
      </c>
      <c r="U473" s="10" t="n">
        <v>0</v>
      </c>
      <c r="V473" s="10" t="n">
        <v>3.55500917448655</v>
      </c>
    </row>
    <row r="474">
      <c r="I474" s="8" t="inlineStr">
        <is>
          <t>ACE-10468</t>
        </is>
      </c>
      <c r="J474" s="8" t="inlineStr">
        <is>
          <t>2026-05-21 10:38:56</t>
        </is>
      </c>
      <c r="K474" s="8" t="inlineStr">
        <is>
          <t>CUST-78455</t>
        </is>
      </c>
      <c r="L474" s="9" t="inlineStr">
        <is>
          <t>USD-PKR</t>
        </is>
      </c>
      <c r="M474" s="8" t="inlineStr">
        <is>
          <t>USD</t>
        </is>
      </c>
      <c r="N474" s="10" t="n">
        <v>236.1290121603871</v>
      </c>
      <c r="O474" s="11" t="n">
        <v>0.8</v>
      </c>
      <c r="P474" s="10" t="n">
        <v>188.9032097283097</v>
      </c>
      <c r="Q474" s="10" t="n">
        <v>1.6</v>
      </c>
      <c r="R474" s="12" t="n">
        <v>0.019</v>
      </c>
      <c r="S474" s="13" t="inlineStr">
        <is>
          <t>Success</t>
        </is>
      </c>
      <c r="T474" s="10" t="n">
        <v>0.2833548145924645</v>
      </c>
      <c r="U474" s="10" t="n">
        <v>0</v>
      </c>
      <c r="V474" s="10" t="n">
        <v>2.266838516739716</v>
      </c>
    </row>
    <row r="475">
      <c r="I475" s="8" t="inlineStr">
        <is>
          <t>ACE-10469</t>
        </is>
      </c>
      <c r="J475" s="8" t="inlineStr">
        <is>
          <t>2026-05-07 11:26:44</t>
        </is>
      </c>
      <c r="K475" s="8" t="inlineStr">
        <is>
          <t>CUST-86314</t>
        </is>
      </c>
      <c r="L475" s="9" t="inlineStr">
        <is>
          <t>GBP-PKR</t>
        </is>
      </c>
      <c r="M475" s="8" t="inlineStr">
        <is>
          <t>GBP</t>
        </is>
      </c>
      <c r="N475" s="10" t="n">
        <v>264.208744192436</v>
      </c>
      <c r="O475" s="11" t="n">
        <v>1</v>
      </c>
      <c r="P475" s="10" t="n">
        <v>264.208744192436</v>
      </c>
      <c r="Q475" s="10" t="n">
        <v>1.5</v>
      </c>
      <c r="R475" s="12" t="n">
        <v>0.021</v>
      </c>
      <c r="S475" s="13" t="inlineStr">
        <is>
          <t>Success</t>
        </is>
      </c>
      <c r="T475" s="10" t="n">
        <v>0.396313116288654</v>
      </c>
      <c r="U475" s="10" t="n">
        <v>0.7926262325773079</v>
      </c>
      <c r="V475" s="10" t="n">
        <v>3.170504930309232</v>
      </c>
    </row>
    <row r="476">
      <c r="I476" s="8" t="inlineStr">
        <is>
          <t>ACE-10470</t>
        </is>
      </c>
      <c r="J476" s="8" t="inlineStr">
        <is>
          <t>2026-05-09 18:18:19</t>
        </is>
      </c>
      <c r="K476" s="8" t="inlineStr">
        <is>
          <t>CUST-65567</t>
        </is>
      </c>
      <c r="L476" s="9" t="inlineStr">
        <is>
          <t>GBP-PKR</t>
        </is>
      </c>
      <c r="M476" s="8" t="inlineStr">
        <is>
          <t>GBP</t>
        </is>
      </c>
      <c r="N476" s="10" t="n">
        <v>263.0141358216805</v>
      </c>
      <c r="O476" s="11" t="n">
        <v>1</v>
      </c>
      <c r="P476" s="10" t="n">
        <v>263.0141358216805</v>
      </c>
      <c r="Q476" s="10" t="n">
        <v>1.5</v>
      </c>
      <c r="R476" s="12" t="n">
        <v>0.021</v>
      </c>
      <c r="S476" s="13" t="inlineStr">
        <is>
          <t>Success</t>
        </is>
      </c>
      <c r="T476" s="10" t="n">
        <v>0.3945212037325208</v>
      </c>
      <c r="U476" s="10" t="n">
        <v>0</v>
      </c>
      <c r="V476" s="10" t="n">
        <v>3.156169629860166</v>
      </c>
    </row>
    <row r="477">
      <c r="I477" s="8" t="inlineStr">
        <is>
          <t>ACE-10471</t>
        </is>
      </c>
      <c r="J477" s="8" t="inlineStr">
        <is>
          <t>2026-05-18 15:09:03</t>
        </is>
      </c>
      <c r="K477" s="8" t="inlineStr">
        <is>
          <t>CUST-73647</t>
        </is>
      </c>
      <c r="L477" s="9" t="inlineStr">
        <is>
          <t>EUR-PKR</t>
        </is>
      </c>
      <c r="M477" s="8" t="inlineStr">
        <is>
          <t>EUR</t>
        </is>
      </c>
      <c r="N477" s="10" t="n">
        <v>183.9233146343417</v>
      </c>
      <c r="O477" s="11" t="n">
        <v>0.85</v>
      </c>
      <c r="P477" s="10" t="n">
        <v>156.3348174391904</v>
      </c>
      <c r="Q477" s="10" t="n">
        <v>1.275</v>
      </c>
      <c r="R477" s="12" t="n">
        <v>0.023</v>
      </c>
      <c r="S477" s="13" t="inlineStr">
        <is>
          <t>Failed</t>
        </is>
      </c>
      <c r="T477" s="10" t="n">
        <v>0</v>
      </c>
      <c r="U477" s="10" t="n">
        <v>0</v>
      </c>
      <c r="V477" s="10" t="n">
        <v>0.5</v>
      </c>
    </row>
    <row r="478">
      <c r="I478" s="8" t="inlineStr">
        <is>
          <t>ACE-10472</t>
        </is>
      </c>
      <c r="J478" s="8" t="inlineStr">
        <is>
          <t>2026-05-03 12:52:42</t>
        </is>
      </c>
      <c r="K478" s="8" t="inlineStr">
        <is>
          <t>CUST-90965</t>
        </is>
      </c>
      <c r="L478" s="9" t="inlineStr">
        <is>
          <t>GBP-PKR</t>
        </is>
      </c>
      <c r="M478" s="8" t="inlineStr">
        <is>
          <t>GBP</t>
        </is>
      </c>
      <c r="N478" s="10" t="n">
        <v>221.3173151093965</v>
      </c>
      <c r="O478" s="11" t="n">
        <v>1</v>
      </c>
      <c r="P478" s="10" t="n">
        <v>221.3173151093965</v>
      </c>
      <c r="Q478" s="10" t="n">
        <v>1.5</v>
      </c>
      <c r="R478" s="12" t="n">
        <v>0.021</v>
      </c>
      <c r="S478" s="13" t="inlineStr">
        <is>
          <t>Success</t>
        </is>
      </c>
      <c r="T478" s="10" t="n">
        <v>0.3319759726640948</v>
      </c>
      <c r="U478" s="10" t="n">
        <v>0</v>
      </c>
      <c r="V478" s="10" t="n">
        <v>2.655807781312758</v>
      </c>
    </row>
    <row r="479">
      <c r="I479" s="8" t="inlineStr">
        <is>
          <t>ACE-10473</t>
        </is>
      </c>
      <c r="J479" s="8" t="inlineStr">
        <is>
          <t>2026-05-01 11:10:40</t>
        </is>
      </c>
      <c r="K479" s="8" t="inlineStr">
        <is>
          <t>CUST-69124</t>
        </is>
      </c>
      <c r="L479" s="9" t="inlineStr">
        <is>
          <t>GBP-PKR</t>
        </is>
      </c>
      <c r="M479" s="8" t="inlineStr">
        <is>
          <t>GBP</t>
        </is>
      </c>
      <c r="N479" s="10" t="n">
        <v>239.4322502678982</v>
      </c>
      <c r="O479" s="11" t="n">
        <v>1</v>
      </c>
      <c r="P479" s="10" t="n">
        <v>239.4322502678982</v>
      </c>
      <c r="Q479" s="10" t="n">
        <v>1.5</v>
      </c>
      <c r="R479" s="12" t="n">
        <v>0.021</v>
      </c>
      <c r="S479" s="13" t="inlineStr">
        <is>
          <t>Success</t>
        </is>
      </c>
      <c r="T479" s="10" t="n">
        <v>0.3591483754018474</v>
      </c>
      <c r="U479" s="10" t="n">
        <v>0</v>
      </c>
      <c r="V479" s="10" t="n">
        <v>2.873187003214779</v>
      </c>
    </row>
    <row r="480">
      <c r="I480" s="8" t="inlineStr">
        <is>
          <t>ACE-10474</t>
        </is>
      </c>
      <c r="J480" s="8" t="inlineStr">
        <is>
          <t>2026-05-04 12:50:25</t>
        </is>
      </c>
      <c r="K480" s="8" t="inlineStr">
        <is>
          <t>CUST-80863</t>
        </is>
      </c>
      <c r="L480" s="9" t="inlineStr">
        <is>
          <t>GBP-PKR</t>
        </is>
      </c>
      <c r="M480" s="8" t="inlineStr">
        <is>
          <t>GBP</t>
        </is>
      </c>
      <c r="N480" s="10" t="n">
        <v>319.4104746177651</v>
      </c>
      <c r="O480" s="11" t="n">
        <v>1</v>
      </c>
      <c r="P480" s="10" t="n">
        <v>319.4104746177651</v>
      </c>
      <c r="Q480" s="10" t="n">
        <v>1.5</v>
      </c>
      <c r="R480" s="12" t="n">
        <v>0.021</v>
      </c>
      <c r="S480" s="13" t="inlineStr">
        <is>
          <t>Success</t>
        </is>
      </c>
      <c r="T480" s="10" t="n">
        <v>0.4791157119266476</v>
      </c>
      <c r="U480" s="10" t="n">
        <v>0.9582314238532953</v>
      </c>
      <c r="V480" s="10" t="n">
        <v>3.832925695413181</v>
      </c>
    </row>
    <row r="481">
      <c r="I481" s="8" t="inlineStr">
        <is>
          <t>ACE-10475</t>
        </is>
      </c>
      <c r="J481" s="8" t="inlineStr">
        <is>
          <t>2026-05-03 18:34:24</t>
        </is>
      </c>
      <c r="K481" s="8" t="inlineStr">
        <is>
          <t>CUST-62116</t>
        </is>
      </c>
      <c r="L481" s="9" t="inlineStr">
        <is>
          <t>GBP-PKR</t>
        </is>
      </c>
      <c r="M481" s="8" t="inlineStr">
        <is>
          <t>GBP</t>
        </is>
      </c>
      <c r="N481" s="10" t="n">
        <v>328.4177330742203</v>
      </c>
      <c r="O481" s="11" t="n">
        <v>1</v>
      </c>
      <c r="P481" s="10" t="n">
        <v>328.4177330742203</v>
      </c>
      <c r="Q481" s="10" t="n">
        <v>1.5</v>
      </c>
      <c r="R481" s="12" t="n">
        <v>0.021</v>
      </c>
      <c r="S481" s="13" t="inlineStr">
        <is>
          <t>Success</t>
        </is>
      </c>
      <c r="T481" s="10" t="n">
        <v>0.4926265996113305</v>
      </c>
      <c r="U481" s="10" t="n">
        <v>0</v>
      </c>
      <c r="V481" s="10" t="n">
        <v>3.941012796890644</v>
      </c>
    </row>
    <row r="482">
      <c r="I482" s="8" t="inlineStr">
        <is>
          <t>ACE-10476</t>
        </is>
      </c>
      <c r="J482" s="8" t="inlineStr">
        <is>
          <t>2026-05-06 15:02:16</t>
        </is>
      </c>
      <c r="K482" s="8" t="inlineStr">
        <is>
          <t>CUST-78818</t>
        </is>
      </c>
      <c r="L482" s="9" t="inlineStr">
        <is>
          <t>USD-PKR</t>
        </is>
      </c>
      <c r="M482" s="8" t="inlineStr">
        <is>
          <t>USD</t>
        </is>
      </c>
      <c r="N482" s="10" t="n">
        <v>213.5185987369914</v>
      </c>
      <c r="O482" s="11" t="n">
        <v>0.8</v>
      </c>
      <c r="P482" s="10" t="n">
        <v>170.8148789895931</v>
      </c>
      <c r="Q482" s="10" t="n">
        <v>1.6</v>
      </c>
      <c r="R482" s="12" t="n">
        <v>0.019</v>
      </c>
      <c r="S482" s="13" t="inlineStr">
        <is>
          <t>Success</t>
        </is>
      </c>
      <c r="T482" s="10" t="n">
        <v>0.2562223184843896</v>
      </c>
      <c r="U482" s="10" t="n">
        <v>0</v>
      </c>
      <c r="V482" s="10" t="n">
        <v>2.049778547875117</v>
      </c>
    </row>
    <row r="483">
      <c r="I483" s="8" t="inlineStr">
        <is>
          <t>ACE-10477</t>
        </is>
      </c>
      <c r="J483" s="8" t="inlineStr">
        <is>
          <t>2026-05-09 17:03:09</t>
        </is>
      </c>
      <c r="K483" s="8" t="inlineStr">
        <is>
          <t>CUST-99298</t>
        </is>
      </c>
      <c r="L483" s="9" t="inlineStr">
        <is>
          <t>USD-PKR</t>
        </is>
      </c>
      <c r="M483" s="8" t="inlineStr">
        <is>
          <t>USD</t>
        </is>
      </c>
      <c r="N483" s="10" t="n">
        <v>231.8946659894829</v>
      </c>
      <c r="O483" s="11" t="n">
        <v>0.8</v>
      </c>
      <c r="P483" s="10" t="n">
        <v>185.5157327915864</v>
      </c>
      <c r="Q483" s="10" t="n">
        <v>1.6</v>
      </c>
      <c r="R483" s="12" t="n">
        <v>0.019</v>
      </c>
      <c r="S483" s="13" t="inlineStr">
        <is>
          <t>Success</t>
        </is>
      </c>
      <c r="T483" s="10" t="n">
        <v>0.2782735991873795</v>
      </c>
      <c r="U483" s="10" t="n">
        <v>0</v>
      </c>
      <c r="V483" s="10" t="n">
        <v>2.226188793499036</v>
      </c>
    </row>
    <row r="484">
      <c r="I484" s="8" t="inlineStr">
        <is>
          <t>ACE-10478</t>
        </is>
      </c>
      <c r="J484" s="8" t="inlineStr">
        <is>
          <t>2026-05-22 13:51:34</t>
        </is>
      </c>
      <c r="K484" s="8" t="inlineStr">
        <is>
          <t>CUST-77131</t>
        </is>
      </c>
      <c r="L484" s="9" t="inlineStr">
        <is>
          <t>USD-PKR</t>
        </is>
      </c>
      <c r="M484" s="8" t="inlineStr">
        <is>
          <t>USD</t>
        </is>
      </c>
      <c r="N484" s="10" t="n">
        <v>225.8232382942896</v>
      </c>
      <c r="O484" s="11" t="n">
        <v>0.8</v>
      </c>
      <c r="P484" s="10" t="n">
        <v>180.6585906354317</v>
      </c>
      <c r="Q484" s="10" t="n">
        <v>1.6</v>
      </c>
      <c r="R484" s="12" t="n">
        <v>0.019</v>
      </c>
      <c r="S484" s="13" t="inlineStr">
        <is>
          <t>Success</t>
        </is>
      </c>
      <c r="T484" s="10" t="n">
        <v>0.2709878859531475</v>
      </c>
      <c r="U484" s="10" t="n">
        <v>0</v>
      </c>
      <c r="V484" s="10" t="n">
        <v>2.16790308762518</v>
      </c>
    </row>
    <row r="485">
      <c r="I485" s="8" t="inlineStr">
        <is>
          <t>ACE-10479</t>
        </is>
      </c>
      <c r="J485" s="8" t="inlineStr">
        <is>
          <t>2026-05-18 08:53:24</t>
        </is>
      </c>
      <c r="K485" s="8" t="inlineStr">
        <is>
          <t>CUST-84247</t>
        </is>
      </c>
      <c r="L485" s="9" t="inlineStr">
        <is>
          <t>USD-PKR</t>
        </is>
      </c>
      <c r="M485" s="8" t="inlineStr">
        <is>
          <t>USD</t>
        </is>
      </c>
      <c r="N485" s="10" t="n">
        <v>297.8278476710628</v>
      </c>
      <c r="O485" s="11" t="n">
        <v>0.8</v>
      </c>
      <c r="P485" s="10" t="n">
        <v>238.2622781368503</v>
      </c>
      <c r="Q485" s="10" t="n">
        <v>1.6</v>
      </c>
      <c r="R485" s="12" t="n">
        <v>0.019</v>
      </c>
      <c r="S485" s="13" t="inlineStr">
        <is>
          <t>Success</t>
        </is>
      </c>
      <c r="T485" s="10" t="n">
        <v>0.3573934172052755</v>
      </c>
      <c r="U485" s="10" t="n">
        <v>0</v>
      </c>
      <c r="V485" s="10" t="n">
        <v>2.859147337642204</v>
      </c>
    </row>
    <row r="486">
      <c r="I486" s="8" t="inlineStr">
        <is>
          <t>ACE-10480</t>
        </is>
      </c>
      <c r="J486" s="8" t="inlineStr">
        <is>
          <t>2026-05-16 17:56:15</t>
        </is>
      </c>
      <c r="K486" s="8" t="inlineStr">
        <is>
          <t>CUST-81212</t>
        </is>
      </c>
      <c r="L486" s="9" t="inlineStr">
        <is>
          <t>USD-PKR</t>
        </is>
      </c>
      <c r="M486" s="8" t="inlineStr">
        <is>
          <t>USD</t>
        </is>
      </c>
      <c r="N486" s="10" t="n">
        <v>244.8351281029027</v>
      </c>
      <c r="O486" s="11" t="n">
        <v>0.8</v>
      </c>
      <c r="P486" s="10" t="n">
        <v>195.8681024823222</v>
      </c>
      <c r="Q486" s="10" t="n">
        <v>1.6</v>
      </c>
      <c r="R486" s="12" t="n">
        <v>0.019</v>
      </c>
      <c r="S486" s="13" t="inlineStr">
        <is>
          <t>Success</t>
        </is>
      </c>
      <c r="T486" s="10" t="n">
        <v>0.2938021537234833</v>
      </c>
      <c r="U486" s="10" t="n">
        <v>0</v>
      </c>
      <c r="V486" s="10" t="n">
        <v>2.350417229787866</v>
      </c>
    </row>
    <row r="487">
      <c r="I487" s="8" t="inlineStr">
        <is>
          <t>ACE-10481</t>
        </is>
      </c>
      <c r="J487" s="8" t="inlineStr">
        <is>
          <t>2026-05-23 08:32:36</t>
        </is>
      </c>
      <c r="K487" s="8" t="inlineStr">
        <is>
          <t>CUST-83870</t>
        </is>
      </c>
      <c r="L487" s="9" t="inlineStr">
        <is>
          <t>GBP-PKR</t>
        </is>
      </c>
      <c r="M487" s="8" t="inlineStr">
        <is>
          <t>GBP</t>
        </is>
      </c>
      <c r="N487" s="10" t="n">
        <v>275.0623623174622</v>
      </c>
      <c r="O487" s="11" t="n">
        <v>1</v>
      </c>
      <c r="P487" s="10" t="n">
        <v>275.0623623174622</v>
      </c>
      <c r="Q487" s="10" t="n">
        <v>1.5</v>
      </c>
      <c r="R487" s="12" t="n">
        <v>0.021</v>
      </c>
      <c r="S487" s="13" t="inlineStr">
        <is>
          <t>Success</t>
        </is>
      </c>
      <c r="T487" s="10" t="n">
        <v>0.4125935434761933</v>
      </c>
      <c r="U487" s="10" t="n">
        <v>0.8251870869523866</v>
      </c>
      <c r="V487" s="10" t="n">
        <v>3.300748347809547</v>
      </c>
    </row>
    <row r="488">
      <c r="I488" s="8" t="inlineStr">
        <is>
          <t>ACE-10482</t>
        </is>
      </c>
      <c r="J488" s="8" t="inlineStr">
        <is>
          <t>2026-05-20 10:07:48</t>
        </is>
      </c>
      <c r="K488" s="8" t="inlineStr">
        <is>
          <t>CUST-79428</t>
        </is>
      </c>
      <c r="L488" s="9" t="inlineStr">
        <is>
          <t>GBP-PKR</t>
        </is>
      </c>
      <c r="M488" s="8" t="inlineStr">
        <is>
          <t>GBP</t>
        </is>
      </c>
      <c r="N488" s="10" t="n">
        <v>253.2141463852492</v>
      </c>
      <c r="O488" s="11" t="n">
        <v>1</v>
      </c>
      <c r="P488" s="10" t="n">
        <v>253.2141463852492</v>
      </c>
      <c r="Q488" s="10" t="n">
        <v>1.5</v>
      </c>
      <c r="R488" s="12" t="n">
        <v>0.021</v>
      </c>
      <c r="S488" s="13" t="inlineStr">
        <is>
          <t>Success</t>
        </is>
      </c>
      <c r="T488" s="10" t="n">
        <v>0.3798212195778737</v>
      </c>
      <c r="U488" s="10" t="n">
        <v>0.7596424391557475</v>
      </c>
      <c r="V488" s="10" t="n">
        <v>3.03856975662299</v>
      </c>
    </row>
    <row r="489">
      <c r="I489" s="8" t="inlineStr">
        <is>
          <t>ACE-10483</t>
        </is>
      </c>
      <c r="J489" s="8" t="inlineStr">
        <is>
          <t>2026-05-07 20:12:08</t>
        </is>
      </c>
      <c r="K489" s="8" t="inlineStr">
        <is>
          <t>CUST-52796</t>
        </is>
      </c>
      <c r="L489" s="9" t="inlineStr">
        <is>
          <t>EUR-PKR</t>
        </is>
      </c>
      <c r="M489" s="8" t="inlineStr">
        <is>
          <t>EUR</t>
        </is>
      </c>
      <c r="N489" s="10" t="n">
        <v>160.9959871492028</v>
      </c>
      <c r="O489" s="11" t="n">
        <v>0.85</v>
      </c>
      <c r="P489" s="10" t="n">
        <v>136.8465890768224</v>
      </c>
      <c r="Q489" s="10" t="n">
        <v>1.275</v>
      </c>
      <c r="R489" s="12" t="n">
        <v>0.023</v>
      </c>
      <c r="S489" s="13" t="inlineStr">
        <is>
          <t>Success</t>
        </is>
      </c>
      <c r="T489" s="10" t="n">
        <v>0.2052698836152337</v>
      </c>
      <c r="U489" s="10" t="n">
        <v>0.4105397672304673</v>
      </c>
      <c r="V489" s="10" t="n">
        <v>2.052698836152336</v>
      </c>
    </row>
    <row r="490">
      <c r="I490" s="8" t="inlineStr">
        <is>
          <t>ACE-10484</t>
        </is>
      </c>
      <c r="J490" s="8" t="inlineStr">
        <is>
          <t>2026-05-14 11:52:40</t>
        </is>
      </c>
      <c r="K490" s="8" t="inlineStr">
        <is>
          <t>CUST-59691</t>
        </is>
      </c>
      <c r="L490" s="9" t="inlineStr">
        <is>
          <t>GBP-PKR</t>
        </is>
      </c>
      <c r="M490" s="8" t="inlineStr">
        <is>
          <t>GBP</t>
        </is>
      </c>
      <c r="N490" s="10" t="n">
        <v>284.3301226402408</v>
      </c>
      <c r="O490" s="11" t="n">
        <v>1</v>
      </c>
      <c r="P490" s="10" t="n">
        <v>284.3301226402408</v>
      </c>
      <c r="Q490" s="10" t="n">
        <v>1.5</v>
      </c>
      <c r="R490" s="12" t="n">
        <v>0.021</v>
      </c>
      <c r="S490" s="13" t="inlineStr">
        <is>
          <t>Success</t>
        </is>
      </c>
      <c r="T490" s="10" t="n">
        <v>0.4264951839603612</v>
      </c>
      <c r="U490" s="10" t="n">
        <v>0</v>
      </c>
      <c r="V490" s="10" t="n">
        <v>3.41196147168289</v>
      </c>
    </row>
    <row r="491">
      <c r="I491" s="8" t="inlineStr">
        <is>
          <t>ACE-10485</t>
        </is>
      </c>
      <c r="J491" s="8" t="inlineStr">
        <is>
          <t>2026-05-24 20:04:05</t>
        </is>
      </c>
      <c r="K491" s="8" t="inlineStr">
        <is>
          <t>CUST-75434</t>
        </is>
      </c>
      <c r="L491" s="9" t="inlineStr">
        <is>
          <t>GBP-PKR</t>
        </is>
      </c>
      <c r="M491" s="8" t="inlineStr">
        <is>
          <t>GBP</t>
        </is>
      </c>
      <c r="N491" s="10" t="n">
        <v>258.308479750818</v>
      </c>
      <c r="O491" s="11" t="n">
        <v>1</v>
      </c>
      <c r="P491" s="10" t="n">
        <v>258.308479750818</v>
      </c>
      <c r="Q491" s="10" t="n">
        <v>1.5</v>
      </c>
      <c r="R491" s="12" t="n">
        <v>0.021</v>
      </c>
      <c r="S491" s="13" t="inlineStr">
        <is>
          <t>Success</t>
        </is>
      </c>
      <c r="T491" s="10" t="n">
        <v>0.3874627196262271</v>
      </c>
      <c r="U491" s="10" t="n">
        <v>0</v>
      </c>
      <c r="V491" s="10" t="n">
        <v>3.099701757009817</v>
      </c>
    </row>
    <row r="492">
      <c r="I492" s="8" t="inlineStr">
        <is>
          <t>ACE-10486</t>
        </is>
      </c>
      <c r="J492" s="8" t="inlineStr">
        <is>
          <t>2026-05-09 16:29:58</t>
        </is>
      </c>
      <c r="K492" s="8" t="inlineStr">
        <is>
          <t>CUST-50810</t>
        </is>
      </c>
      <c r="L492" s="9" t="inlineStr">
        <is>
          <t>GBP-PKR</t>
        </is>
      </c>
      <c r="M492" s="8" t="inlineStr">
        <is>
          <t>GBP</t>
        </is>
      </c>
      <c r="N492" s="10" t="n">
        <v>241.667842625066</v>
      </c>
      <c r="O492" s="11" t="n">
        <v>1</v>
      </c>
      <c r="P492" s="10" t="n">
        <v>241.667842625066</v>
      </c>
      <c r="Q492" s="10" t="n">
        <v>1.5</v>
      </c>
      <c r="R492" s="12" t="n">
        <v>0.021</v>
      </c>
      <c r="S492" s="13" t="inlineStr">
        <is>
          <t>Success</t>
        </is>
      </c>
      <c r="T492" s="10" t="n">
        <v>0.362501763937599</v>
      </c>
      <c r="U492" s="10" t="n">
        <v>0.725003527875198</v>
      </c>
      <c r="V492" s="10" t="n">
        <v>2.900014111500792</v>
      </c>
    </row>
    <row r="493">
      <c r="I493" s="8" t="inlineStr">
        <is>
          <t>ACE-10487</t>
        </is>
      </c>
      <c r="J493" s="8" t="inlineStr">
        <is>
          <t>2026-05-17 20:26:07</t>
        </is>
      </c>
      <c r="K493" s="8" t="inlineStr">
        <is>
          <t>CUST-77160</t>
        </is>
      </c>
      <c r="L493" s="9" t="inlineStr">
        <is>
          <t>GBP-PKR</t>
        </is>
      </c>
      <c r="M493" s="8" t="inlineStr">
        <is>
          <t>GBP</t>
        </is>
      </c>
      <c r="N493" s="10" t="n">
        <v>261.1597567103947</v>
      </c>
      <c r="O493" s="11" t="n">
        <v>1</v>
      </c>
      <c r="P493" s="10" t="n">
        <v>261.1597567103947</v>
      </c>
      <c r="Q493" s="10" t="n">
        <v>1.5</v>
      </c>
      <c r="R493" s="12" t="n">
        <v>0.021</v>
      </c>
      <c r="S493" s="13" t="inlineStr">
        <is>
          <t>Success</t>
        </is>
      </c>
      <c r="T493" s="10" t="n">
        <v>0.3917396350655921</v>
      </c>
      <c r="U493" s="10" t="n">
        <v>0</v>
      </c>
      <c r="V493" s="10" t="n">
        <v>3.133917080524737</v>
      </c>
    </row>
    <row r="494">
      <c r="I494" s="8" t="inlineStr">
        <is>
          <t>ACE-10488</t>
        </is>
      </c>
      <c r="J494" s="8" t="inlineStr">
        <is>
          <t>2026-05-19 20:06:59</t>
        </is>
      </c>
      <c r="K494" s="8" t="inlineStr">
        <is>
          <t>CUST-56922</t>
        </is>
      </c>
      <c r="L494" s="9" t="inlineStr">
        <is>
          <t>EUR-PKR</t>
        </is>
      </c>
      <c r="M494" s="8" t="inlineStr">
        <is>
          <t>EUR</t>
        </is>
      </c>
      <c r="N494" s="10" t="n">
        <v>169.672358046644</v>
      </c>
      <c r="O494" s="11" t="n">
        <v>0.85</v>
      </c>
      <c r="P494" s="10" t="n">
        <v>144.2215043396474</v>
      </c>
      <c r="Q494" s="10" t="n">
        <v>1.275</v>
      </c>
      <c r="R494" s="12" t="n">
        <v>0.023</v>
      </c>
      <c r="S494" s="13" t="inlineStr">
        <is>
          <t>Success</t>
        </is>
      </c>
      <c r="T494" s="10" t="n">
        <v>0.216332256509471</v>
      </c>
      <c r="U494" s="10" t="n">
        <v>0</v>
      </c>
      <c r="V494" s="10" t="n">
        <v>2.163322565094711</v>
      </c>
    </row>
    <row r="495">
      <c r="I495" s="8" t="inlineStr">
        <is>
          <t>ACE-10489</t>
        </is>
      </c>
      <c r="J495" s="8" t="inlineStr">
        <is>
          <t>2026-05-10 16:56:22</t>
        </is>
      </c>
      <c r="K495" s="8" t="inlineStr">
        <is>
          <t>CUST-76928</t>
        </is>
      </c>
      <c r="L495" s="9" t="inlineStr">
        <is>
          <t>USD-PKR</t>
        </is>
      </c>
      <c r="M495" s="8" t="inlineStr">
        <is>
          <t>USD</t>
        </is>
      </c>
      <c r="N495" s="10" t="n">
        <v>259.1330690458705</v>
      </c>
      <c r="O495" s="11" t="n">
        <v>0.8</v>
      </c>
      <c r="P495" s="10" t="n">
        <v>207.3064552366964</v>
      </c>
      <c r="Q495" s="10" t="n">
        <v>1.6</v>
      </c>
      <c r="R495" s="12" t="n">
        <v>0.019</v>
      </c>
      <c r="S495" s="13" t="inlineStr">
        <is>
          <t>Success</t>
        </is>
      </c>
      <c r="T495" s="10" t="n">
        <v>0.3109596828550446</v>
      </c>
      <c r="U495" s="10" t="n">
        <v>0.6219193657100891</v>
      </c>
      <c r="V495" s="10" t="n">
        <v>2.487677462840356</v>
      </c>
    </row>
    <row r="496">
      <c r="I496" s="8" t="inlineStr">
        <is>
          <t>ACE-10490</t>
        </is>
      </c>
      <c r="J496" s="8" t="inlineStr">
        <is>
          <t>2026-05-19 17:30:02</t>
        </is>
      </c>
      <c r="K496" s="8" t="inlineStr">
        <is>
          <t>CUST-61285</t>
        </is>
      </c>
      <c r="L496" s="9" t="inlineStr">
        <is>
          <t>GBP-PKR</t>
        </is>
      </c>
      <c r="M496" s="8" t="inlineStr">
        <is>
          <t>GBP</t>
        </is>
      </c>
      <c r="N496" s="10" t="n">
        <v>304.2815970893058</v>
      </c>
      <c r="O496" s="11" t="n">
        <v>1</v>
      </c>
      <c r="P496" s="10" t="n">
        <v>304.2815970893058</v>
      </c>
      <c r="Q496" s="10" t="n">
        <v>1.5</v>
      </c>
      <c r="R496" s="12" t="n">
        <v>0.021</v>
      </c>
      <c r="S496" s="13" t="inlineStr">
        <is>
          <t>Success</t>
        </is>
      </c>
      <c r="T496" s="10" t="n">
        <v>0.4564223956339586</v>
      </c>
      <c r="U496" s="10" t="n">
        <v>0</v>
      </c>
      <c r="V496" s="10" t="n">
        <v>3.651379165071669</v>
      </c>
    </row>
    <row r="497">
      <c r="I497" s="8" t="inlineStr">
        <is>
          <t>ACE-10491</t>
        </is>
      </c>
      <c r="J497" s="8" t="inlineStr">
        <is>
          <t>2026-05-20 18:44:25</t>
        </is>
      </c>
      <c r="K497" s="8" t="inlineStr">
        <is>
          <t>CUST-52541</t>
        </is>
      </c>
      <c r="L497" s="9" t="inlineStr">
        <is>
          <t>GBP-PKR</t>
        </is>
      </c>
      <c r="M497" s="8" t="inlineStr">
        <is>
          <t>GBP</t>
        </is>
      </c>
      <c r="N497" s="10" t="n">
        <v>278.3814621219469</v>
      </c>
      <c r="O497" s="11" t="n">
        <v>1</v>
      </c>
      <c r="P497" s="10" t="n">
        <v>278.3814621219469</v>
      </c>
      <c r="Q497" s="10" t="n">
        <v>1.5</v>
      </c>
      <c r="R497" s="12" t="n">
        <v>0.021</v>
      </c>
      <c r="S497" s="13" t="inlineStr">
        <is>
          <t>Success</t>
        </is>
      </c>
      <c r="T497" s="10" t="n">
        <v>0.4175721931829203</v>
      </c>
      <c r="U497" s="10" t="n">
        <v>0.8351443863658407</v>
      </c>
      <c r="V497" s="10" t="n">
        <v>3.340577545463363</v>
      </c>
    </row>
    <row r="498">
      <c r="I498" s="8" t="inlineStr">
        <is>
          <t>ACE-10492</t>
        </is>
      </c>
      <c r="J498" s="8" t="inlineStr">
        <is>
          <t>2026-05-23 11:03:47</t>
        </is>
      </c>
      <c r="K498" s="8" t="inlineStr">
        <is>
          <t>CUST-81143</t>
        </is>
      </c>
      <c r="L498" s="9" t="inlineStr">
        <is>
          <t>GBP-PKR</t>
        </is>
      </c>
      <c r="M498" s="8" t="inlineStr">
        <is>
          <t>GBP</t>
        </is>
      </c>
      <c r="N498" s="10" t="n">
        <v>323.0425399099578</v>
      </c>
      <c r="O498" s="11" t="n">
        <v>1</v>
      </c>
      <c r="P498" s="10" t="n">
        <v>323.0425399099578</v>
      </c>
      <c r="Q498" s="10" t="n">
        <v>1.5</v>
      </c>
      <c r="R498" s="12" t="n">
        <v>0.021</v>
      </c>
      <c r="S498" s="13" t="inlineStr">
        <is>
          <t>Success</t>
        </is>
      </c>
      <c r="T498" s="10" t="n">
        <v>0.4845638098649367</v>
      </c>
      <c r="U498" s="10" t="n">
        <v>0.9691276197298735</v>
      </c>
      <c r="V498" s="10" t="n">
        <v>3.876510478919494</v>
      </c>
    </row>
    <row r="499">
      <c r="I499" s="8" t="inlineStr">
        <is>
          <t>ACE-10493</t>
        </is>
      </c>
      <c r="J499" s="8" t="inlineStr">
        <is>
          <t>2026-05-01 13:52:50</t>
        </is>
      </c>
      <c r="K499" s="8" t="inlineStr">
        <is>
          <t>CUST-69861</t>
        </is>
      </c>
      <c r="L499" s="9" t="inlineStr">
        <is>
          <t>GBP-PKR</t>
        </is>
      </c>
      <c r="M499" s="8" t="inlineStr">
        <is>
          <t>GBP</t>
        </is>
      </c>
      <c r="N499" s="10" t="n">
        <v>280.7673622054015</v>
      </c>
      <c r="O499" s="11" t="n">
        <v>1</v>
      </c>
      <c r="P499" s="10" t="n">
        <v>280.7673622054015</v>
      </c>
      <c r="Q499" s="10" t="n">
        <v>1.5</v>
      </c>
      <c r="R499" s="12" t="n">
        <v>0.021</v>
      </c>
      <c r="S499" s="13" t="inlineStr">
        <is>
          <t>Success</t>
        </is>
      </c>
      <c r="T499" s="10" t="n">
        <v>0.4211510433081022</v>
      </c>
      <c r="U499" s="10" t="n">
        <v>0.8423020866162044</v>
      </c>
      <c r="V499" s="10" t="n">
        <v>3.369208346464818</v>
      </c>
    </row>
    <row r="500">
      <c r="I500" s="8" t="inlineStr">
        <is>
          <t>ACE-10494</t>
        </is>
      </c>
      <c r="J500" s="8" t="inlineStr">
        <is>
          <t>2026-05-23 18:06:55</t>
        </is>
      </c>
      <c r="K500" s="8" t="inlineStr">
        <is>
          <t>CUST-64939</t>
        </is>
      </c>
      <c r="L500" s="9" t="inlineStr">
        <is>
          <t>GBP-PKR</t>
        </is>
      </c>
      <c r="M500" s="8" t="inlineStr">
        <is>
          <t>GBP</t>
        </is>
      </c>
      <c r="N500" s="10" t="n">
        <v>255.6121312001201</v>
      </c>
      <c r="O500" s="11" t="n">
        <v>1</v>
      </c>
      <c r="P500" s="10" t="n">
        <v>255.6121312001201</v>
      </c>
      <c r="Q500" s="10" t="n">
        <v>1.5</v>
      </c>
      <c r="R500" s="12" t="n">
        <v>0.021</v>
      </c>
      <c r="S500" s="13" t="inlineStr">
        <is>
          <t>Success</t>
        </is>
      </c>
      <c r="T500" s="10" t="n">
        <v>0.3834181968001802</v>
      </c>
      <c r="U500" s="10" t="n">
        <v>0.7668363936003604</v>
      </c>
      <c r="V500" s="10" t="n">
        <v>3.067345574401442</v>
      </c>
    </row>
    <row r="501">
      <c r="I501" s="8" t="inlineStr">
        <is>
          <t>ACE-10495</t>
        </is>
      </c>
      <c r="J501" s="8" t="inlineStr">
        <is>
          <t>2026-05-15 20:52:20</t>
        </is>
      </c>
      <c r="K501" s="8" t="inlineStr">
        <is>
          <t>CUST-67656</t>
        </is>
      </c>
      <c r="L501" s="9" t="inlineStr">
        <is>
          <t>GBP-PKR</t>
        </is>
      </c>
      <c r="M501" s="8" t="inlineStr">
        <is>
          <t>GBP</t>
        </is>
      </c>
      <c r="N501" s="10" t="n">
        <v>324.4404515215388</v>
      </c>
      <c r="O501" s="11" t="n">
        <v>1</v>
      </c>
      <c r="P501" s="10" t="n">
        <v>324.4404515215388</v>
      </c>
      <c r="Q501" s="10" t="n">
        <v>1.5</v>
      </c>
      <c r="R501" s="12" t="n">
        <v>0.021</v>
      </c>
      <c r="S501" s="13" t="inlineStr">
        <is>
          <t>Success</t>
        </is>
      </c>
      <c r="T501" s="10" t="n">
        <v>0.4866606772823082</v>
      </c>
      <c r="U501" s="10" t="n">
        <v>0.9733213545646163</v>
      </c>
      <c r="V501" s="10" t="n">
        <v>3.893285418258465</v>
      </c>
    </row>
    <row r="502">
      <c r="I502" s="8" t="inlineStr">
        <is>
          <t>ACE-10496</t>
        </is>
      </c>
      <c r="J502" s="8" t="inlineStr">
        <is>
          <t>2026-05-03 11:28:13</t>
        </is>
      </c>
      <c r="K502" s="8" t="inlineStr">
        <is>
          <t>CUST-76684</t>
        </is>
      </c>
      <c r="L502" s="9" t="inlineStr">
        <is>
          <t>GBP-PKR</t>
        </is>
      </c>
      <c r="M502" s="8" t="inlineStr">
        <is>
          <t>GBP</t>
        </is>
      </c>
      <c r="N502" s="10" t="n">
        <v>294.0296485133717</v>
      </c>
      <c r="O502" s="11" t="n">
        <v>1</v>
      </c>
      <c r="P502" s="10" t="n">
        <v>294.0296485133717</v>
      </c>
      <c r="Q502" s="10" t="n">
        <v>1.5</v>
      </c>
      <c r="R502" s="12" t="n">
        <v>0.021</v>
      </c>
      <c r="S502" s="13" t="inlineStr">
        <is>
          <t>Success</t>
        </is>
      </c>
      <c r="T502" s="10" t="n">
        <v>0.4410444727700576</v>
      </c>
      <c r="U502" s="10" t="n">
        <v>0.8820889455401152</v>
      </c>
      <c r="V502" s="10" t="n">
        <v>3.528355782160461</v>
      </c>
    </row>
    <row r="503">
      <c r="I503" s="8" t="inlineStr">
        <is>
          <t>ACE-10497</t>
        </is>
      </c>
      <c r="J503" s="8" t="inlineStr">
        <is>
          <t>2026-05-12 08:32:50</t>
        </is>
      </c>
      <c r="K503" s="8" t="inlineStr">
        <is>
          <t>CUST-60418</t>
        </is>
      </c>
      <c r="L503" s="9" t="inlineStr">
        <is>
          <t>GBP-PKR</t>
        </is>
      </c>
      <c r="M503" s="8" t="inlineStr">
        <is>
          <t>GBP</t>
        </is>
      </c>
      <c r="N503" s="10" t="n">
        <v>251.1536712221411</v>
      </c>
      <c r="O503" s="11" t="n">
        <v>1</v>
      </c>
      <c r="P503" s="10" t="n">
        <v>251.1536712221411</v>
      </c>
      <c r="Q503" s="10" t="n">
        <v>1.5</v>
      </c>
      <c r="R503" s="12" t="n">
        <v>0.021</v>
      </c>
      <c r="S503" s="13" t="inlineStr">
        <is>
          <t>Success</t>
        </is>
      </c>
      <c r="T503" s="10" t="n">
        <v>0.3767305068332117</v>
      </c>
      <c r="U503" s="10" t="n">
        <v>0.7534610136664234</v>
      </c>
      <c r="V503" s="10" t="n">
        <v>3.013844054665693</v>
      </c>
    </row>
    <row r="504">
      <c r="I504" s="8" t="inlineStr">
        <is>
          <t>ACE-10498</t>
        </is>
      </c>
      <c r="J504" s="8" t="inlineStr">
        <is>
          <t>2026-05-13 10:49:54</t>
        </is>
      </c>
      <c r="K504" s="8" t="inlineStr">
        <is>
          <t>CUST-84359</t>
        </is>
      </c>
      <c r="L504" s="9" t="inlineStr">
        <is>
          <t>GBP-PKR</t>
        </is>
      </c>
      <c r="M504" s="8" t="inlineStr">
        <is>
          <t>GBP</t>
        </is>
      </c>
      <c r="N504" s="10" t="n">
        <v>273.3507407849381</v>
      </c>
      <c r="O504" s="11" t="n">
        <v>1</v>
      </c>
      <c r="P504" s="10" t="n">
        <v>273.3507407849381</v>
      </c>
      <c r="Q504" s="10" t="n">
        <v>1.5</v>
      </c>
      <c r="R504" s="12" t="n">
        <v>0.021</v>
      </c>
      <c r="S504" s="13" t="inlineStr">
        <is>
          <t>Success</t>
        </is>
      </c>
      <c r="T504" s="10" t="n">
        <v>0.4100261111774072</v>
      </c>
      <c r="U504" s="10" t="n">
        <v>0</v>
      </c>
      <c r="V504" s="10" t="n">
        <v>3.280208889419257</v>
      </c>
    </row>
    <row r="505">
      <c r="I505" s="8" t="inlineStr">
        <is>
          <t>ACE-10499</t>
        </is>
      </c>
      <c r="J505" s="8" t="inlineStr">
        <is>
          <t>2026-05-07 11:53:03</t>
        </is>
      </c>
      <c r="K505" s="8" t="inlineStr">
        <is>
          <t>CUST-66350</t>
        </is>
      </c>
      <c r="L505" s="9" t="inlineStr">
        <is>
          <t>GBP-PKR</t>
        </is>
      </c>
      <c r="M505" s="8" t="inlineStr">
        <is>
          <t>GBP</t>
        </is>
      </c>
      <c r="N505" s="10" t="n">
        <v>255.245997912001</v>
      </c>
      <c r="O505" s="11" t="n">
        <v>1</v>
      </c>
      <c r="P505" s="10" t="n">
        <v>255.245997912001</v>
      </c>
      <c r="Q505" s="10" t="n">
        <v>1.5</v>
      </c>
      <c r="R505" s="12" t="n">
        <v>0.021</v>
      </c>
      <c r="S505" s="13" t="inlineStr">
        <is>
          <t>Success</t>
        </is>
      </c>
      <c r="T505" s="10" t="n">
        <v>0.3828689968680016</v>
      </c>
      <c r="U505" s="10" t="n">
        <v>0</v>
      </c>
      <c r="V505" s="10" t="n">
        <v>3.062951974944013</v>
      </c>
    </row>
    <row r="506">
      <c r="I506" s="8" t="inlineStr">
        <is>
          <t>ACE-10500</t>
        </is>
      </c>
      <c r="J506" s="8" t="inlineStr">
        <is>
          <t>2026-05-12 19:12:17</t>
        </is>
      </c>
      <c r="K506" s="8" t="inlineStr">
        <is>
          <t>CUST-74140</t>
        </is>
      </c>
      <c r="L506" s="9" t="inlineStr">
        <is>
          <t>GBP-PKR</t>
        </is>
      </c>
      <c r="M506" s="8" t="inlineStr">
        <is>
          <t>GBP</t>
        </is>
      </c>
      <c r="N506" s="10" t="n">
        <v>242.6232018117696</v>
      </c>
      <c r="O506" s="11" t="n">
        <v>1</v>
      </c>
      <c r="P506" s="10" t="n">
        <v>242.6232018117696</v>
      </c>
      <c r="Q506" s="10" t="n">
        <v>1.5</v>
      </c>
      <c r="R506" s="12" t="n">
        <v>0.021</v>
      </c>
      <c r="S506" s="13" t="inlineStr">
        <is>
          <t>Success</t>
        </is>
      </c>
      <c r="T506" s="10" t="n">
        <v>0.3639348027176544</v>
      </c>
      <c r="U506" s="10" t="n">
        <v>0</v>
      </c>
      <c r="V506" s="10" t="n">
        <v>2.911478421741236</v>
      </c>
    </row>
    <row r="507">
      <c r="I507" s="8" t="inlineStr">
        <is>
          <t>ACE-10501</t>
        </is>
      </c>
      <c r="J507" s="8" t="inlineStr">
        <is>
          <t>2026-05-21 09:43:01</t>
        </is>
      </c>
      <c r="K507" s="8" t="inlineStr">
        <is>
          <t>CUST-65855</t>
        </is>
      </c>
      <c r="L507" s="9" t="inlineStr">
        <is>
          <t>EUR-PKR</t>
        </is>
      </c>
      <c r="M507" s="8" t="inlineStr">
        <is>
          <t>EUR</t>
        </is>
      </c>
      <c r="N507" s="10" t="n">
        <v>207.3984509597043</v>
      </c>
      <c r="O507" s="11" t="n">
        <v>0.85</v>
      </c>
      <c r="P507" s="10" t="n">
        <v>176.2886833157486</v>
      </c>
      <c r="Q507" s="10" t="n">
        <v>1.275</v>
      </c>
      <c r="R507" s="12" t="n">
        <v>0.023</v>
      </c>
      <c r="S507" s="13" t="inlineStr">
        <is>
          <t>Success</t>
        </is>
      </c>
      <c r="T507" s="10" t="n">
        <v>0.2644330249736229</v>
      </c>
      <c r="U507" s="10" t="n">
        <v>0</v>
      </c>
      <c r="V507" s="10" t="n">
        <v>2.644330249736229</v>
      </c>
    </row>
    <row r="508">
      <c r="I508" s="8" t="inlineStr">
        <is>
          <t>ACE-10502</t>
        </is>
      </c>
      <c r="J508" s="8" t="inlineStr">
        <is>
          <t>2026-05-06 15:37:35</t>
        </is>
      </c>
      <c r="K508" s="8" t="inlineStr">
        <is>
          <t>CUST-72921</t>
        </is>
      </c>
      <c r="L508" s="9" t="inlineStr">
        <is>
          <t>GBP-PKR</t>
        </is>
      </c>
      <c r="M508" s="8" t="inlineStr">
        <is>
          <t>GBP</t>
        </is>
      </c>
      <c r="N508" s="10" t="n">
        <v>337.2185603658499</v>
      </c>
      <c r="O508" s="11" t="n">
        <v>1</v>
      </c>
      <c r="P508" s="10" t="n">
        <v>337.2185603658499</v>
      </c>
      <c r="Q508" s="10" t="n">
        <v>1.5</v>
      </c>
      <c r="R508" s="12" t="n">
        <v>0.021</v>
      </c>
      <c r="S508" s="13" t="inlineStr">
        <is>
          <t>Success</t>
        </is>
      </c>
      <c r="T508" s="10" t="n">
        <v>0.5058278405487748</v>
      </c>
      <c r="U508" s="10" t="n">
        <v>1.01165568109755</v>
      </c>
      <c r="V508" s="10" t="n">
        <v>4.046622724390199</v>
      </c>
    </row>
    <row r="509">
      <c r="I509" s="8" t="inlineStr">
        <is>
          <t>ACE-10503</t>
        </is>
      </c>
      <c r="J509" s="8" t="inlineStr">
        <is>
          <t>2026-05-09 19:53:44</t>
        </is>
      </c>
      <c r="K509" s="8" t="inlineStr">
        <is>
          <t>CUST-55923</t>
        </is>
      </c>
      <c r="L509" s="9" t="inlineStr">
        <is>
          <t>GBP-PKR</t>
        </is>
      </c>
      <c r="M509" s="8" t="inlineStr">
        <is>
          <t>GBP</t>
        </is>
      </c>
      <c r="N509" s="10" t="n">
        <v>242.2409388122051</v>
      </c>
      <c r="O509" s="11" t="n">
        <v>1</v>
      </c>
      <c r="P509" s="10" t="n">
        <v>242.2409388122051</v>
      </c>
      <c r="Q509" s="10" t="n">
        <v>1.5</v>
      </c>
      <c r="R509" s="12" t="n">
        <v>0.021</v>
      </c>
      <c r="S509" s="13" t="inlineStr">
        <is>
          <t>Success</t>
        </is>
      </c>
      <c r="T509" s="10" t="n">
        <v>0.3633614082183077</v>
      </c>
      <c r="U509" s="10" t="n">
        <v>0</v>
      </c>
      <c r="V509" s="10" t="n">
        <v>2.906891265746462</v>
      </c>
    </row>
    <row r="510">
      <c r="I510" s="8" t="inlineStr">
        <is>
          <t>ACE-10504</t>
        </is>
      </c>
      <c r="J510" s="8" t="inlineStr">
        <is>
          <t>2026-05-06 17:49:13</t>
        </is>
      </c>
      <c r="K510" s="8" t="inlineStr">
        <is>
          <t>CUST-64506</t>
        </is>
      </c>
      <c r="L510" s="9" t="inlineStr">
        <is>
          <t>GBP-PKR</t>
        </is>
      </c>
      <c r="M510" s="8" t="inlineStr">
        <is>
          <t>GBP</t>
        </is>
      </c>
      <c r="N510" s="10" t="n">
        <v>294.7379117901746</v>
      </c>
      <c r="O510" s="11" t="n">
        <v>1</v>
      </c>
      <c r="P510" s="10" t="n">
        <v>294.7379117901746</v>
      </c>
      <c r="Q510" s="10" t="n">
        <v>1.5</v>
      </c>
      <c r="R510" s="12" t="n">
        <v>0.021</v>
      </c>
      <c r="S510" s="13" t="inlineStr">
        <is>
          <t>Success</t>
        </is>
      </c>
      <c r="T510" s="10" t="n">
        <v>0.4421068676852619</v>
      </c>
      <c r="U510" s="10" t="n">
        <v>0.8842137353705238</v>
      </c>
      <c r="V510" s="10" t="n">
        <v>3.536854941482095</v>
      </c>
    </row>
    <row r="511">
      <c r="I511" s="8" t="inlineStr">
        <is>
          <t>ACE-10505</t>
        </is>
      </c>
      <c r="J511" s="8" t="inlineStr">
        <is>
          <t>2026-05-09 18:26:32</t>
        </is>
      </c>
      <c r="K511" s="8" t="inlineStr">
        <is>
          <t>CUST-51314</t>
        </is>
      </c>
      <c r="L511" s="9" t="inlineStr">
        <is>
          <t>GBP-PKR</t>
        </is>
      </c>
      <c r="M511" s="8" t="inlineStr">
        <is>
          <t>GBP</t>
        </is>
      </c>
      <c r="N511" s="10" t="n">
        <v>261.0534945432415</v>
      </c>
      <c r="O511" s="11" t="n">
        <v>1</v>
      </c>
      <c r="P511" s="10" t="n">
        <v>261.0534945432415</v>
      </c>
      <c r="Q511" s="10" t="n">
        <v>1.5</v>
      </c>
      <c r="R511" s="12" t="n">
        <v>0.021</v>
      </c>
      <c r="S511" s="13" t="inlineStr">
        <is>
          <t>Success</t>
        </is>
      </c>
      <c r="T511" s="10" t="n">
        <v>0.3915802418148623</v>
      </c>
      <c r="U511" s="10" t="n">
        <v>0.7831604836297246</v>
      </c>
      <c r="V511" s="10" t="n">
        <v>3.132641934518898</v>
      </c>
    </row>
    <row r="512">
      <c r="I512" s="8" t="inlineStr">
        <is>
          <t>ACE-10506</t>
        </is>
      </c>
      <c r="J512" s="8" t="inlineStr">
        <is>
          <t>2026-05-22 08:30:58</t>
        </is>
      </c>
      <c r="K512" s="8" t="inlineStr">
        <is>
          <t>CUST-58671</t>
        </is>
      </c>
      <c r="L512" s="9" t="inlineStr">
        <is>
          <t>GBP-PKR</t>
        </is>
      </c>
      <c r="M512" s="8" t="inlineStr">
        <is>
          <t>GBP</t>
        </is>
      </c>
      <c r="N512" s="10" t="n">
        <v>265.3572588862185</v>
      </c>
      <c r="O512" s="11" t="n">
        <v>1</v>
      </c>
      <c r="P512" s="10" t="n">
        <v>265.3572588862185</v>
      </c>
      <c r="Q512" s="10" t="n">
        <v>1.5</v>
      </c>
      <c r="R512" s="12" t="n">
        <v>0.021</v>
      </c>
      <c r="S512" s="13" t="inlineStr">
        <is>
          <t>Success</t>
        </is>
      </c>
      <c r="T512" s="10" t="n">
        <v>0.3980358883293278</v>
      </c>
      <c r="U512" s="10" t="n">
        <v>0.7960717766586556</v>
      </c>
      <c r="V512" s="10" t="n">
        <v>3.184287106634622</v>
      </c>
    </row>
    <row r="513">
      <c r="I513" s="8" t="inlineStr">
        <is>
          <t>ACE-10507</t>
        </is>
      </c>
      <c r="J513" s="8" t="inlineStr">
        <is>
          <t>2026-05-01 11:16:38</t>
        </is>
      </c>
      <c r="K513" s="8" t="inlineStr">
        <is>
          <t>CUST-70018</t>
        </is>
      </c>
      <c r="L513" s="9" t="inlineStr">
        <is>
          <t>GBP-PKR</t>
        </is>
      </c>
      <c r="M513" s="8" t="inlineStr">
        <is>
          <t>GBP</t>
        </is>
      </c>
      <c r="N513" s="10" t="n">
        <v>262.578533032499</v>
      </c>
      <c r="O513" s="11" t="n">
        <v>1</v>
      </c>
      <c r="P513" s="10" t="n">
        <v>262.578533032499</v>
      </c>
      <c r="Q513" s="10" t="n">
        <v>1.5</v>
      </c>
      <c r="R513" s="12" t="n">
        <v>0.021</v>
      </c>
      <c r="S513" s="13" t="inlineStr">
        <is>
          <t>Success</t>
        </is>
      </c>
      <c r="T513" s="10" t="n">
        <v>0.3938677995487485</v>
      </c>
      <c r="U513" s="10" t="n">
        <v>0.7877355990974969</v>
      </c>
      <c r="V513" s="10" t="n">
        <v>3.150942396389988</v>
      </c>
    </row>
    <row r="514">
      <c r="I514" s="8" t="inlineStr">
        <is>
          <t>ACE-10508</t>
        </is>
      </c>
      <c r="J514" s="8" t="inlineStr">
        <is>
          <t>2026-05-09 14:57:24</t>
        </is>
      </c>
      <c r="K514" s="8" t="inlineStr">
        <is>
          <t>CUST-72853</t>
        </is>
      </c>
      <c r="L514" s="9" t="inlineStr">
        <is>
          <t>GBP-PKR</t>
        </is>
      </c>
      <c r="M514" s="8" t="inlineStr">
        <is>
          <t>GBP</t>
        </is>
      </c>
      <c r="N514" s="10" t="n">
        <v>255.5429573912667</v>
      </c>
      <c r="O514" s="11" t="n">
        <v>1</v>
      </c>
      <c r="P514" s="10" t="n">
        <v>255.5429573912667</v>
      </c>
      <c r="Q514" s="10" t="n">
        <v>1.5</v>
      </c>
      <c r="R514" s="12" t="n">
        <v>0.021</v>
      </c>
      <c r="S514" s="13" t="inlineStr">
        <is>
          <t>Success</t>
        </is>
      </c>
      <c r="T514" s="10" t="n">
        <v>0.3833144360869001</v>
      </c>
      <c r="U514" s="10" t="n">
        <v>0</v>
      </c>
      <c r="V514" s="10" t="n">
        <v>3.066515488695201</v>
      </c>
    </row>
    <row r="515">
      <c r="I515" s="8" t="inlineStr">
        <is>
          <t>ACE-10509</t>
        </is>
      </c>
      <c r="J515" s="8" t="inlineStr">
        <is>
          <t>2026-05-10 18:33:52</t>
        </is>
      </c>
      <c r="K515" s="8" t="inlineStr">
        <is>
          <t>CUST-90868</t>
        </is>
      </c>
      <c r="L515" s="9" t="inlineStr">
        <is>
          <t>GBP-PKR</t>
        </is>
      </c>
      <c r="M515" s="8" t="inlineStr">
        <is>
          <t>GBP</t>
        </is>
      </c>
      <c r="N515" s="10" t="n">
        <v>279.9586086421218</v>
      </c>
      <c r="O515" s="11" t="n">
        <v>1</v>
      </c>
      <c r="P515" s="10" t="n">
        <v>279.9586086421218</v>
      </c>
      <c r="Q515" s="10" t="n">
        <v>1.5</v>
      </c>
      <c r="R515" s="12" t="n">
        <v>0.021</v>
      </c>
      <c r="S515" s="13" t="inlineStr">
        <is>
          <t>Success</t>
        </is>
      </c>
      <c r="T515" s="10" t="n">
        <v>0.4199379129631827</v>
      </c>
      <c r="U515" s="10" t="n">
        <v>0</v>
      </c>
      <c r="V515" s="10" t="n">
        <v>3.359503303705461</v>
      </c>
    </row>
    <row r="516">
      <c r="I516" s="8" t="inlineStr">
        <is>
          <t>ACE-10510</t>
        </is>
      </c>
      <c r="J516" s="8" t="inlineStr">
        <is>
          <t>2026-05-17 18:53:53</t>
        </is>
      </c>
      <c r="K516" s="8" t="inlineStr">
        <is>
          <t>CUST-74525</t>
        </is>
      </c>
      <c r="L516" s="9" t="inlineStr">
        <is>
          <t>GBP-PKR</t>
        </is>
      </c>
      <c r="M516" s="8" t="inlineStr">
        <is>
          <t>GBP</t>
        </is>
      </c>
      <c r="N516" s="10" t="n">
        <v>256.3886844155903</v>
      </c>
      <c r="O516" s="11" t="n">
        <v>1</v>
      </c>
      <c r="P516" s="10" t="n">
        <v>256.3886844155903</v>
      </c>
      <c r="Q516" s="10" t="n">
        <v>1.5</v>
      </c>
      <c r="R516" s="12" t="n">
        <v>0.021</v>
      </c>
      <c r="S516" s="13" t="inlineStr">
        <is>
          <t>Success</t>
        </is>
      </c>
      <c r="T516" s="10" t="n">
        <v>0.3845830266233855</v>
      </c>
      <c r="U516" s="10" t="n">
        <v>0</v>
      </c>
      <c r="V516" s="10" t="n">
        <v>3.076664212987084</v>
      </c>
    </row>
    <row r="517">
      <c r="I517" s="8" t="inlineStr">
        <is>
          <t>ACE-10511</t>
        </is>
      </c>
      <c r="J517" s="8" t="inlineStr">
        <is>
          <t>2026-05-10 12:43:06</t>
        </is>
      </c>
      <c r="K517" s="8" t="inlineStr">
        <is>
          <t>CUST-81571</t>
        </is>
      </c>
      <c r="L517" s="9" t="inlineStr">
        <is>
          <t>USD-PKR</t>
        </is>
      </c>
      <c r="M517" s="8" t="inlineStr">
        <is>
          <t>USD</t>
        </is>
      </c>
      <c r="N517" s="10" t="n">
        <v>224.9039065390737</v>
      </c>
      <c r="O517" s="11" t="n">
        <v>0.8</v>
      </c>
      <c r="P517" s="10" t="n">
        <v>179.923125231259</v>
      </c>
      <c r="Q517" s="10" t="n">
        <v>1.6</v>
      </c>
      <c r="R517" s="12" t="n">
        <v>0.019</v>
      </c>
      <c r="S517" s="13" t="inlineStr">
        <is>
          <t>Success</t>
        </is>
      </c>
      <c r="T517" s="10" t="n">
        <v>0.2698846878468884</v>
      </c>
      <c r="U517" s="10" t="n">
        <v>0.5397693756937768</v>
      </c>
      <c r="V517" s="10" t="n">
        <v>2.159077502775107</v>
      </c>
    </row>
    <row r="518">
      <c r="I518" s="8" t="inlineStr">
        <is>
          <t>ACE-10512</t>
        </is>
      </c>
      <c r="J518" s="8" t="inlineStr">
        <is>
          <t>2026-05-21 13:55:17</t>
        </is>
      </c>
      <c r="K518" s="8" t="inlineStr">
        <is>
          <t>CUST-67114</t>
        </is>
      </c>
      <c r="L518" s="9" t="inlineStr">
        <is>
          <t>GBP-PKR</t>
        </is>
      </c>
      <c r="M518" s="8" t="inlineStr">
        <is>
          <t>GBP</t>
        </is>
      </c>
      <c r="N518" s="10" t="n">
        <v>277.2073528021763</v>
      </c>
      <c r="O518" s="11" t="n">
        <v>1</v>
      </c>
      <c r="P518" s="10" t="n">
        <v>277.2073528021763</v>
      </c>
      <c r="Q518" s="10" t="n">
        <v>1.5</v>
      </c>
      <c r="R518" s="12" t="n">
        <v>0.021</v>
      </c>
      <c r="S518" s="13" t="inlineStr">
        <is>
          <t>Success</t>
        </is>
      </c>
      <c r="T518" s="10" t="n">
        <v>0.4158110292032644</v>
      </c>
      <c r="U518" s="10" t="n">
        <v>0.8316220584065288</v>
      </c>
      <c r="V518" s="10" t="n">
        <v>3.326488233626115</v>
      </c>
    </row>
    <row r="519">
      <c r="I519" s="8" t="inlineStr">
        <is>
          <t>ACE-10513</t>
        </is>
      </c>
      <c r="J519" s="8" t="inlineStr">
        <is>
          <t>2026-05-21 12:12:09</t>
        </is>
      </c>
      <c r="K519" s="8" t="inlineStr">
        <is>
          <t>CUST-83901</t>
        </is>
      </c>
      <c r="L519" s="9" t="inlineStr">
        <is>
          <t>GBP-PKR</t>
        </is>
      </c>
      <c r="M519" s="8" t="inlineStr">
        <is>
          <t>GBP</t>
        </is>
      </c>
      <c r="N519" s="10" t="n">
        <v>272.0252243242934</v>
      </c>
      <c r="O519" s="11" t="n">
        <v>1</v>
      </c>
      <c r="P519" s="10" t="n">
        <v>272.0252243242934</v>
      </c>
      <c r="Q519" s="10" t="n">
        <v>1.5</v>
      </c>
      <c r="R519" s="12" t="n">
        <v>0.021</v>
      </c>
      <c r="S519" s="13" t="inlineStr">
        <is>
          <t>Success</t>
        </is>
      </c>
      <c r="T519" s="10" t="n">
        <v>0.4080378364864402</v>
      </c>
      <c r="U519" s="10" t="n">
        <v>0.8160756729728803</v>
      </c>
      <c r="V519" s="10" t="n">
        <v>3.264302691891521</v>
      </c>
    </row>
    <row r="520">
      <c r="I520" s="8" t="inlineStr">
        <is>
          <t>ACE-10514</t>
        </is>
      </c>
      <c r="J520" s="8" t="inlineStr">
        <is>
          <t>2026-05-20 14:42:20</t>
        </is>
      </c>
      <c r="K520" s="8" t="inlineStr">
        <is>
          <t>CUST-94614</t>
        </is>
      </c>
      <c r="L520" s="9" t="inlineStr">
        <is>
          <t>GBP-PKR</t>
        </is>
      </c>
      <c r="M520" s="8" t="inlineStr">
        <is>
          <t>GBP</t>
        </is>
      </c>
      <c r="N520" s="10" t="n">
        <v>254.4319051594761</v>
      </c>
      <c r="O520" s="11" t="n">
        <v>1</v>
      </c>
      <c r="P520" s="10" t="n">
        <v>254.4319051594761</v>
      </c>
      <c r="Q520" s="10" t="n">
        <v>1.5</v>
      </c>
      <c r="R520" s="12" t="n">
        <v>0.021</v>
      </c>
      <c r="S520" s="13" t="inlineStr">
        <is>
          <t>Success</t>
        </is>
      </c>
      <c r="T520" s="10" t="n">
        <v>0.3816478577392141</v>
      </c>
      <c r="U520" s="10" t="n">
        <v>0</v>
      </c>
      <c r="V520" s="10" t="n">
        <v>3.053182861913713</v>
      </c>
    </row>
    <row r="521">
      <c r="I521" s="8" t="inlineStr">
        <is>
          <t>ACE-10515</t>
        </is>
      </c>
      <c r="J521" s="8" t="inlineStr">
        <is>
          <t>2026-05-16 12:16:58</t>
        </is>
      </c>
      <c r="K521" s="8" t="inlineStr">
        <is>
          <t>CUST-77431</t>
        </is>
      </c>
      <c r="L521" s="9" t="inlineStr">
        <is>
          <t>GBP-PKR</t>
        </is>
      </c>
      <c r="M521" s="8" t="inlineStr">
        <is>
          <t>GBP</t>
        </is>
      </c>
      <c r="N521" s="10" t="n">
        <v>262.989069403964</v>
      </c>
      <c r="O521" s="11" t="n">
        <v>1</v>
      </c>
      <c r="P521" s="10" t="n">
        <v>262.989069403964</v>
      </c>
      <c r="Q521" s="10" t="n">
        <v>1.5</v>
      </c>
      <c r="R521" s="12" t="n">
        <v>0.021</v>
      </c>
      <c r="S521" s="13" t="inlineStr">
        <is>
          <t>Success</t>
        </is>
      </c>
      <c r="T521" s="10" t="n">
        <v>0.3944836041059461</v>
      </c>
      <c r="U521" s="10" t="n">
        <v>0.7889672082118921</v>
      </c>
      <c r="V521" s="10" t="n">
        <v>3.155868832847569</v>
      </c>
    </row>
    <row r="522">
      <c r="I522" s="8" t="inlineStr">
        <is>
          <t>ACE-10516</t>
        </is>
      </c>
      <c r="J522" s="8" t="inlineStr">
        <is>
          <t>2026-05-19 19:36:52</t>
        </is>
      </c>
      <c r="K522" s="8" t="inlineStr">
        <is>
          <t>CUST-62446</t>
        </is>
      </c>
      <c r="L522" s="9" t="inlineStr">
        <is>
          <t>GBP-PKR</t>
        </is>
      </c>
      <c r="M522" s="8" t="inlineStr">
        <is>
          <t>GBP</t>
        </is>
      </c>
      <c r="N522" s="10" t="n">
        <v>300.4642341474722</v>
      </c>
      <c r="O522" s="11" t="n">
        <v>1</v>
      </c>
      <c r="P522" s="10" t="n">
        <v>300.4642341474722</v>
      </c>
      <c r="Q522" s="10" t="n">
        <v>1.5</v>
      </c>
      <c r="R522" s="12" t="n">
        <v>0.021</v>
      </c>
      <c r="S522" s="13" t="inlineStr">
        <is>
          <t>Success</t>
        </is>
      </c>
      <c r="T522" s="10" t="n">
        <v>0.4506963512212083</v>
      </c>
      <c r="U522" s="10" t="n">
        <v>0.9013927024424165</v>
      </c>
      <c r="V522" s="10" t="n">
        <v>3.605570809769666</v>
      </c>
    </row>
    <row r="523">
      <c r="I523" s="8" t="inlineStr">
        <is>
          <t>ACE-10517</t>
        </is>
      </c>
      <c r="J523" s="8" t="inlineStr">
        <is>
          <t>2026-05-22 16:40:50</t>
        </is>
      </c>
      <c r="K523" s="8" t="inlineStr">
        <is>
          <t>CUST-81177</t>
        </is>
      </c>
      <c r="L523" s="9" t="inlineStr">
        <is>
          <t>GBP-PKR</t>
        </is>
      </c>
      <c r="M523" s="8" t="inlineStr">
        <is>
          <t>GBP</t>
        </is>
      </c>
      <c r="N523" s="10" t="n">
        <v>292.9146653130332</v>
      </c>
      <c r="O523" s="11" t="n">
        <v>1</v>
      </c>
      <c r="P523" s="10" t="n">
        <v>292.9146653130332</v>
      </c>
      <c r="Q523" s="10" t="n">
        <v>1.5</v>
      </c>
      <c r="R523" s="12" t="n">
        <v>0.021</v>
      </c>
      <c r="S523" s="13" t="inlineStr">
        <is>
          <t>Success</t>
        </is>
      </c>
      <c r="T523" s="10" t="n">
        <v>0.4393719979695498</v>
      </c>
      <c r="U523" s="10" t="n">
        <v>0.8787439959390996</v>
      </c>
      <c r="V523" s="10" t="n">
        <v>3.514975983756398</v>
      </c>
    </row>
    <row r="524">
      <c r="I524" s="8" t="inlineStr">
        <is>
          <t>ACE-10518</t>
        </is>
      </c>
      <c r="J524" s="8" t="inlineStr">
        <is>
          <t>2026-05-17 12:54:10</t>
        </is>
      </c>
      <c r="K524" s="8" t="inlineStr">
        <is>
          <t>CUST-93097</t>
        </is>
      </c>
      <c r="L524" s="9" t="inlineStr">
        <is>
          <t>GBP-PKR</t>
        </is>
      </c>
      <c r="M524" s="8" t="inlineStr">
        <is>
          <t>GBP</t>
        </is>
      </c>
      <c r="N524" s="10" t="n">
        <v>252.6573135531425</v>
      </c>
      <c r="O524" s="11" t="n">
        <v>1</v>
      </c>
      <c r="P524" s="10" t="n">
        <v>252.6573135531425</v>
      </c>
      <c r="Q524" s="10" t="n">
        <v>1.5</v>
      </c>
      <c r="R524" s="12" t="n">
        <v>0.021</v>
      </c>
      <c r="S524" s="13" t="inlineStr">
        <is>
          <t>Success</t>
        </is>
      </c>
      <c r="T524" s="10" t="n">
        <v>0.3789859703297138</v>
      </c>
      <c r="U524" s="10" t="n">
        <v>0</v>
      </c>
      <c r="V524" s="10" t="n">
        <v>3.031887762637711</v>
      </c>
    </row>
    <row r="525">
      <c r="I525" s="8" t="inlineStr">
        <is>
          <t>ACE-10519</t>
        </is>
      </c>
      <c r="J525" s="8" t="inlineStr">
        <is>
          <t>2026-05-04 15:08:47</t>
        </is>
      </c>
      <c r="K525" s="8" t="inlineStr">
        <is>
          <t>CUST-66951</t>
        </is>
      </c>
      <c r="L525" s="9" t="inlineStr">
        <is>
          <t>GBP-PKR</t>
        </is>
      </c>
      <c r="M525" s="8" t="inlineStr">
        <is>
          <t>GBP</t>
        </is>
      </c>
      <c r="N525" s="10" t="n">
        <v>281.3847173085846</v>
      </c>
      <c r="O525" s="11" t="n">
        <v>1</v>
      </c>
      <c r="P525" s="10" t="n">
        <v>281.3847173085846</v>
      </c>
      <c r="Q525" s="10" t="n">
        <v>1.5</v>
      </c>
      <c r="R525" s="12" t="n">
        <v>0.021</v>
      </c>
      <c r="S525" s="13" t="inlineStr">
        <is>
          <t>Success</t>
        </is>
      </c>
      <c r="T525" s="10" t="n">
        <v>0.422077075962877</v>
      </c>
      <c r="U525" s="10" t="n">
        <v>0</v>
      </c>
      <c r="V525" s="10" t="n">
        <v>3.376616607703016</v>
      </c>
    </row>
    <row r="526">
      <c r="I526" s="8" t="inlineStr">
        <is>
          <t>ACE-10520</t>
        </is>
      </c>
      <c r="J526" s="8" t="inlineStr">
        <is>
          <t>2026-05-06 18:57:21</t>
        </is>
      </c>
      <c r="K526" s="8" t="inlineStr">
        <is>
          <t>CUST-92889</t>
        </is>
      </c>
      <c r="L526" s="9" t="inlineStr">
        <is>
          <t>GBP-PKR</t>
        </is>
      </c>
      <c r="M526" s="8" t="inlineStr">
        <is>
          <t>GBP</t>
        </is>
      </c>
      <c r="N526" s="10" t="n">
        <v>300.3439492729993</v>
      </c>
      <c r="O526" s="11" t="n">
        <v>1</v>
      </c>
      <c r="P526" s="10" t="n">
        <v>300.3439492729993</v>
      </c>
      <c r="Q526" s="10" t="n">
        <v>1.5</v>
      </c>
      <c r="R526" s="12" t="n">
        <v>0.021</v>
      </c>
      <c r="S526" s="13" t="inlineStr">
        <is>
          <t>Success</t>
        </is>
      </c>
      <c r="T526" s="10" t="n">
        <v>0.450515923909499</v>
      </c>
      <c r="U526" s="10" t="n">
        <v>0</v>
      </c>
      <c r="V526" s="10" t="n">
        <v>3.604127391275992</v>
      </c>
    </row>
    <row r="527">
      <c r="I527" s="8" t="inlineStr">
        <is>
          <t>ACE-10521</t>
        </is>
      </c>
      <c r="J527" s="8" t="inlineStr">
        <is>
          <t>2026-05-24 12:26:50</t>
        </is>
      </c>
      <c r="K527" s="8" t="inlineStr">
        <is>
          <t>CUST-71713</t>
        </is>
      </c>
      <c r="L527" s="9" t="inlineStr">
        <is>
          <t>USD-PKR</t>
        </is>
      </c>
      <c r="M527" s="8" t="inlineStr">
        <is>
          <t>USD</t>
        </is>
      </c>
      <c r="N527" s="10" t="n">
        <v>185.2464347246699</v>
      </c>
      <c r="O527" s="11" t="n">
        <v>0.8</v>
      </c>
      <c r="P527" s="10" t="n">
        <v>148.1971477797359</v>
      </c>
      <c r="Q527" s="10" t="n">
        <v>1.6</v>
      </c>
      <c r="R527" s="12" t="n">
        <v>0.019</v>
      </c>
      <c r="S527" s="13" t="inlineStr">
        <is>
          <t>Success</t>
        </is>
      </c>
      <c r="T527" s="10" t="n">
        <v>0.2222957216696038</v>
      </c>
      <c r="U527" s="10" t="n">
        <v>0</v>
      </c>
      <c r="V527" s="10" t="n">
        <v>1.778365773356831</v>
      </c>
    </row>
    <row r="528">
      <c r="I528" s="8" t="inlineStr">
        <is>
          <t>ACE-10522</t>
        </is>
      </c>
      <c r="J528" s="8" t="inlineStr">
        <is>
          <t>2026-05-15 09:30:03</t>
        </is>
      </c>
      <c r="K528" s="8" t="inlineStr">
        <is>
          <t>CUST-91575</t>
        </is>
      </c>
      <c r="L528" s="9" t="inlineStr">
        <is>
          <t>USD-PKR</t>
        </is>
      </c>
      <c r="M528" s="8" t="inlineStr">
        <is>
          <t>USD</t>
        </is>
      </c>
      <c r="N528" s="10" t="n">
        <v>231.1261269412212</v>
      </c>
      <c r="O528" s="11" t="n">
        <v>0.8</v>
      </c>
      <c r="P528" s="10" t="n">
        <v>184.900901552977</v>
      </c>
      <c r="Q528" s="10" t="n">
        <v>1.6</v>
      </c>
      <c r="R528" s="12" t="n">
        <v>0.019</v>
      </c>
      <c r="S528" s="13" t="inlineStr">
        <is>
          <t>Success</t>
        </is>
      </c>
      <c r="T528" s="10" t="n">
        <v>0.2773513523294655</v>
      </c>
      <c r="U528" s="10" t="n">
        <v>0.5547027046589309</v>
      </c>
      <c r="V528" s="10" t="n">
        <v>2.218810818635724</v>
      </c>
    </row>
    <row r="529">
      <c r="I529" s="8" t="inlineStr">
        <is>
          <t>ACE-10523</t>
        </is>
      </c>
      <c r="J529" s="8" t="inlineStr">
        <is>
          <t>2026-05-03 15:56:12</t>
        </is>
      </c>
      <c r="K529" s="8" t="inlineStr">
        <is>
          <t>CUST-82799</t>
        </is>
      </c>
      <c r="L529" s="9" t="inlineStr">
        <is>
          <t>EUR-PKR</t>
        </is>
      </c>
      <c r="M529" s="8" t="inlineStr">
        <is>
          <t>EUR</t>
        </is>
      </c>
      <c r="N529" s="10" t="n">
        <v>176.931330897411</v>
      </c>
      <c r="O529" s="11" t="n">
        <v>0.85</v>
      </c>
      <c r="P529" s="10" t="n">
        <v>150.3916312627993</v>
      </c>
      <c r="Q529" s="10" t="n">
        <v>1.275</v>
      </c>
      <c r="R529" s="12" t="n">
        <v>0.023</v>
      </c>
      <c r="S529" s="13" t="inlineStr">
        <is>
          <t>Success</t>
        </is>
      </c>
      <c r="T529" s="10" t="n">
        <v>0.225587446894199</v>
      </c>
      <c r="U529" s="10" t="n">
        <v>0.4511748937883979</v>
      </c>
      <c r="V529" s="10" t="n">
        <v>2.25587446894199</v>
      </c>
    </row>
    <row r="530">
      <c r="I530" s="8" t="inlineStr">
        <is>
          <t>ACE-10524</t>
        </is>
      </c>
      <c r="J530" s="8" t="inlineStr">
        <is>
          <t>2026-05-17 12:26:03</t>
        </is>
      </c>
      <c r="K530" s="8" t="inlineStr">
        <is>
          <t>CUST-59881</t>
        </is>
      </c>
      <c r="L530" s="9" t="inlineStr">
        <is>
          <t>GBP-PKR</t>
        </is>
      </c>
      <c r="M530" s="8" t="inlineStr">
        <is>
          <t>GBP</t>
        </is>
      </c>
      <c r="N530" s="10" t="n">
        <v>294.9628658755678</v>
      </c>
      <c r="O530" s="11" t="n">
        <v>1</v>
      </c>
      <c r="P530" s="10" t="n">
        <v>294.9628658755678</v>
      </c>
      <c r="Q530" s="10" t="n">
        <v>1.5</v>
      </c>
      <c r="R530" s="12" t="n">
        <v>0.021</v>
      </c>
      <c r="S530" s="13" t="inlineStr">
        <is>
          <t>Success</t>
        </is>
      </c>
      <c r="T530" s="10" t="n">
        <v>0.4424442988133518</v>
      </c>
      <c r="U530" s="10" t="n">
        <v>0</v>
      </c>
      <c r="V530" s="10" t="n">
        <v>3.539554390506814</v>
      </c>
    </row>
    <row r="531">
      <c r="I531" s="8" t="inlineStr">
        <is>
          <t>ACE-10525</t>
        </is>
      </c>
      <c r="J531" s="8" t="inlineStr">
        <is>
          <t>2026-05-14 17:57:58</t>
        </is>
      </c>
      <c r="K531" s="8" t="inlineStr">
        <is>
          <t>CUST-79987</t>
        </is>
      </c>
      <c r="L531" s="9" t="inlineStr">
        <is>
          <t>GBP-PKR</t>
        </is>
      </c>
      <c r="M531" s="8" t="inlineStr">
        <is>
          <t>GBP</t>
        </is>
      </c>
      <c r="N531" s="10" t="n">
        <v>258.1300912560069</v>
      </c>
      <c r="O531" s="11" t="n">
        <v>1</v>
      </c>
      <c r="P531" s="10" t="n">
        <v>258.1300912560069</v>
      </c>
      <c r="Q531" s="10" t="n">
        <v>1.5</v>
      </c>
      <c r="R531" s="12" t="n">
        <v>0.021</v>
      </c>
      <c r="S531" s="13" t="inlineStr">
        <is>
          <t>Success</t>
        </is>
      </c>
      <c r="T531" s="10" t="n">
        <v>0.3871951368840104</v>
      </c>
      <c r="U531" s="10" t="n">
        <v>0.7743902737680208</v>
      </c>
      <c r="V531" s="10" t="n">
        <v>3.097561095072083</v>
      </c>
    </row>
    <row r="532">
      <c r="I532" s="8" t="inlineStr">
        <is>
          <t>ACE-10526</t>
        </is>
      </c>
      <c r="J532" s="8" t="inlineStr">
        <is>
          <t>2026-05-06 20:05:31</t>
        </is>
      </c>
      <c r="K532" s="8" t="inlineStr">
        <is>
          <t>CUST-71799</t>
        </is>
      </c>
      <c r="L532" s="9" t="inlineStr">
        <is>
          <t>GBP-PKR</t>
        </is>
      </c>
      <c r="M532" s="8" t="inlineStr">
        <is>
          <t>GBP</t>
        </is>
      </c>
      <c r="N532" s="10" t="n">
        <v>232.5956162333516</v>
      </c>
      <c r="O532" s="11" t="n">
        <v>1</v>
      </c>
      <c r="P532" s="10" t="n">
        <v>232.5956162333516</v>
      </c>
      <c r="Q532" s="10" t="n">
        <v>1.5</v>
      </c>
      <c r="R532" s="12" t="n">
        <v>0.021</v>
      </c>
      <c r="S532" s="13" t="inlineStr">
        <is>
          <t>Success</t>
        </is>
      </c>
      <c r="T532" s="10" t="n">
        <v>0.3488934243500275</v>
      </c>
      <c r="U532" s="10" t="n">
        <v>0</v>
      </c>
      <c r="V532" s="10" t="n">
        <v>2.79114739480022</v>
      </c>
    </row>
    <row r="533">
      <c r="I533" s="8" t="inlineStr">
        <is>
          <t>ACE-10527</t>
        </is>
      </c>
      <c r="J533" s="8" t="inlineStr">
        <is>
          <t>2026-05-21 08:00:28</t>
        </is>
      </c>
      <c r="K533" s="8" t="inlineStr">
        <is>
          <t>CUST-67925</t>
        </is>
      </c>
      <c r="L533" s="9" t="inlineStr">
        <is>
          <t>EUR-PKR</t>
        </is>
      </c>
      <c r="M533" s="8" t="inlineStr">
        <is>
          <t>EUR</t>
        </is>
      </c>
      <c r="N533" s="10" t="n">
        <v>160.6567061224403</v>
      </c>
      <c r="O533" s="11" t="n">
        <v>0.85</v>
      </c>
      <c r="P533" s="10" t="n">
        <v>136.5582002040743</v>
      </c>
      <c r="Q533" s="10" t="n">
        <v>1.275</v>
      </c>
      <c r="R533" s="12" t="n">
        <v>0.023</v>
      </c>
      <c r="S533" s="13" t="inlineStr">
        <is>
          <t>Success</t>
        </is>
      </c>
      <c r="T533" s="10" t="n">
        <v>0.2048373003061114</v>
      </c>
      <c r="U533" s="10" t="n">
        <v>0.4096746006122229</v>
      </c>
      <c r="V533" s="10" t="n">
        <v>2.048373003061114</v>
      </c>
    </row>
    <row r="534">
      <c r="I534" s="8" t="inlineStr">
        <is>
          <t>ACE-10528</t>
        </is>
      </c>
      <c r="J534" s="8" t="inlineStr">
        <is>
          <t>2026-05-19 20:10:31</t>
        </is>
      </c>
      <c r="K534" s="8" t="inlineStr">
        <is>
          <t>CUST-55769</t>
        </is>
      </c>
      <c r="L534" s="9" t="inlineStr">
        <is>
          <t>GBP-PKR</t>
        </is>
      </c>
      <c r="M534" s="8" t="inlineStr">
        <is>
          <t>GBP</t>
        </is>
      </c>
      <c r="N534" s="10" t="n">
        <v>279.9463836405918</v>
      </c>
      <c r="O534" s="11" t="n">
        <v>1</v>
      </c>
      <c r="P534" s="10" t="n">
        <v>279.9463836405918</v>
      </c>
      <c r="Q534" s="10" t="n">
        <v>1.5</v>
      </c>
      <c r="R534" s="12" t="n">
        <v>0.021</v>
      </c>
      <c r="S534" s="13" t="inlineStr">
        <is>
          <t>Success</t>
        </is>
      </c>
      <c r="T534" s="10" t="n">
        <v>0.4199195754608878</v>
      </c>
      <c r="U534" s="10" t="n">
        <v>0</v>
      </c>
      <c r="V534" s="10" t="n">
        <v>3.359356603687102</v>
      </c>
    </row>
    <row r="535">
      <c r="I535" s="8" t="inlineStr">
        <is>
          <t>ACE-10529</t>
        </is>
      </c>
      <c r="J535" s="8" t="inlineStr">
        <is>
          <t>2026-05-14 14:27:30</t>
        </is>
      </c>
      <c r="K535" s="8" t="inlineStr">
        <is>
          <t>CUST-75121</t>
        </is>
      </c>
      <c r="L535" s="9" t="inlineStr">
        <is>
          <t>GBP-PKR</t>
        </is>
      </c>
      <c r="M535" s="8" t="inlineStr">
        <is>
          <t>GBP</t>
        </is>
      </c>
      <c r="N535" s="10" t="n">
        <v>285.9342397224855</v>
      </c>
      <c r="O535" s="11" t="n">
        <v>1</v>
      </c>
      <c r="P535" s="10" t="n">
        <v>285.9342397224855</v>
      </c>
      <c r="Q535" s="10" t="n">
        <v>1.5</v>
      </c>
      <c r="R535" s="12" t="n">
        <v>0.021</v>
      </c>
      <c r="S535" s="13" t="inlineStr">
        <is>
          <t>Failed</t>
        </is>
      </c>
      <c r="T535" s="10" t="n">
        <v>0</v>
      </c>
      <c r="U535" s="10" t="n">
        <v>0</v>
      </c>
      <c r="V535" s="10" t="n">
        <v>0.5</v>
      </c>
    </row>
    <row r="536">
      <c r="I536" s="8" t="inlineStr">
        <is>
          <t>ACE-10530</t>
        </is>
      </c>
      <c r="J536" s="8" t="inlineStr">
        <is>
          <t>2026-05-18 11:46:23</t>
        </is>
      </c>
      <c r="K536" s="8" t="inlineStr">
        <is>
          <t>CUST-50922</t>
        </is>
      </c>
      <c r="L536" s="9" t="inlineStr">
        <is>
          <t>EUR-PKR</t>
        </is>
      </c>
      <c r="M536" s="8" t="inlineStr">
        <is>
          <t>EUR</t>
        </is>
      </c>
      <c r="N536" s="10" t="n">
        <v>172.7062906252689</v>
      </c>
      <c r="O536" s="11" t="n">
        <v>0.85</v>
      </c>
      <c r="P536" s="10" t="n">
        <v>146.8003470314785</v>
      </c>
      <c r="Q536" s="10" t="n">
        <v>1.275</v>
      </c>
      <c r="R536" s="12" t="n">
        <v>0.023</v>
      </c>
      <c r="S536" s="13" t="inlineStr">
        <is>
          <t>Success</t>
        </is>
      </c>
      <c r="T536" s="10" t="n">
        <v>0.2202005205472178</v>
      </c>
      <c r="U536" s="10" t="n">
        <v>0.4404010410944356</v>
      </c>
      <c r="V536" s="10" t="n">
        <v>2.202005205472178</v>
      </c>
    </row>
    <row r="537">
      <c r="I537" s="8" t="inlineStr">
        <is>
          <t>ACE-10531</t>
        </is>
      </c>
      <c r="J537" s="8" t="inlineStr">
        <is>
          <t>2026-05-17 11:01:43</t>
        </is>
      </c>
      <c r="K537" s="8" t="inlineStr">
        <is>
          <t>CUST-50270</t>
        </is>
      </c>
      <c r="L537" s="9" t="inlineStr">
        <is>
          <t>USD-PKR</t>
        </is>
      </c>
      <c r="M537" s="8" t="inlineStr">
        <is>
          <t>USD</t>
        </is>
      </c>
      <c r="N537" s="10" t="n">
        <v>233.3377074071188</v>
      </c>
      <c r="O537" s="11" t="n">
        <v>0.8</v>
      </c>
      <c r="P537" s="10" t="n">
        <v>186.6701659256951</v>
      </c>
      <c r="Q537" s="10" t="n">
        <v>1.6</v>
      </c>
      <c r="R537" s="12" t="n">
        <v>0.019</v>
      </c>
      <c r="S537" s="13" t="inlineStr">
        <is>
          <t>Success</t>
        </is>
      </c>
      <c r="T537" s="10" t="n">
        <v>0.2800052488885426</v>
      </c>
      <c r="U537" s="10" t="n">
        <v>0</v>
      </c>
      <c r="V537" s="10" t="n">
        <v>2.240041991108341</v>
      </c>
    </row>
    <row r="538">
      <c r="I538" s="8" t="inlineStr">
        <is>
          <t>ACE-10532</t>
        </is>
      </c>
      <c r="J538" s="8" t="inlineStr">
        <is>
          <t>2026-05-23 13:19:08</t>
        </is>
      </c>
      <c r="K538" s="8" t="inlineStr">
        <is>
          <t>CUST-56731</t>
        </is>
      </c>
      <c r="L538" s="9" t="inlineStr">
        <is>
          <t>GBP-PKR</t>
        </is>
      </c>
      <c r="M538" s="8" t="inlineStr">
        <is>
          <t>GBP</t>
        </is>
      </c>
      <c r="N538" s="10" t="n">
        <v>235.9541713426434</v>
      </c>
      <c r="O538" s="11" t="n">
        <v>1</v>
      </c>
      <c r="P538" s="10" t="n">
        <v>235.9541713426434</v>
      </c>
      <c r="Q538" s="10" t="n">
        <v>1.5</v>
      </c>
      <c r="R538" s="12" t="n">
        <v>0.021</v>
      </c>
      <c r="S538" s="13" t="inlineStr">
        <is>
          <t>Success</t>
        </is>
      </c>
      <c r="T538" s="10" t="n">
        <v>0.3539312570139651</v>
      </c>
      <c r="U538" s="10" t="n">
        <v>0</v>
      </c>
      <c r="V538" s="10" t="n">
        <v>2.83145005611172</v>
      </c>
    </row>
    <row r="539">
      <c r="I539" s="8" t="inlineStr">
        <is>
          <t>ACE-10533</t>
        </is>
      </c>
      <c r="J539" s="8" t="inlineStr">
        <is>
          <t>2026-05-06 09:52:02</t>
        </is>
      </c>
      <c r="K539" s="8" t="inlineStr">
        <is>
          <t>CUST-69542</t>
        </is>
      </c>
      <c r="L539" s="9" t="inlineStr">
        <is>
          <t>USD-PKR</t>
        </is>
      </c>
      <c r="M539" s="8" t="inlineStr">
        <is>
          <t>USD</t>
        </is>
      </c>
      <c r="N539" s="10" t="n">
        <v>217.4610092163761</v>
      </c>
      <c r="O539" s="11" t="n">
        <v>0.8</v>
      </c>
      <c r="P539" s="10" t="n">
        <v>173.9688073731008</v>
      </c>
      <c r="Q539" s="10" t="n">
        <v>1.6</v>
      </c>
      <c r="R539" s="12" t="n">
        <v>0.019</v>
      </c>
      <c r="S539" s="13" t="inlineStr">
        <is>
          <t>Success</t>
        </is>
      </c>
      <c r="T539" s="10" t="n">
        <v>0.2609532110596512</v>
      </c>
      <c r="U539" s="10" t="n">
        <v>0</v>
      </c>
      <c r="V539" s="10" t="n">
        <v>2.08762568847721</v>
      </c>
    </row>
    <row r="540">
      <c r="I540" s="8" t="inlineStr">
        <is>
          <t>ACE-10534</t>
        </is>
      </c>
      <c r="J540" s="8" t="inlineStr">
        <is>
          <t>2026-05-17 17:33:21</t>
        </is>
      </c>
      <c r="K540" s="8" t="inlineStr">
        <is>
          <t>CUST-78420</t>
        </is>
      </c>
      <c r="L540" s="9" t="inlineStr">
        <is>
          <t>USD-PKR</t>
        </is>
      </c>
      <c r="M540" s="8" t="inlineStr">
        <is>
          <t>USD</t>
        </is>
      </c>
      <c r="N540" s="10" t="n">
        <v>193.9355575642155</v>
      </c>
      <c r="O540" s="11" t="n">
        <v>0.8</v>
      </c>
      <c r="P540" s="10" t="n">
        <v>155.1484460513724</v>
      </c>
      <c r="Q540" s="10" t="n">
        <v>1.6</v>
      </c>
      <c r="R540" s="12" t="n">
        <v>0.019</v>
      </c>
      <c r="S540" s="13" t="inlineStr">
        <is>
          <t>Success</t>
        </is>
      </c>
      <c r="T540" s="10" t="n">
        <v>0.2327226690770586</v>
      </c>
      <c r="U540" s="10" t="n">
        <v>0.4654453381541171</v>
      </c>
      <c r="V540" s="10" t="n">
        <v>1.861781352616469</v>
      </c>
    </row>
    <row r="541">
      <c r="I541" s="8" t="inlineStr">
        <is>
          <t>ACE-10535</t>
        </is>
      </c>
      <c r="J541" s="8" t="inlineStr">
        <is>
          <t>2026-05-11 15:22:48</t>
        </is>
      </c>
      <c r="K541" s="8" t="inlineStr">
        <is>
          <t>CUST-62348</t>
        </is>
      </c>
      <c r="L541" s="9" t="inlineStr">
        <is>
          <t>GBP-PKR</t>
        </is>
      </c>
      <c r="M541" s="8" t="inlineStr">
        <is>
          <t>GBP</t>
        </is>
      </c>
      <c r="N541" s="10" t="n">
        <v>261.0223386582289</v>
      </c>
      <c r="O541" s="11" t="n">
        <v>1</v>
      </c>
      <c r="P541" s="10" t="n">
        <v>261.0223386582289</v>
      </c>
      <c r="Q541" s="10" t="n">
        <v>1.5</v>
      </c>
      <c r="R541" s="12" t="n">
        <v>0.021</v>
      </c>
      <c r="S541" s="13" t="inlineStr">
        <is>
          <t>Success</t>
        </is>
      </c>
      <c r="T541" s="10" t="n">
        <v>0.3915335079873433</v>
      </c>
      <c r="U541" s="10" t="n">
        <v>0.7830670159746866</v>
      </c>
      <c r="V541" s="10" t="n">
        <v>3.132268063898747</v>
      </c>
    </row>
    <row r="542">
      <c r="I542" s="8" t="inlineStr">
        <is>
          <t>ACE-10536</t>
        </is>
      </c>
      <c r="J542" s="8" t="inlineStr">
        <is>
          <t>2026-05-13 08:14:14</t>
        </is>
      </c>
      <c r="K542" s="8" t="inlineStr">
        <is>
          <t>CUST-97655</t>
        </is>
      </c>
      <c r="L542" s="9" t="inlineStr">
        <is>
          <t>EUR-PKR</t>
        </is>
      </c>
      <c r="M542" s="8" t="inlineStr">
        <is>
          <t>EUR</t>
        </is>
      </c>
      <c r="N542" s="10" t="n">
        <v>189.9505811830198</v>
      </c>
      <c r="O542" s="11" t="n">
        <v>0.85</v>
      </c>
      <c r="P542" s="10" t="n">
        <v>161.4579940055668</v>
      </c>
      <c r="Q542" s="10" t="n">
        <v>1.275</v>
      </c>
      <c r="R542" s="12" t="n">
        <v>0.023</v>
      </c>
      <c r="S542" s="13" t="inlineStr">
        <is>
          <t>Success</t>
        </is>
      </c>
      <c r="T542" s="10" t="n">
        <v>0.2421869910083503</v>
      </c>
      <c r="U542" s="10" t="n">
        <v>0</v>
      </c>
      <c r="V542" s="10" t="n">
        <v>2.421869910083502</v>
      </c>
    </row>
    <row r="543">
      <c r="I543" s="8" t="inlineStr">
        <is>
          <t>ACE-10537</t>
        </is>
      </c>
      <c r="J543" s="8" t="inlineStr">
        <is>
          <t>2026-05-01 17:32:10</t>
        </is>
      </c>
      <c r="K543" s="8" t="inlineStr">
        <is>
          <t>CUST-58071</t>
        </is>
      </c>
      <c r="L543" s="9" t="inlineStr">
        <is>
          <t>GBP-PKR</t>
        </is>
      </c>
      <c r="M543" s="8" t="inlineStr">
        <is>
          <t>GBP</t>
        </is>
      </c>
      <c r="N543" s="10" t="n">
        <v>255.6343917950938</v>
      </c>
      <c r="O543" s="11" t="n">
        <v>1</v>
      </c>
      <c r="P543" s="10" t="n">
        <v>255.6343917950938</v>
      </c>
      <c r="Q543" s="10" t="n">
        <v>1.5</v>
      </c>
      <c r="R543" s="12" t="n">
        <v>0.021</v>
      </c>
      <c r="S543" s="13" t="inlineStr">
        <is>
          <t>Success</t>
        </is>
      </c>
      <c r="T543" s="10" t="n">
        <v>0.3834515876926407</v>
      </c>
      <c r="U543" s="10" t="n">
        <v>0.7669031753852814</v>
      </c>
      <c r="V543" s="10" t="n">
        <v>3.067612701541126</v>
      </c>
    </row>
    <row r="544">
      <c r="I544" s="8" t="inlineStr">
        <is>
          <t>ACE-10538</t>
        </is>
      </c>
      <c r="J544" s="8" t="inlineStr">
        <is>
          <t>2026-05-02 14:56:40</t>
        </is>
      </c>
      <c r="K544" s="8" t="inlineStr">
        <is>
          <t>CUST-66763</t>
        </is>
      </c>
      <c r="L544" s="9" t="inlineStr">
        <is>
          <t>GBP-PKR</t>
        </is>
      </c>
      <c r="M544" s="8" t="inlineStr">
        <is>
          <t>GBP</t>
        </is>
      </c>
      <c r="N544" s="10" t="n">
        <v>268.0930304301098</v>
      </c>
      <c r="O544" s="11" t="n">
        <v>1</v>
      </c>
      <c r="P544" s="10" t="n">
        <v>268.0930304301098</v>
      </c>
      <c r="Q544" s="10" t="n">
        <v>1.5</v>
      </c>
      <c r="R544" s="12" t="n">
        <v>0.021</v>
      </c>
      <c r="S544" s="13" t="inlineStr">
        <is>
          <t>Success</t>
        </is>
      </c>
      <c r="T544" s="10" t="n">
        <v>0.4021395456451647</v>
      </c>
      <c r="U544" s="10" t="n">
        <v>0.8042790912903295</v>
      </c>
      <c r="V544" s="10" t="n">
        <v>3.217116365161318</v>
      </c>
    </row>
    <row r="545">
      <c r="I545" s="8" t="inlineStr">
        <is>
          <t>ACE-10539</t>
        </is>
      </c>
      <c r="J545" s="8" t="inlineStr">
        <is>
          <t>2026-05-20 08:42:06</t>
        </is>
      </c>
      <c r="K545" s="8" t="inlineStr">
        <is>
          <t>CUST-92832</t>
        </is>
      </c>
      <c r="L545" s="9" t="inlineStr">
        <is>
          <t>GBP-PKR</t>
        </is>
      </c>
      <c r="M545" s="8" t="inlineStr">
        <is>
          <t>GBP</t>
        </is>
      </c>
      <c r="N545" s="10" t="n">
        <v>308.0982988268713</v>
      </c>
      <c r="O545" s="11" t="n">
        <v>1</v>
      </c>
      <c r="P545" s="10" t="n">
        <v>308.0982988268713</v>
      </c>
      <c r="Q545" s="10" t="n">
        <v>1.5</v>
      </c>
      <c r="R545" s="12" t="n">
        <v>0.021</v>
      </c>
      <c r="S545" s="13" t="inlineStr">
        <is>
          <t>Success</t>
        </is>
      </c>
      <c r="T545" s="10" t="n">
        <v>0.4621474482403069</v>
      </c>
      <c r="U545" s="10" t="n">
        <v>0</v>
      </c>
      <c r="V545" s="10" t="n">
        <v>3.697179585922455</v>
      </c>
    </row>
    <row r="546">
      <c r="I546" s="8" t="inlineStr">
        <is>
          <t>ACE-10540</t>
        </is>
      </c>
      <c r="J546" s="8" t="inlineStr">
        <is>
          <t>2026-05-04 14:28:24</t>
        </is>
      </c>
      <c r="K546" s="8" t="inlineStr">
        <is>
          <t>CUST-58099</t>
        </is>
      </c>
      <c r="L546" s="9" t="inlineStr">
        <is>
          <t>EUR-PKR</t>
        </is>
      </c>
      <c r="M546" s="8" t="inlineStr">
        <is>
          <t>EUR</t>
        </is>
      </c>
      <c r="N546" s="10" t="n">
        <v>178.4547174366419</v>
      </c>
      <c r="O546" s="11" t="n">
        <v>0.85</v>
      </c>
      <c r="P546" s="10" t="n">
        <v>151.6865098211456</v>
      </c>
      <c r="Q546" s="10" t="n">
        <v>1.275</v>
      </c>
      <c r="R546" s="12" t="n">
        <v>0.023</v>
      </c>
      <c r="S546" s="13" t="inlineStr">
        <is>
          <t>Success</t>
        </is>
      </c>
      <c r="T546" s="10" t="n">
        <v>0.2275297647317183</v>
      </c>
      <c r="U546" s="10" t="n">
        <v>0</v>
      </c>
      <c r="V546" s="10" t="n">
        <v>2.275297647317184</v>
      </c>
    </row>
    <row r="547">
      <c r="I547" s="8" t="inlineStr">
        <is>
          <t>ACE-10541</t>
        </is>
      </c>
      <c r="J547" s="8" t="inlineStr">
        <is>
          <t>2026-05-05 11:44:43</t>
        </is>
      </c>
      <c r="K547" s="8" t="inlineStr">
        <is>
          <t>CUST-91308</t>
        </is>
      </c>
      <c r="L547" s="9" t="inlineStr">
        <is>
          <t>GBP-PKR</t>
        </is>
      </c>
      <c r="M547" s="8" t="inlineStr">
        <is>
          <t>GBP</t>
        </is>
      </c>
      <c r="N547" s="10" t="n">
        <v>302.8867018740854</v>
      </c>
      <c r="O547" s="11" t="n">
        <v>1</v>
      </c>
      <c r="P547" s="10" t="n">
        <v>302.8867018740854</v>
      </c>
      <c r="Q547" s="10" t="n">
        <v>1.5</v>
      </c>
      <c r="R547" s="12" t="n">
        <v>0.021</v>
      </c>
      <c r="S547" s="13" t="inlineStr">
        <is>
          <t>Failed</t>
        </is>
      </c>
      <c r="T547" s="10" t="n">
        <v>0</v>
      </c>
      <c r="U547" s="10" t="n">
        <v>0</v>
      </c>
      <c r="V547" s="10" t="n">
        <v>0.5</v>
      </c>
    </row>
    <row r="548">
      <c r="I548" s="8" t="inlineStr">
        <is>
          <t>ACE-10542</t>
        </is>
      </c>
      <c r="J548" s="8" t="inlineStr">
        <is>
          <t>2026-05-14 18:06:42</t>
        </is>
      </c>
      <c r="K548" s="8" t="inlineStr">
        <is>
          <t>CUST-84098</t>
        </is>
      </c>
      <c r="L548" s="9" t="inlineStr">
        <is>
          <t>GBP-PKR</t>
        </is>
      </c>
      <c r="M548" s="8" t="inlineStr">
        <is>
          <t>GBP</t>
        </is>
      </c>
      <c r="N548" s="10" t="n">
        <v>248.8421893180522</v>
      </c>
      <c r="O548" s="11" t="n">
        <v>1</v>
      </c>
      <c r="P548" s="10" t="n">
        <v>248.8421893180522</v>
      </c>
      <c r="Q548" s="10" t="n">
        <v>1.5</v>
      </c>
      <c r="R548" s="12" t="n">
        <v>0.021</v>
      </c>
      <c r="S548" s="13" t="inlineStr">
        <is>
          <t>Success</t>
        </is>
      </c>
      <c r="T548" s="10" t="n">
        <v>0.3732632839770783</v>
      </c>
      <c r="U548" s="10" t="n">
        <v>0.7465265679541565</v>
      </c>
      <c r="V548" s="10" t="n">
        <v>2.986106271816626</v>
      </c>
    </row>
    <row r="549">
      <c r="I549" s="8" t="inlineStr">
        <is>
          <t>ACE-10543</t>
        </is>
      </c>
      <c r="J549" s="8" t="inlineStr">
        <is>
          <t>2026-05-05 14:53:57</t>
        </is>
      </c>
      <c r="K549" s="8" t="inlineStr">
        <is>
          <t>CUST-56875</t>
        </is>
      </c>
      <c r="L549" s="9" t="inlineStr">
        <is>
          <t>GBP-PKR</t>
        </is>
      </c>
      <c r="M549" s="8" t="inlineStr">
        <is>
          <t>GBP</t>
        </is>
      </c>
      <c r="N549" s="10" t="n">
        <v>293.7620309251972</v>
      </c>
      <c r="O549" s="11" t="n">
        <v>1</v>
      </c>
      <c r="P549" s="10" t="n">
        <v>293.7620309251972</v>
      </c>
      <c r="Q549" s="10" t="n">
        <v>1.5</v>
      </c>
      <c r="R549" s="12" t="n">
        <v>0.021</v>
      </c>
      <c r="S549" s="13" t="inlineStr">
        <is>
          <t>Success</t>
        </is>
      </c>
      <c r="T549" s="10" t="n">
        <v>0.4406430463877958</v>
      </c>
      <c r="U549" s="10" t="n">
        <v>0.8812860927755917</v>
      </c>
      <c r="V549" s="10" t="n">
        <v>3.525144371102367</v>
      </c>
    </row>
    <row r="550">
      <c r="I550" s="8" t="inlineStr">
        <is>
          <t>ACE-10544</t>
        </is>
      </c>
      <c r="J550" s="8" t="inlineStr">
        <is>
          <t>2026-05-10 09:50:06</t>
        </is>
      </c>
      <c r="K550" s="8" t="inlineStr">
        <is>
          <t>CUST-82619</t>
        </is>
      </c>
      <c r="L550" s="9" t="inlineStr">
        <is>
          <t>GBP-PKR</t>
        </is>
      </c>
      <c r="M550" s="8" t="inlineStr">
        <is>
          <t>GBP</t>
        </is>
      </c>
      <c r="N550" s="10" t="n">
        <v>321.8052230741671</v>
      </c>
      <c r="O550" s="11" t="n">
        <v>1</v>
      </c>
      <c r="P550" s="10" t="n">
        <v>321.8052230741671</v>
      </c>
      <c r="Q550" s="10" t="n">
        <v>1.5</v>
      </c>
      <c r="R550" s="12" t="n">
        <v>0.021</v>
      </c>
      <c r="S550" s="13" t="inlineStr">
        <is>
          <t>Success</t>
        </is>
      </c>
      <c r="T550" s="10" t="n">
        <v>0.4827078346112507</v>
      </c>
      <c r="U550" s="10" t="n">
        <v>0</v>
      </c>
      <c r="V550" s="10" t="n">
        <v>3.861662676890006</v>
      </c>
    </row>
    <row r="551">
      <c r="I551" s="8" t="inlineStr">
        <is>
          <t>ACE-10545</t>
        </is>
      </c>
      <c r="J551" s="8" t="inlineStr">
        <is>
          <t>2026-05-09 16:12:22</t>
        </is>
      </c>
      <c r="K551" s="8" t="inlineStr">
        <is>
          <t>CUST-96100</t>
        </is>
      </c>
      <c r="L551" s="9" t="inlineStr">
        <is>
          <t>GBP-PKR</t>
        </is>
      </c>
      <c r="M551" s="8" t="inlineStr">
        <is>
          <t>GBP</t>
        </is>
      </c>
      <c r="N551" s="10" t="n">
        <v>217.5927405879162</v>
      </c>
      <c r="O551" s="11" t="n">
        <v>1</v>
      </c>
      <c r="P551" s="10" t="n">
        <v>217.5927405879162</v>
      </c>
      <c r="Q551" s="10" t="n">
        <v>1.5</v>
      </c>
      <c r="R551" s="12" t="n">
        <v>0.021</v>
      </c>
      <c r="S551" s="13" t="inlineStr">
        <is>
          <t>Success</t>
        </is>
      </c>
      <c r="T551" s="10" t="n">
        <v>0.3263891108818742</v>
      </c>
      <c r="U551" s="10" t="n">
        <v>0</v>
      </c>
      <c r="V551" s="10" t="n">
        <v>2.611112887054994</v>
      </c>
    </row>
    <row r="552">
      <c r="I552" s="8" t="inlineStr">
        <is>
          <t>ACE-10546</t>
        </is>
      </c>
      <c r="J552" s="8" t="inlineStr">
        <is>
          <t>2026-05-18 15:58:13</t>
        </is>
      </c>
      <c r="K552" s="8" t="inlineStr">
        <is>
          <t>CUST-95102</t>
        </is>
      </c>
      <c r="L552" s="9" t="inlineStr">
        <is>
          <t>GBP-PKR</t>
        </is>
      </c>
      <c r="M552" s="8" t="inlineStr">
        <is>
          <t>GBP</t>
        </is>
      </c>
      <c r="N552" s="10" t="n">
        <v>257.263300916939</v>
      </c>
      <c r="O552" s="11" t="n">
        <v>1</v>
      </c>
      <c r="P552" s="10" t="n">
        <v>257.263300916939</v>
      </c>
      <c r="Q552" s="10" t="n">
        <v>1.5</v>
      </c>
      <c r="R552" s="12" t="n">
        <v>0.021</v>
      </c>
      <c r="S552" s="13" t="inlineStr">
        <is>
          <t>Success</t>
        </is>
      </c>
      <c r="T552" s="10" t="n">
        <v>0.3858949513754086</v>
      </c>
      <c r="U552" s="10" t="n">
        <v>0</v>
      </c>
      <c r="V552" s="10" t="n">
        <v>3.087159611003269</v>
      </c>
    </row>
    <row r="553">
      <c r="I553" s="8" t="inlineStr">
        <is>
          <t>ACE-10547</t>
        </is>
      </c>
      <c r="J553" s="8" t="inlineStr">
        <is>
          <t>2026-05-01 08:42:05</t>
        </is>
      </c>
      <c r="K553" s="8" t="inlineStr">
        <is>
          <t>CUST-57237</t>
        </is>
      </c>
      <c r="L553" s="9" t="inlineStr">
        <is>
          <t>GBP-PKR</t>
        </is>
      </c>
      <c r="M553" s="8" t="inlineStr">
        <is>
          <t>GBP</t>
        </is>
      </c>
      <c r="N553" s="10" t="n">
        <v>295.1538706816888</v>
      </c>
      <c r="O553" s="11" t="n">
        <v>1</v>
      </c>
      <c r="P553" s="10" t="n">
        <v>295.1538706816888</v>
      </c>
      <c r="Q553" s="10" t="n">
        <v>1.5</v>
      </c>
      <c r="R553" s="12" t="n">
        <v>0.021</v>
      </c>
      <c r="S553" s="13" t="inlineStr">
        <is>
          <t>Success</t>
        </is>
      </c>
      <c r="T553" s="10" t="n">
        <v>0.4427308060225332</v>
      </c>
      <c r="U553" s="10" t="n">
        <v>0.8854616120450665</v>
      </c>
      <c r="V553" s="10" t="n">
        <v>3.541846448180266</v>
      </c>
    </row>
    <row r="554">
      <c r="I554" s="8" t="inlineStr">
        <is>
          <t>ACE-10548</t>
        </is>
      </c>
      <c r="J554" s="8" t="inlineStr">
        <is>
          <t>2026-05-05 09:49:32</t>
        </is>
      </c>
      <c r="K554" s="8" t="inlineStr">
        <is>
          <t>CUST-54918</t>
        </is>
      </c>
      <c r="L554" s="9" t="inlineStr">
        <is>
          <t>GBP-PKR</t>
        </is>
      </c>
      <c r="M554" s="8" t="inlineStr">
        <is>
          <t>GBP</t>
        </is>
      </c>
      <c r="N554" s="10" t="n">
        <v>273.0036225647719</v>
      </c>
      <c r="O554" s="11" t="n">
        <v>1</v>
      </c>
      <c r="P554" s="10" t="n">
        <v>273.0036225647719</v>
      </c>
      <c r="Q554" s="10" t="n">
        <v>1.5</v>
      </c>
      <c r="R554" s="12" t="n">
        <v>0.021</v>
      </c>
      <c r="S554" s="13" t="inlineStr">
        <is>
          <t>Success</t>
        </is>
      </c>
      <c r="T554" s="10" t="n">
        <v>0.4095054338471578</v>
      </c>
      <c r="U554" s="10" t="n">
        <v>0</v>
      </c>
      <c r="V554" s="10" t="n">
        <v>3.276043470777263</v>
      </c>
    </row>
    <row r="555">
      <c r="I555" s="8" t="inlineStr">
        <is>
          <t>ACE-10549</t>
        </is>
      </c>
      <c r="J555" s="8" t="inlineStr">
        <is>
          <t>2026-05-09 18:14:29</t>
        </is>
      </c>
      <c r="K555" s="8" t="inlineStr">
        <is>
          <t>CUST-69400</t>
        </is>
      </c>
      <c r="L555" s="9" t="inlineStr">
        <is>
          <t>GBP-PKR</t>
        </is>
      </c>
      <c r="M555" s="8" t="inlineStr">
        <is>
          <t>GBP</t>
        </is>
      </c>
      <c r="N555" s="10" t="n">
        <v>289.1380311443292</v>
      </c>
      <c r="O555" s="11" t="n">
        <v>1</v>
      </c>
      <c r="P555" s="10" t="n">
        <v>289.1380311443292</v>
      </c>
      <c r="Q555" s="10" t="n">
        <v>1.5</v>
      </c>
      <c r="R555" s="12" t="n">
        <v>0.021</v>
      </c>
      <c r="S555" s="13" t="inlineStr">
        <is>
          <t>Success</t>
        </is>
      </c>
      <c r="T555" s="10" t="n">
        <v>0.4337070467164938</v>
      </c>
      <c r="U555" s="10" t="n">
        <v>0</v>
      </c>
      <c r="V555" s="10" t="n">
        <v>3.46965637373195</v>
      </c>
    </row>
    <row r="556">
      <c r="I556" s="8" t="inlineStr">
        <is>
          <t>ACE-10550</t>
        </is>
      </c>
      <c r="J556" s="8" t="inlineStr">
        <is>
          <t>2026-05-06 08:54:18</t>
        </is>
      </c>
      <c r="K556" s="8" t="inlineStr">
        <is>
          <t>CUST-73607</t>
        </is>
      </c>
      <c r="L556" s="9" t="inlineStr">
        <is>
          <t>EUR-PKR</t>
        </is>
      </c>
      <c r="M556" s="8" t="inlineStr">
        <is>
          <t>EUR</t>
        </is>
      </c>
      <c r="N556" s="10" t="n">
        <v>177.9718787906228</v>
      </c>
      <c r="O556" s="11" t="n">
        <v>0.85</v>
      </c>
      <c r="P556" s="10" t="n">
        <v>151.2760969720294</v>
      </c>
      <c r="Q556" s="10" t="n">
        <v>1.275</v>
      </c>
      <c r="R556" s="12" t="n">
        <v>0.023</v>
      </c>
      <c r="S556" s="13" t="inlineStr">
        <is>
          <t>Success</t>
        </is>
      </c>
      <c r="T556" s="10" t="n">
        <v>0.2269141454580441</v>
      </c>
      <c r="U556" s="10" t="n">
        <v>0</v>
      </c>
      <c r="V556" s="10" t="n">
        <v>2.269141454580441</v>
      </c>
    </row>
    <row r="557">
      <c r="I557" s="8" t="inlineStr">
        <is>
          <t>ACE-10551</t>
        </is>
      </c>
      <c r="J557" s="8" t="inlineStr">
        <is>
          <t>2026-05-24 09:06:54</t>
        </is>
      </c>
      <c r="K557" s="8" t="inlineStr">
        <is>
          <t>CUST-99689</t>
        </is>
      </c>
      <c r="L557" s="9" t="inlineStr">
        <is>
          <t>GBP-PKR</t>
        </is>
      </c>
      <c r="M557" s="8" t="inlineStr">
        <is>
          <t>GBP</t>
        </is>
      </c>
      <c r="N557" s="10" t="n">
        <v>281.0263906749538</v>
      </c>
      <c r="O557" s="11" t="n">
        <v>1</v>
      </c>
      <c r="P557" s="10" t="n">
        <v>281.0263906749538</v>
      </c>
      <c r="Q557" s="10" t="n">
        <v>1.5</v>
      </c>
      <c r="R557" s="12" t="n">
        <v>0.021</v>
      </c>
      <c r="S557" s="13" t="inlineStr">
        <is>
          <t>Success</t>
        </is>
      </c>
      <c r="T557" s="10" t="n">
        <v>0.4215395860124307</v>
      </c>
      <c r="U557" s="10" t="n">
        <v>0</v>
      </c>
      <c r="V557" s="10" t="n">
        <v>3.372316688099446</v>
      </c>
    </row>
    <row r="558">
      <c r="I558" s="8" t="inlineStr">
        <is>
          <t>ACE-10552</t>
        </is>
      </c>
      <c r="J558" s="8" t="inlineStr">
        <is>
          <t>2026-05-05 18:41:10</t>
        </is>
      </c>
      <c r="K558" s="8" t="inlineStr">
        <is>
          <t>CUST-71539</t>
        </is>
      </c>
      <c r="L558" s="9" t="inlineStr">
        <is>
          <t>GBP-PKR</t>
        </is>
      </c>
      <c r="M558" s="8" t="inlineStr">
        <is>
          <t>GBP</t>
        </is>
      </c>
      <c r="N558" s="10" t="n">
        <v>274.2998578266394</v>
      </c>
      <c r="O558" s="11" t="n">
        <v>1</v>
      </c>
      <c r="P558" s="10" t="n">
        <v>274.2998578266394</v>
      </c>
      <c r="Q558" s="10" t="n">
        <v>1.5</v>
      </c>
      <c r="R558" s="12" t="n">
        <v>0.021</v>
      </c>
      <c r="S558" s="13" t="inlineStr">
        <is>
          <t>Success</t>
        </is>
      </c>
      <c r="T558" s="10" t="n">
        <v>0.4114497867399591</v>
      </c>
      <c r="U558" s="10" t="n">
        <v>0</v>
      </c>
      <c r="V558" s="10" t="n">
        <v>3.291598293919673</v>
      </c>
    </row>
    <row r="559">
      <c r="I559" s="8" t="inlineStr">
        <is>
          <t>ACE-10553</t>
        </is>
      </c>
      <c r="J559" s="8" t="inlineStr">
        <is>
          <t>2026-05-20 12:56:46</t>
        </is>
      </c>
      <c r="K559" s="8" t="inlineStr">
        <is>
          <t>CUST-56091</t>
        </is>
      </c>
      <c r="L559" s="9" t="inlineStr">
        <is>
          <t>GBP-PKR</t>
        </is>
      </c>
      <c r="M559" s="8" t="inlineStr">
        <is>
          <t>GBP</t>
        </is>
      </c>
      <c r="N559" s="10" t="n">
        <v>313.1141464915725</v>
      </c>
      <c r="O559" s="11" t="n">
        <v>1</v>
      </c>
      <c r="P559" s="10" t="n">
        <v>313.1141464915725</v>
      </c>
      <c r="Q559" s="10" t="n">
        <v>1.5</v>
      </c>
      <c r="R559" s="12" t="n">
        <v>0.021</v>
      </c>
      <c r="S559" s="13" t="inlineStr">
        <is>
          <t>Success</t>
        </is>
      </c>
      <c r="T559" s="10" t="n">
        <v>0.4696712197373587</v>
      </c>
      <c r="U559" s="10" t="n">
        <v>0</v>
      </c>
      <c r="V559" s="10" t="n">
        <v>3.75736975789887</v>
      </c>
    </row>
    <row r="560">
      <c r="I560" s="8" t="inlineStr">
        <is>
          <t>ACE-10554</t>
        </is>
      </c>
      <c r="J560" s="8" t="inlineStr">
        <is>
          <t>2026-05-04 14:25:29</t>
        </is>
      </c>
      <c r="K560" s="8" t="inlineStr">
        <is>
          <t>CUST-67814</t>
        </is>
      </c>
      <c r="L560" s="9" t="inlineStr">
        <is>
          <t>USD-PKR</t>
        </is>
      </c>
      <c r="M560" s="8" t="inlineStr">
        <is>
          <t>USD</t>
        </is>
      </c>
      <c r="N560" s="10" t="n">
        <v>224.5435400473719</v>
      </c>
      <c r="O560" s="11" t="n">
        <v>0.8</v>
      </c>
      <c r="P560" s="10" t="n">
        <v>179.6348320378976</v>
      </c>
      <c r="Q560" s="10" t="n">
        <v>1.6</v>
      </c>
      <c r="R560" s="12" t="n">
        <v>0.019</v>
      </c>
      <c r="S560" s="13" t="inlineStr">
        <is>
          <t>Success</t>
        </is>
      </c>
      <c r="T560" s="10" t="n">
        <v>0.2694522480568464</v>
      </c>
      <c r="U560" s="10" t="n">
        <v>0.5389044961136927</v>
      </c>
      <c r="V560" s="10" t="n">
        <v>2.155617984454771</v>
      </c>
    </row>
    <row r="561">
      <c r="I561" s="8" t="inlineStr">
        <is>
          <t>ACE-10555</t>
        </is>
      </c>
      <c r="J561" s="8" t="inlineStr">
        <is>
          <t>2026-05-16 20:26:41</t>
        </is>
      </c>
      <c r="K561" s="8" t="inlineStr">
        <is>
          <t>CUST-60930</t>
        </is>
      </c>
      <c r="L561" s="9" t="inlineStr">
        <is>
          <t>GBP-PKR</t>
        </is>
      </c>
      <c r="M561" s="8" t="inlineStr">
        <is>
          <t>GBP</t>
        </is>
      </c>
      <c r="N561" s="10" t="n">
        <v>288.1697941338597</v>
      </c>
      <c r="O561" s="11" t="n">
        <v>1</v>
      </c>
      <c r="P561" s="10" t="n">
        <v>288.1697941338597</v>
      </c>
      <c r="Q561" s="10" t="n">
        <v>1.5</v>
      </c>
      <c r="R561" s="12" t="n">
        <v>0.021</v>
      </c>
      <c r="S561" s="13" t="inlineStr">
        <is>
          <t>Success</t>
        </is>
      </c>
      <c r="T561" s="10" t="n">
        <v>0.4322546912007896</v>
      </c>
      <c r="U561" s="10" t="n">
        <v>0.8645093824015793</v>
      </c>
      <c r="V561" s="10" t="n">
        <v>3.458037529606317</v>
      </c>
    </row>
    <row r="562">
      <c r="I562" s="8" t="inlineStr">
        <is>
          <t>ACE-10556</t>
        </is>
      </c>
      <c r="J562" s="8" t="inlineStr">
        <is>
          <t>2026-05-02 10:06:26</t>
        </is>
      </c>
      <c r="K562" s="8" t="inlineStr">
        <is>
          <t>CUST-88715</t>
        </is>
      </c>
      <c r="L562" s="9" t="inlineStr">
        <is>
          <t>GBP-PKR</t>
        </is>
      </c>
      <c r="M562" s="8" t="inlineStr">
        <is>
          <t>GBP</t>
        </is>
      </c>
      <c r="N562" s="10" t="n">
        <v>267.3615618441258</v>
      </c>
      <c r="O562" s="11" t="n">
        <v>1</v>
      </c>
      <c r="P562" s="10" t="n">
        <v>267.3615618441258</v>
      </c>
      <c r="Q562" s="10" t="n">
        <v>1.5</v>
      </c>
      <c r="R562" s="12" t="n">
        <v>0.021</v>
      </c>
      <c r="S562" s="13" t="inlineStr">
        <is>
          <t>Success</t>
        </is>
      </c>
      <c r="T562" s="10" t="n">
        <v>0.4010423427661888</v>
      </c>
      <c r="U562" s="10" t="n">
        <v>0</v>
      </c>
      <c r="V562" s="10" t="n">
        <v>3.20833874212951</v>
      </c>
    </row>
    <row r="563">
      <c r="I563" s="8" t="inlineStr">
        <is>
          <t>ACE-10557</t>
        </is>
      </c>
      <c r="J563" s="8" t="inlineStr">
        <is>
          <t>2026-05-15 10:39:24</t>
        </is>
      </c>
      <c r="K563" s="8" t="inlineStr">
        <is>
          <t>CUST-73501</t>
        </is>
      </c>
      <c r="L563" s="9" t="inlineStr">
        <is>
          <t>GBP-PKR</t>
        </is>
      </c>
      <c r="M563" s="8" t="inlineStr">
        <is>
          <t>GBP</t>
        </is>
      </c>
      <c r="N563" s="10" t="n">
        <v>265.3444997463726</v>
      </c>
      <c r="O563" s="11" t="n">
        <v>1</v>
      </c>
      <c r="P563" s="10" t="n">
        <v>265.3444997463726</v>
      </c>
      <c r="Q563" s="10" t="n">
        <v>1.5</v>
      </c>
      <c r="R563" s="12" t="n">
        <v>0.021</v>
      </c>
      <c r="S563" s="13" t="inlineStr">
        <is>
          <t>Success</t>
        </is>
      </c>
      <c r="T563" s="10" t="n">
        <v>0.3980167496195589</v>
      </c>
      <c r="U563" s="10" t="n">
        <v>0.7960334992391178</v>
      </c>
      <c r="V563" s="10" t="n">
        <v>3.184133996956471</v>
      </c>
    </row>
    <row r="564">
      <c r="I564" s="8" t="inlineStr">
        <is>
          <t>ACE-10558</t>
        </is>
      </c>
      <c r="J564" s="8" t="inlineStr">
        <is>
          <t>2026-05-24 10:30:58</t>
        </is>
      </c>
      <c r="K564" s="8" t="inlineStr">
        <is>
          <t>CUST-81989</t>
        </is>
      </c>
      <c r="L564" s="9" t="inlineStr">
        <is>
          <t>USD-PKR</t>
        </is>
      </c>
      <c r="M564" s="8" t="inlineStr">
        <is>
          <t>USD</t>
        </is>
      </c>
      <c r="N564" s="10" t="n">
        <v>209.6357975224644</v>
      </c>
      <c r="O564" s="11" t="n">
        <v>0.8</v>
      </c>
      <c r="P564" s="10" t="n">
        <v>167.7086380179715</v>
      </c>
      <c r="Q564" s="10" t="n">
        <v>1.6</v>
      </c>
      <c r="R564" s="12" t="n">
        <v>0.019</v>
      </c>
      <c r="S564" s="13" t="inlineStr">
        <is>
          <t>Success</t>
        </is>
      </c>
      <c r="T564" s="10" t="n">
        <v>0.2515629570269572</v>
      </c>
      <c r="U564" s="10" t="n">
        <v>0</v>
      </c>
      <c r="V564" s="10" t="n">
        <v>2.012503656215658</v>
      </c>
    </row>
    <row r="565">
      <c r="I565" s="8" t="inlineStr">
        <is>
          <t>ACE-10559</t>
        </is>
      </c>
      <c r="J565" s="8" t="inlineStr">
        <is>
          <t>2026-05-02 09:16:41</t>
        </is>
      </c>
      <c r="K565" s="8" t="inlineStr">
        <is>
          <t>CUST-70593</t>
        </is>
      </c>
      <c r="L565" s="9" t="inlineStr">
        <is>
          <t>GBP-PKR</t>
        </is>
      </c>
      <c r="M565" s="8" t="inlineStr">
        <is>
          <t>GBP</t>
        </is>
      </c>
      <c r="N565" s="10" t="n">
        <v>289.8126899012677</v>
      </c>
      <c r="O565" s="11" t="n">
        <v>1</v>
      </c>
      <c r="P565" s="10" t="n">
        <v>289.8126899012677</v>
      </c>
      <c r="Q565" s="10" t="n">
        <v>1.5</v>
      </c>
      <c r="R565" s="12" t="n">
        <v>0.021</v>
      </c>
      <c r="S565" s="13" t="inlineStr">
        <is>
          <t>Failed</t>
        </is>
      </c>
      <c r="T565" s="10" t="n">
        <v>0</v>
      </c>
      <c r="U565" s="10" t="n">
        <v>0</v>
      </c>
      <c r="V565" s="10" t="n">
        <v>0.5</v>
      </c>
    </row>
    <row r="566">
      <c r="I566" s="8" t="inlineStr">
        <is>
          <t>ACE-10560</t>
        </is>
      </c>
      <c r="J566" s="8" t="inlineStr">
        <is>
          <t>2026-05-22 16:49:47</t>
        </is>
      </c>
      <c r="K566" s="8" t="inlineStr">
        <is>
          <t>CUST-87791</t>
        </is>
      </c>
      <c r="L566" s="9" t="inlineStr">
        <is>
          <t>GBP-PKR</t>
        </is>
      </c>
      <c r="M566" s="8" t="inlineStr">
        <is>
          <t>GBP</t>
        </is>
      </c>
      <c r="N566" s="10" t="n">
        <v>267.118172759021</v>
      </c>
      <c r="O566" s="11" t="n">
        <v>1</v>
      </c>
      <c r="P566" s="10" t="n">
        <v>267.118172759021</v>
      </c>
      <c r="Q566" s="10" t="n">
        <v>1.5</v>
      </c>
      <c r="R566" s="12" t="n">
        <v>0.021</v>
      </c>
      <c r="S566" s="13" t="inlineStr">
        <is>
          <t>Success</t>
        </is>
      </c>
      <c r="T566" s="10" t="n">
        <v>0.4006772591385315</v>
      </c>
      <c r="U566" s="10" t="n">
        <v>0</v>
      </c>
      <c r="V566" s="10" t="n">
        <v>3.205418073108252</v>
      </c>
    </row>
    <row r="567">
      <c r="I567" s="8" t="inlineStr">
        <is>
          <t>ACE-10561</t>
        </is>
      </c>
      <c r="J567" s="8" t="inlineStr">
        <is>
          <t>2026-05-22 13:33:33</t>
        </is>
      </c>
      <c r="K567" s="8" t="inlineStr">
        <is>
          <t>CUST-95104</t>
        </is>
      </c>
      <c r="L567" s="9" t="inlineStr">
        <is>
          <t>GBP-PKR</t>
        </is>
      </c>
      <c r="M567" s="8" t="inlineStr">
        <is>
          <t>GBP</t>
        </is>
      </c>
      <c r="N567" s="10" t="n">
        <v>286.7948319488304</v>
      </c>
      <c r="O567" s="11" t="n">
        <v>1</v>
      </c>
      <c r="P567" s="10" t="n">
        <v>286.7948319488304</v>
      </c>
      <c r="Q567" s="10" t="n">
        <v>1.5</v>
      </c>
      <c r="R567" s="12" t="n">
        <v>0.021</v>
      </c>
      <c r="S567" s="13" t="inlineStr">
        <is>
          <t>Success</t>
        </is>
      </c>
      <c r="T567" s="10" t="n">
        <v>0.4301922479232457</v>
      </c>
      <c r="U567" s="10" t="n">
        <v>0</v>
      </c>
      <c r="V567" s="10" t="n">
        <v>3.441537983385965</v>
      </c>
    </row>
    <row r="568">
      <c r="I568" s="8" t="inlineStr">
        <is>
          <t>ACE-10562</t>
        </is>
      </c>
      <c r="J568" s="8" t="inlineStr">
        <is>
          <t>2026-05-22 19:15:30</t>
        </is>
      </c>
      <c r="K568" s="8" t="inlineStr">
        <is>
          <t>CUST-72659</t>
        </is>
      </c>
      <c r="L568" s="9" t="inlineStr">
        <is>
          <t>EUR-PKR</t>
        </is>
      </c>
      <c r="M568" s="8" t="inlineStr">
        <is>
          <t>EUR</t>
        </is>
      </c>
      <c r="N568" s="10" t="n">
        <v>232.656740836955</v>
      </c>
      <c r="O568" s="11" t="n">
        <v>0.85</v>
      </c>
      <c r="P568" s="10" t="n">
        <v>197.7582297114117</v>
      </c>
      <c r="Q568" s="10" t="n">
        <v>1.275</v>
      </c>
      <c r="R568" s="12" t="n">
        <v>0.023</v>
      </c>
      <c r="S568" s="13" t="inlineStr">
        <is>
          <t>Success</t>
        </is>
      </c>
      <c r="T568" s="10" t="n">
        <v>0.2966373445671176</v>
      </c>
      <c r="U568" s="10" t="n">
        <v>0.5932746891342352</v>
      </c>
      <c r="V568" s="10" t="n">
        <v>2.966373445671176</v>
      </c>
    </row>
    <row r="569">
      <c r="I569" s="8" t="inlineStr">
        <is>
          <t>ACE-10563</t>
        </is>
      </c>
      <c r="J569" s="8" t="inlineStr">
        <is>
          <t>2026-05-05 16:57:39</t>
        </is>
      </c>
      <c r="K569" s="8" t="inlineStr">
        <is>
          <t>CUST-53576</t>
        </is>
      </c>
      <c r="L569" s="9" t="inlineStr">
        <is>
          <t>GBP-PKR</t>
        </is>
      </c>
      <c r="M569" s="8" t="inlineStr">
        <is>
          <t>GBP</t>
        </is>
      </c>
      <c r="N569" s="10" t="n">
        <v>303.9618115191033</v>
      </c>
      <c r="O569" s="11" t="n">
        <v>1</v>
      </c>
      <c r="P569" s="10" t="n">
        <v>303.9618115191033</v>
      </c>
      <c r="Q569" s="10" t="n">
        <v>1.5</v>
      </c>
      <c r="R569" s="12" t="n">
        <v>0.021</v>
      </c>
      <c r="S569" s="13" t="inlineStr">
        <is>
          <t>Failed</t>
        </is>
      </c>
      <c r="T569" s="10" t="n">
        <v>0</v>
      </c>
      <c r="U569" s="10" t="n">
        <v>0</v>
      </c>
      <c r="V569" s="10" t="n">
        <v>0.5</v>
      </c>
    </row>
    <row r="570">
      <c r="I570" s="8" t="inlineStr">
        <is>
          <t>ACE-10564</t>
        </is>
      </c>
      <c r="J570" s="8" t="inlineStr">
        <is>
          <t>2026-05-06 16:54:30</t>
        </is>
      </c>
      <c r="K570" s="8" t="inlineStr">
        <is>
          <t>CUST-82495</t>
        </is>
      </c>
      <c r="L570" s="9" t="inlineStr">
        <is>
          <t>USD-PKR</t>
        </is>
      </c>
      <c r="M570" s="8" t="inlineStr">
        <is>
          <t>USD</t>
        </is>
      </c>
      <c r="N570" s="10" t="n">
        <v>211.8810840781595</v>
      </c>
      <c r="O570" s="11" t="n">
        <v>0.8</v>
      </c>
      <c r="P570" s="10" t="n">
        <v>169.5048672625277</v>
      </c>
      <c r="Q570" s="10" t="n">
        <v>1.6</v>
      </c>
      <c r="R570" s="12" t="n">
        <v>0.019</v>
      </c>
      <c r="S570" s="13" t="inlineStr">
        <is>
          <t>Success</t>
        </is>
      </c>
      <c r="T570" s="10" t="n">
        <v>0.2542573008937915</v>
      </c>
      <c r="U570" s="10" t="n">
        <v>0</v>
      </c>
      <c r="V570" s="10" t="n">
        <v>2.034058407150332</v>
      </c>
    </row>
    <row r="571">
      <c r="I571" s="8" t="inlineStr">
        <is>
          <t>ACE-10565</t>
        </is>
      </c>
      <c r="J571" s="8" t="inlineStr">
        <is>
          <t>2026-05-16 13:15:21</t>
        </is>
      </c>
      <c r="K571" s="8" t="inlineStr">
        <is>
          <t>CUST-68229</t>
        </is>
      </c>
      <c r="L571" s="9" t="inlineStr">
        <is>
          <t>USD-PKR</t>
        </is>
      </c>
      <c r="M571" s="8" t="inlineStr">
        <is>
          <t>USD</t>
        </is>
      </c>
      <c r="N571" s="10" t="n">
        <v>246.842119159103</v>
      </c>
      <c r="O571" s="11" t="n">
        <v>0.8</v>
      </c>
      <c r="P571" s="10" t="n">
        <v>197.4736953272824</v>
      </c>
      <c r="Q571" s="10" t="n">
        <v>1.6</v>
      </c>
      <c r="R571" s="12" t="n">
        <v>0.019</v>
      </c>
      <c r="S571" s="13" t="inlineStr">
        <is>
          <t>Success</t>
        </is>
      </c>
      <c r="T571" s="10" t="n">
        <v>0.2962105429909236</v>
      </c>
      <c r="U571" s="10" t="n">
        <v>0</v>
      </c>
      <c r="V571" s="10" t="n">
        <v>2.369684343927389</v>
      </c>
    </row>
    <row r="572">
      <c r="I572" s="8" t="inlineStr">
        <is>
          <t>ACE-10566</t>
        </is>
      </c>
      <c r="J572" s="8" t="inlineStr">
        <is>
          <t>2026-05-21 14:25:52</t>
        </is>
      </c>
      <c r="K572" s="8" t="inlineStr">
        <is>
          <t>CUST-65400</t>
        </is>
      </c>
      <c r="L572" s="9" t="inlineStr">
        <is>
          <t>EUR-PKR</t>
        </is>
      </c>
      <c r="M572" s="8" t="inlineStr">
        <is>
          <t>EUR</t>
        </is>
      </c>
      <c r="N572" s="10" t="n">
        <v>181.4929000682183</v>
      </c>
      <c r="O572" s="11" t="n">
        <v>0.85</v>
      </c>
      <c r="P572" s="10" t="n">
        <v>154.2689650579856</v>
      </c>
      <c r="Q572" s="10" t="n">
        <v>1.275</v>
      </c>
      <c r="R572" s="12" t="n">
        <v>0.023</v>
      </c>
      <c r="S572" s="13" t="inlineStr">
        <is>
          <t>Success</t>
        </is>
      </c>
      <c r="T572" s="10" t="n">
        <v>0.2314034475869783</v>
      </c>
      <c r="U572" s="10" t="n">
        <v>0</v>
      </c>
      <c r="V572" s="10" t="n">
        <v>2.314034475869783</v>
      </c>
    </row>
    <row r="573">
      <c r="I573" s="8" t="inlineStr">
        <is>
          <t>ACE-10567</t>
        </is>
      </c>
      <c r="J573" s="8" t="inlineStr">
        <is>
          <t>2026-05-19 15:05:54</t>
        </is>
      </c>
      <c r="K573" s="8" t="inlineStr">
        <is>
          <t>CUST-82666</t>
        </is>
      </c>
      <c r="L573" s="9" t="inlineStr">
        <is>
          <t>GBP-PKR</t>
        </is>
      </c>
      <c r="M573" s="8" t="inlineStr">
        <is>
          <t>GBP</t>
        </is>
      </c>
      <c r="N573" s="10" t="n">
        <v>227.2332787861678</v>
      </c>
      <c r="O573" s="11" t="n">
        <v>1</v>
      </c>
      <c r="P573" s="10" t="n">
        <v>227.2332787861678</v>
      </c>
      <c r="Q573" s="10" t="n">
        <v>1.5</v>
      </c>
      <c r="R573" s="12" t="n">
        <v>0.021</v>
      </c>
      <c r="S573" s="13" t="inlineStr">
        <is>
          <t>Success</t>
        </is>
      </c>
      <c r="T573" s="10" t="n">
        <v>0.3408499181792516</v>
      </c>
      <c r="U573" s="10" t="n">
        <v>0</v>
      </c>
      <c r="V573" s="10" t="n">
        <v>2.726799345434013</v>
      </c>
    </row>
    <row r="574">
      <c r="I574" s="8" t="inlineStr">
        <is>
          <t>ACE-10568</t>
        </is>
      </c>
      <c r="J574" s="8" t="inlineStr">
        <is>
          <t>2026-05-16 19:41:01</t>
        </is>
      </c>
      <c r="K574" s="8" t="inlineStr">
        <is>
          <t>CUST-56726</t>
        </is>
      </c>
      <c r="L574" s="9" t="inlineStr">
        <is>
          <t>GBP-PKR</t>
        </is>
      </c>
      <c r="M574" s="8" t="inlineStr">
        <is>
          <t>GBP</t>
        </is>
      </c>
      <c r="N574" s="10" t="n">
        <v>251.8871002086123</v>
      </c>
      <c r="O574" s="11" t="n">
        <v>1</v>
      </c>
      <c r="P574" s="10" t="n">
        <v>251.8871002086123</v>
      </c>
      <c r="Q574" s="10" t="n">
        <v>1.5</v>
      </c>
      <c r="R574" s="12" t="n">
        <v>0.021</v>
      </c>
      <c r="S574" s="13" t="inlineStr">
        <is>
          <t>Success</t>
        </is>
      </c>
      <c r="T574" s="10" t="n">
        <v>0.3778306503129185</v>
      </c>
      <c r="U574" s="10" t="n">
        <v>0</v>
      </c>
      <c r="V574" s="10" t="n">
        <v>3.022645202503348</v>
      </c>
    </row>
    <row r="575">
      <c r="I575" s="8" t="inlineStr">
        <is>
          <t>ACE-10569</t>
        </is>
      </c>
      <c r="J575" s="8" t="inlineStr">
        <is>
          <t>2026-05-18 08:52:05</t>
        </is>
      </c>
      <c r="K575" s="8" t="inlineStr">
        <is>
          <t>CUST-89597</t>
        </is>
      </c>
      <c r="L575" s="9" t="inlineStr">
        <is>
          <t>GBP-PKR</t>
        </is>
      </c>
      <c r="M575" s="8" t="inlineStr">
        <is>
          <t>GBP</t>
        </is>
      </c>
      <c r="N575" s="10" t="n">
        <v>231.0676237221325</v>
      </c>
      <c r="O575" s="11" t="n">
        <v>1</v>
      </c>
      <c r="P575" s="10" t="n">
        <v>231.0676237221325</v>
      </c>
      <c r="Q575" s="10" t="n">
        <v>1.5</v>
      </c>
      <c r="R575" s="12" t="n">
        <v>0.021</v>
      </c>
      <c r="S575" s="13" t="inlineStr">
        <is>
          <t>Success</t>
        </is>
      </c>
      <c r="T575" s="10" t="n">
        <v>0.3466014355831987</v>
      </c>
      <c r="U575" s="10" t="n">
        <v>0.6932028711663974</v>
      </c>
      <c r="V575" s="10" t="n">
        <v>2.77281148466559</v>
      </c>
    </row>
    <row r="576">
      <c r="I576" s="8" t="inlineStr">
        <is>
          <t>ACE-10570</t>
        </is>
      </c>
      <c r="J576" s="8" t="inlineStr">
        <is>
          <t>2026-05-17 16:13:41</t>
        </is>
      </c>
      <c r="K576" s="8" t="inlineStr">
        <is>
          <t>CUST-94005</t>
        </is>
      </c>
      <c r="L576" s="9" t="inlineStr">
        <is>
          <t>GBP-PKR</t>
        </is>
      </c>
      <c r="M576" s="8" t="inlineStr">
        <is>
          <t>GBP</t>
        </is>
      </c>
      <c r="N576" s="10" t="n">
        <v>268.9803301381085</v>
      </c>
      <c r="O576" s="11" t="n">
        <v>1</v>
      </c>
      <c r="P576" s="10" t="n">
        <v>268.9803301381085</v>
      </c>
      <c r="Q576" s="10" t="n">
        <v>1.5</v>
      </c>
      <c r="R576" s="12" t="n">
        <v>0.021</v>
      </c>
      <c r="S576" s="13" t="inlineStr">
        <is>
          <t>Success</t>
        </is>
      </c>
      <c r="T576" s="10" t="n">
        <v>0.4034704952071628</v>
      </c>
      <c r="U576" s="10" t="n">
        <v>0</v>
      </c>
      <c r="V576" s="10" t="n">
        <v>3.227763961657302</v>
      </c>
    </row>
    <row r="577">
      <c r="I577" s="8" t="inlineStr">
        <is>
          <t>ACE-10571</t>
        </is>
      </c>
      <c r="J577" s="8" t="inlineStr">
        <is>
          <t>2026-05-02 11:54:29</t>
        </is>
      </c>
      <c r="K577" s="8" t="inlineStr">
        <is>
          <t>CUST-71756</t>
        </is>
      </c>
      <c r="L577" s="9" t="inlineStr">
        <is>
          <t>GBP-PKR</t>
        </is>
      </c>
      <c r="M577" s="8" t="inlineStr">
        <is>
          <t>GBP</t>
        </is>
      </c>
      <c r="N577" s="10" t="n">
        <v>279.1171095067742</v>
      </c>
      <c r="O577" s="11" t="n">
        <v>1</v>
      </c>
      <c r="P577" s="10" t="n">
        <v>279.1171095067742</v>
      </c>
      <c r="Q577" s="10" t="n">
        <v>1.5</v>
      </c>
      <c r="R577" s="12" t="n">
        <v>0.021</v>
      </c>
      <c r="S577" s="13" t="inlineStr">
        <is>
          <t>Success</t>
        </is>
      </c>
      <c r="T577" s="10" t="n">
        <v>0.4186756642601613</v>
      </c>
      <c r="U577" s="10" t="n">
        <v>0.8373513285203227</v>
      </c>
      <c r="V577" s="10" t="n">
        <v>3.349405314081291</v>
      </c>
    </row>
    <row r="578">
      <c r="I578" s="8" t="inlineStr">
        <is>
          <t>ACE-10572</t>
        </is>
      </c>
      <c r="J578" s="8" t="inlineStr">
        <is>
          <t>2026-05-16 19:42:23</t>
        </is>
      </c>
      <c r="K578" s="8" t="inlineStr">
        <is>
          <t>CUST-96918</t>
        </is>
      </c>
      <c r="L578" s="9" t="inlineStr">
        <is>
          <t>GBP-PKR</t>
        </is>
      </c>
      <c r="M578" s="8" t="inlineStr">
        <is>
          <t>GBP</t>
        </is>
      </c>
      <c r="N578" s="10" t="n">
        <v>329.4528784293972</v>
      </c>
      <c r="O578" s="11" t="n">
        <v>1</v>
      </c>
      <c r="P578" s="10" t="n">
        <v>329.4528784293972</v>
      </c>
      <c r="Q578" s="10" t="n">
        <v>1.5</v>
      </c>
      <c r="R578" s="12" t="n">
        <v>0.021</v>
      </c>
      <c r="S578" s="13" t="inlineStr">
        <is>
          <t>Success</t>
        </is>
      </c>
      <c r="T578" s="10" t="n">
        <v>0.4941793176440958</v>
      </c>
      <c r="U578" s="10" t="n">
        <v>0</v>
      </c>
      <c r="V578" s="10" t="n">
        <v>3.953434541152767</v>
      </c>
    </row>
    <row r="579">
      <c r="I579" s="8" t="inlineStr">
        <is>
          <t>ACE-10573</t>
        </is>
      </c>
      <c r="J579" s="8" t="inlineStr">
        <is>
          <t>2026-05-22 11:00:21</t>
        </is>
      </c>
      <c r="K579" s="8" t="inlineStr">
        <is>
          <t>CUST-73274</t>
        </is>
      </c>
      <c r="L579" s="9" t="inlineStr">
        <is>
          <t>EUR-PKR</t>
        </is>
      </c>
      <c r="M579" s="8" t="inlineStr">
        <is>
          <t>EUR</t>
        </is>
      </c>
      <c r="N579" s="10" t="n">
        <v>195.3351516271321</v>
      </c>
      <c r="O579" s="11" t="n">
        <v>0.85</v>
      </c>
      <c r="P579" s="10" t="n">
        <v>166.0348788830622</v>
      </c>
      <c r="Q579" s="10" t="n">
        <v>1.275</v>
      </c>
      <c r="R579" s="12" t="n">
        <v>0.023</v>
      </c>
      <c r="S579" s="13" t="inlineStr">
        <is>
          <t>Success</t>
        </is>
      </c>
      <c r="T579" s="10" t="n">
        <v>0.2490523183245934</v>
      </c>
      <c r="U579" s="10" t="n">
        <v>0.4981046366491867</v>
      </c>
      <c r="V579" s="10" t="n">
        <v>2.490523183245934</v>
      </c>
    </row>
    <row r="580">
      <c r="I580" s="8" t="inlineStr">
        <is>
          <t>ACE-10574</t>
        </is>
      </c>
      <c r="J580" s="8" t="inlineStr">
        <is>
          <t>2026-05-10 16:33:23</t>
        </is>
      </c>
      <c r="K580" s="8" t="inlineStr">
        <is>
          <t>CUST-96012</t>
        </is>
      </c>
      <c r="L580" s="9" t="inlineStr">
        <is>
          <t>USD-PKR</t>
        </is>
      </c>
      <c r="M580" s="8" t="inlineStr">
        <is>
          <t>USD</t>
        </is>
      </c>
      <c r="N580" s="10" t="n">
        <v>214.1587352303232</v>
      </c>
      <c r="O580" s="11" t="n">
        <v>0.8</v>
      </c>
      <c r="P580" s="10" t="n">
        <v>171.3269881842586</v>
      </c>
      <c r="Q580" s="10" t="n">
        <v>1.6</v>
      </c>
      <c r="R580" s="12" t="n">
        <v>0.019</v>
      </c>
      <c r="S580" s="13" t="inlineStr">
        <is>
          <t>Success</t>
        </is>
      </c>
      <c r="T580" s="10" t="n">
        <v>0.2569904822763879</v>
      </c>
      <c r="U580" s="10" t="n">
        <v>0.5139809645527758</v>
      </c>
      <c r="V580" s="10" t="n">
        <v>2.055923858211103</v>
      </c>
    </row>
    <row r="581">
      <c r="I581" s="8" t="inlineStr">
        <is>
          <t>ACE-10575</t>
        </is>
      </c>
      <c r="J581" s="8" t="inlineStr">
        <is>
          <t>2026-05-16 10:52:45</t>
        </is>
      </c>
      <c r="K581" s="8" t="inlineStr">
        <is>
          <t>CUST-98661</t>
        </is>
      </c>
      <c r="L581" s="9" t="inlineStr">
        <is>
          <t>GBP-PKR</t>
        </is>
      </c>
      <c r="M581" s="8" t="inlineStr">
        <is>
          <t>GBP</t>
        </is>
      </c>
      <c r="N581" s="10" t="n">
        <v>302.6963510521729</v>
      </c>
      <c r="O581" s="11" t="n">
        <v>1</v>
      </c>
      <c r="P581" s="10" t="n">
        <v>302.6963510521729</v>
      </c>
      <c r="Q581" s="10" t="n">
        <v>1.5</v>
      </c>
      <c r="R581" s="12" t="n">
        <v>0.021</v>
      </c>
      <c r="S581" s="13" t="inlineStr">
        <is>
          <t>Success</t>
        </is>
      </c>
      <c r="T581" s="10" t="n">
        <v>0.4540445265782594</v>
      </c>
      <c r="U581" s="10" t="n">
        <v>0</v>
      </c>
      <c r="V581" s="10" t="n">
        <v>3.632356212626075</v>
      </c>
    </row>
    <row r="582">
      <c r="I582" s="8" t="inlineStr">
        <is>
          <t>ACE-10576</t>
        </is>
      </c>
      <c r="J582" s="8" t="inlineStr">
        <is>
          <t>2026-05-20 11:12:07</t>
        </is>
      </c>
      <c r="K582" s="8" t="inlineStr">
        <is>
          <t>CUST-75748</t>
        </is>
      </c>
      <c r="L582" s="9" t="inlineStr">
        <is>
          <t>GBP-PKR</t>
        </is>
      </c>
      <c r="M582" s="8" t="inlineStr">
        <is>
          <t>GBP</t>
        </is>
      </c>
      <c r="N582" s="10" t="n">
        <v>223.3357115225103</v>
      </c>
      <c r="O582" s="11" t="n">
        <v>1</v>
      </c>
      <c r="P582" s="10" t="n">
        <v>223.3357115225103</v>
      </c>
      <c r="Q582" s="10" t="n">
        <v>1.5</v>
      </c>
      <c r="R582" s="12" t="n">
        <v>0.021</v>
      </c>
      <c r="S582" s="13" t="inlineStr">
        <is>
          <t>Success</t>
        </is>
      </c>
      <c r="T582" s="10" t="n">
        <v>0.3350035672837655</v>
      </c>
      <c r="U582" s="10" t="n">
        <v>0.670007134567531</v>
      </c>
      <c r="V582" s="10" t="n">
        <v>2.680028538270124</v>
      </c>
    </row>
    <row r="583">
      <c r="I583" s="8" t="inlineStr">
        <is>
          <t>ACE-10577</t>
        </is>
      </c>
      <c r="J583" s="8" t="inlineStr">
        <is>
          <t>2026-05-07 19:21:06</t>
        </is>
      </c>
      <c r="K583" s="8" t="inlineStr">
        <is>
          <t>CUST-99620</t>
        </is>
      </c>
      <c r="L583" s="9" t="inlineStr">
        <is>
          <t>EUR-PKR</t>
        </is>
      </c>
      <c r="M583" s="8" t="inlineStr">
        <is>
          <t>EUR</t>
        </is>
      </c>
      <c r="N583" s="10" t="n">
        <v>193.5596101794999</v>
      </c>
      <c r="O583" s="11" t="n">
        <v>0.85</v>
      </c>
      <c r="P583" s="10" t="n">
        <v>164.5256686525749</v>
      </c>
      <c r="Q583" s="10" t="n">
        <v>1.275</v>
      </c>
      <c r="R583" s="12" t="n">
        <v>0.023</v>
      </c>
      <c r="S583" s="13" t="inlineStr">
        <is>
          <t>Success</t>
        </is>
      </c>
      <c r="T583" s="10" t="n">
        <v>0.2467885029788623</v>
      </c>
      <c r="U583" s="10" t="n">
        <v>0.4935770059577246</v>
      </c>
      <c r="V583" s="10" t="n">
        <v>2.467885029788623</v>
      </c>
    </row>
    <row r="584">
      <c r="I584" s="8" t="inlineStr">
        <is>
          <t>ACE-10578</t>
        </is>
      </c>
      <c r="J584" s="8" t="inlineStr">
        <is>
          <t>2026-05-22 17:07:49</t>
        </is>
      </c>
      <c r="K584" s="8" t="inlineStr">
        <is>
          <t>CUST-79524</t>
        </is>
      </c>
      <c r="L584" s="9" t="inlineStr">
        <is>
          <t>GBP-PKR</t>
        </is>
      </c>
      <c r="M584" s="8" t="inlineStr">
        <is>
          <t>GBP</t>
        </is>
      </c>
      <c r="N584" s="10" t="n">
        <v>300.9295314506824</v>
      </c>
      <c r="O584" s="11" t="n">
        <v>1</v>
      </c>
      <c r="P584" s="10" t="n">
        <v>300.9295314506824</v>
      </c>
      <c r="Q584" s="10" t="n">
        <v>1.5</v>
      </c>
      <c r="R584" s="12" t="n">
        <v>0.021</v>
      </c>
      <c r="S584" s="13" t="inlineStr">
        <is>
          <t>Success</t>
        </is>
      </c>
      <c r="T584" s="10" t="n">
        <v>0.4513942971760236</v>
      </c>
      <c r="U584" s="10" t="n">
        <v>0</v>
      </c>
      <c r="V584" s="10" t="n">
        <v>3.611154377408189</v>
      </c>
    </row>
    <row r="585">
      <c r="I585" s="8" t="inlineStr">
        <is>
          <t>ACE-10579</t>
        </is>
      </c>
      <c r="J585" s="8" t="inlineStr">
        <is>
          <t>2026-05-17 10:31:00</t>
        </is>
      </c>
      <c r="K585" s="8" t="inlineStr">
        <is>
          <t>CUST-84757</t>
        </is>
      </c>
      <c r="L585" s="9" t="inlineStr">
        <is>
          <t>GBP-PKR</t>
        </is>
      </c>
      <c r="M585" s="8" t="inlineStr">
        <is>
          <t>GBP</t>
        </is>
      </c>
      <c r="N585" s="10" t="n">
        <v>240.3102936749443</v>
      </c>
      <c r="O585" s="11" t="n">
        <v>1</v>
      </c>
      <c r="P585" s="10" t="n">
        <v>240.3102936749443</v>
      </c>
      <c r="Q585" s="10" t="n">
        <v>1.5</v>
      </c>
      <c r="R585" s="12" t="n">
        <v>0.021</v>
      </c>
      <c r="S585" s="13" t="inlineStr">
        <is>
          <t>Success</t>
        </is>
      </c>
      <c r="T585" s="10" t="n">
        <v>0.3604654405124165</v>
      </c>
      <c r="U585" s="10" t="n">
        <v>0</v>
      </c>
      <c r="V585" s="10" t="n">
        <v>2.883723524099332</v>
      </c>
    </row>
    <row r="586">
      <c r="I586" s="8" t="inlineStr">
        <is>
          <t>ACE-10580</t>
        </is>
      </c>
      <c r="J586" s="8" t="inlineStr">
        <is>
          <t>2026-05-14 17:30:59</t>
        </is>
      </c>
      <c r="K586" s="8" t="inlineStr">
        <is>
          <t>CUST-83314</t>
        </is>
      </c>
      <c r="L586" s="9" t="inlineStr">
        <is>
          <t>GBP-PKR</t>
        </is>
      </c>
      <c r="M586" s="8" t="inlineStr">
        <is>
          <t>GBP</t>
        </is>
      </c>
      <c r="N586" s="10" t="n">
        <v>312.3626983945718</v>
      </c>
      <c r="O586" s="11" t="n">
        <v>1</v>
      </c>
      <c r="P586" s="10" t="n">
        <v>312.3626983945718</v>
      </c>
      <c r="Q586" s="10" t="n">
        <v>1.5</v>
      </c>
      <c r="R586" s="12" t="n">
        <v>0.021</v>
      </c>
      <c r="S586" s="13" t="inlineStr">
        <is>
          <t>Success</t>
        </is>
      </c>
      <c r="T586" s="10" t="n">
        <v>0.4685440475918577</v>
      </c>
      <c r="U586" s="10" t="n">
        <v>0.9370880951837154</v>
      </c>
      <c r="V586" s="10" t="n">
        <v>3.748352380734862</v>
      </c>
    </row>
    <row r="587">
      <c r="I587" s="8" t="inlineStr">
        <is>
          <t>ACE-10581</t>
        </is>
      </c>
      <c r="J587" s="8" t="inlineStr">
        <is>
          <t>2026-05-23 17:11:46</t>
        </is>
      </c>
      <c r="K587" s="8" t="inlineStr">
        <is>
          <t>CUST-58413</t>
        </is>
      </c>
      <c r="L587" s="9" t="inlineStr">
        <is>
          <t>EUR-PKR</t>
        </is>
      </c>
      <c r="M587" s="8" t="inlineStr">
        <is>
          <t>EUR</t>
        </is>
      </c>
      <c r="N587" s="10" t="n">
        <v>195.5612662941106</v>
      </c>
      <c r="O587" s="11" t="n">
        <v>0.85</v>
      </c>
      <c r="P587" s="10" t="n">
        <v>166.227076349994</v>
      </c>
      <c r="Q587" s="10" t="n">
        <v>1.275</v>
      </c>
      <c r="R587" s="12" t="n">
        <v>0.023</v>
      </c>
      <c r="S587" s="13" t="inlineStr">
        <is>
          <t>Success</t>
        </is>
      </c>
      <c r="T587" s="10" t="n">
        <v>0.249340614524991</v>
      </c>
      <c r="U587" s="10" t="n">
        <v>0.498681229049982</v>
      </c>
      <c r="V587" s="10" t="n">
        <v>2.49340614524991</v>
      </c>
    </row>
    <row r="588">
      <c r="I588" s="8" t="inlineStr">
        <is>
          <t>ACE-10582</t>
        </is>
      </c>
      <c r="J588" s="8" t="inlineStr">
        <is>
          <t>2026-05-20 13:32:56</t>
        </is>
      </c>
      <c r="K588" s="8" t="inlineStr">
        <is>
          <t>CUST-75209</t>
        </is>
      </c>
      <c r="L588" s="9" t="inlineStr">
        <is>
          <t>GBP-PKR</t>
        </is>
      </c>
      <c r="M588" s="8" t="inlineStr">
        <is>
          <t>GBP</t>
        </is>
      </c>
      <c r="N588" s="10" t="n">
        <v>267.2703817629962</v>
      </c>
      <c r="O588" s="11" t="n">
        <v>1</v>
      </c>
      <c r="P588" s="10" t="n">
        <v>267.2703817629962</v>
      </c>
      <c r="Q588" s="10" t="n">
        <v>1.5</v>
      </c>
      <c r="R588" s="12" t="n">
        <v>0.021</v>
      </c>
      <c r="S588" s="13" t="inlineStr">
        <is>
          <t>Success</t>
        </is>
      </c>
      <c r="T588" s="10" t="n">
        <v>0.4009055726444944</v>
      </c>
      <c r="U588" s="10" t="n">
        <v>0.8018111452889888</v>
      </c>
      <c r="V588" s="10" t="n">
        <v>3.207244581155955</v>
      </c>
    </row>
    <row r="589">
      <c r="I589" s="8" t="inlineStr">
        <is>
          <t>ACE-10583</t>
        </is>
      </c>
      <c r="J589" s="8" t="inlineStr">
        <is>
          <t>2026-05-23 20:15:17</t>
        </is>
      </c>
      <c r="K589" s="8" t="inlineStr">
        <is>
          <t>CUST-76074</t>
        </is>
      </c>
      <c r="L589" s="9" t="inlineStr">
        <is>
          <t>USD-PKR</t>
        </is>
      </c>
      <c r="M589" s="8" t="inlineStr">
        <is>
          <t>USD</t>
        </is>
      </c>
      <c r="N589" s="10" t="n">
        <v>233.2021637531257</v>
      </c>
      <c r="O589" s="11" t="n">
        <v>0.8</v>
      </c>
      <c r="P589" s="10" t="n">
        <v>186.5617310025006</v>
      </c>
      <c r="Q589" s="10" t="n">
        <v>1.6</v>
      </c>
      <c r="R589" s="12" t="n">
        <v>0.019</v>
      </c>
      <c r="S589" s="13" t="inlineStr">
        <is>
          <t>Success</t>
        </is>
      </c>
      <c r="T589" s="10" t="n">
        <v>0.2798425965037509</v>
      </c>
      <c r="U589" s="10" t="n">
        <v>0.5596851930075019</v>
      </c>
      <c r="V589" s="10" t="n">
        <v>2.238740772030007</v>
      </c>
    </row>
    <row r="590">
      <c r="I590" s="8" t="inlineStr">
        <is>
          <t>ACE-10584</t>
        </is>
      </c>
      <c r="J590" s="8" t="inlineStr">
        <is>
          <t>2026-05-15 20:08:08</t>
        </is>
      </c>
      <c r="K590" s="8" t="inlineStr">
        <is>
          <t>CUST-77049</t>
        </is>
      </c>
      <c r="L590" s="9" t="inlineStr">
        <is>
          <t>GBP-PKR</t>
        </is>
      </c>
      <c r="M590" s="8" t="inlineStr">
        <is>
          <t>GBP</t>
        </is>
      </c>
      <c r="N590" s="10" t="n">
        <v>349.6242089490074</v>
      </c>
      <c r="O590" s="11" t="n">
        <v>1</v>
      </c>
      <c r="P590" s="10" t="n">
        <v>349.6242089490074</v>
      </c>
      <c r="Q590" s="10" t="n">
        <v>1.5</v>
      </c>
      <c r="R590" s="12" t="n">
        <v>0.021</v>
      </c>
      <c r="S590" s="13" t="inlineStr">
        <is>
          <t>Success</t>
        </is>
      </c>
      <c r="T590" s="10" t="n">
        <v>0.524436313423511</v>
      </c>
      <c r="U590" s="10" t="n">
        <v>1.048872626847022</v>
      </c>
      <c r="V590" s="10" t="n">
        <v>4.195490507388088</v>
      </c>
    </row>
    <row r="591">
      <c r="I591" s="8" t="inlineStr">
        <is>
          <t>ACE-10585</t>
        </is>
      </c>
      <c r="J591" s="8" t="inlineStr">
        <is>
          <t>2026-05-17 12:53:44</t>
        </is>
      </c>
      <c r="K591" s="8" t="inlineStr">
        <is>
          <t>CUST-85901</t>
        </is>
      </c>
      <c r="L591" s="9" t="inlineStr">
        <is>
          <t>GBP-PKR</t>
        </is>
      </c>
      <c r="M591" s="8" t="inlineStr">
        <is>
          <t>GBP</t>
        </is>
      </c>
      <c r="N591" s="10" t="n">
        <v>283.7167066941628</v>
      </c>
      <c r="O591" s="11" t="n">
        <v>1</v>
      </c>
      <c r="P591" s="10" t="n">
        <v>283.7167066941628</v>
      </c>
      <c r="Q591" s="10" t="n">
        <v>1.5</v>
      </c>
      <c r="R591" s="12" t="n">
        <v>0.021</v>
      </c>
      <c r="S591" s="13" t="inlineStr">
        <is>
          <t>Success</t>
        </is>
      </c>
      <c r="T591" s="10" t="n">
        <v>0.4255750600412443</v>
      </c>
      <c r="U591" s="10" t="n">
        <v>0.8511501200824886</v>
      </c>
      <c r="V591" s="10" t="n">
        <v>3.404600480329954</v>
      </c>
    </row>
    <row r="592">
      <c r="I592" s="8" t="inlineStr">
        <is>
          <t>ACE-10586</t>
        </is>
      </c>
      <c r="J592" s="8" t="inlineStr">
        <is>
          <t>2026-05-18 18:13:12</t>
        </is>
      </c>
      <c r="K592" s="8" t="inlineStr">
        <is>
          <t>CUST-63743</t>
        </is>
      </c>
      <c r="L592" s="9" t="inlineStr">
        <is>
          <t>USD-PKR</t>
        </is>
      </c>
      <c r="M592" s="8" t="inlineStr">
        <is>
          <t>USD</t>
        </is>
      </c>
      <c r="N592" s="10" t="n">
        <v>224.4043604336813</v>
      </c>
      <c r="O592" s="11" t="n">
        <v>0.8</v>
      </c>
      <c r="P592" s="10" t="n">
        <v>179.5234883469451</v>
      </c>
      <c r="Q592" s="10" t="n">
        <v>1.6</v>
      </c>
      <c r="R592" s="12" t="n">
        <v>0.019</v>
      </c>
      <c r="S592" s="13" t="inlineStr">
        <is>
          <t>Success</t>
        </is>
      </c>
      <c r="T592" s="10" t="n">
        <v>0.2692852325204176</v>
      </c>
      <c r="U592" s="10" t="n">
        <v>0</v>
      </c>
      <c r="V592" s="10" t="n">
        <v>2.154281860163341</v>
      </c>
    </row>
    <row r="593">
      <c r="I593" s="8" t="inlineStr">
        <is>
          <t>ACE-10587</t>
        </is>
      </c>
      <c r="J593" s="8" t="inlineStr">
        <is>
          <t>2026-05-12 18:08:45</t>
        </is>
      </c>
      <c r="K593" s="8" t="inlineStr">
        <is>
          <t>CUST-92604</t>
        </is>
      </c>
      <c r="L593" s="9" t="inlineStr">
        <is>
          <t>GBP-PKR</t>
        </is>
      </c>
      <c r="M593" s="8" t="inlineStr">
        <is>
          <t>GBP</t>
        </is>
      </c>
      <c r="N593" s="10" t="n">
        <v>266.0950333514747</v>
      </c>
      <c r="O593" s="11" t="n">
        <v>1</v>
      </c>
      <c r="P593" s="10" t="n">
        <v>266.0950333514747</v>
      </c>
      <c r="Q593" s="10" t="n">
        <v>1.5</v>
      </c>
      <c r="R593" s="12" t="n">
        <v>0.021</v>
      </c>
      <c r="S593" s="13" t="inlineStr">
        <is>
          <t>Success</t>
        </is>
      </c>
      <c r="T593" s="10" t="n">
        <v>0.3991425500272121</v>
      </c>
      <c r="U593" s="10" t="n">
        <v>0</v>
      </c>
      <c r="V593" s="10" t="n">
        <v>3.193140400217697</v>
      </c>
    </row>
    <row r="594">
      <c r="I594" s="8" t="inlineStr">
        <is>
          <t>ACE-10588</t>
        </is>
      </c>
      <c r="J594" s="8" t="inlineStr">
        <is>
          <t>2026-05-18 19:40:20</t>
        </is>
      </c>
      <c r="K594" s="8" t="inlineStr">
        <is>
          <t>CUST-96553</t>
        </is>
      </c>
      <c r="L594" s="9" t="inlineStr">
        <is>
          <t>GBP-PKR</t>
        </is>
      </c>
      <c r="M594" s="8" t="inlineStr">
        <is>
          <t>GBP</t>
        </is>
      </c>
      <c r="N594" s="10" t="n">
        <v>255.9047145037208</v>
      </c>
      <c r="O594" s="11" t="n">
        <v>1</v>
      </c>
      <c r="P594" s="10" t="n">
        <v>255.9047145037208</v>
      </c>
      <c r="Q594" s="10" t="n">
        <v>1.5</v>
      </c>
      <c r="R594" s="12" t="n">
        <v>0.021</v>
      </c>
      <c r="S594" s="13" t="inlineStr">
        <is>
          <t>Success</t>
        </is>
      </c>
      <c r="T594" s="10" t="n">
        <v>0.3838570717555812</v>
      </c>
      <c r="U594" s="10" t="n">
        <v>0</v>
      </c>
      <c r="V594" s="10" t="n">
        <v>3.07085657404465</v>
      </c>
    </row>
    <row r="595">
      <c r="I595" s="8" t="inlineStr">
        <is>
          <t>ACE-10589</t>
        </is>
      </c>
      <c r="J595" s="8" t="inlineStr">
        <is>
          <t>2026-05-16 17:36:42</t>
        </is>
      </c>
      <c r="K595" s="8" t="inlineStr">
        <is>
          <t>CUST-96538</t>
        </is>
      </c>
      <c r="L595" s="9" t="inlineStr">
        <is>
          <t>GBP-PKR</t>
        </is>
      </c>
      <c r="M595" s="8" t="inlineStr">
        <is>
          <t>GBP</t>
        </is>
      </c>
      <c r="N595" s="10" t="n">
        <v>302.7245102468187</v>
      </c>
      <c r="O595" s="11" t="n">
        <v>1</v>
      </c>
      <c r="P595" s="10" t="n">
        <v>302.7245102468187</v>
      </c>
      <c r="Q595" s="10" t="n">
        <v>1.5</v>
      </c>
      <c r="R595" s="12" t="n">
        <v>0.021</v>
      </c>
      <c r="S595" s="13" t="inlineStr">
        <is>
          <t>Success</t>
        </is>
      </c>
      <c r="T595" s="10" t="n">
        <v>0.454086765370228</v>
      </c>
      <c r="U595" s="10" t="n">
        <v>0.908173530740456</v>
      </c>
      <c r="V595" s="10" t="n">
        <v>3.632694122961824</v>
      </c>
    </row>
    <row r="596">
      <c r="I596" s="8" t="inlineStr">
        <is>
          <t>ACE-10590</t>
        </is>
      </c>
      <c r="J596" s="8" t="inlineStr">
        <is>
          <t>2026-05-18 12:56:54</t>
        </is>
      </c>
      <c r="K596" s="8" t="inlineStr">
        <is>
          <t>CUST-77681</t>
        </is>
      </c>
      <c r="L596" s="9" t="inlineStr">
        <is>
          <t>USD-PKR</t>
        </is>
      </c>
      <c r="M596" s="8" t="inlineStr">
        <is>
          <t>USD</t>
        </is>
      </c>
      <c r="N596" s="10" t="n">
        <v>200.9425736012061</v>
      </c>
      <c r="O596" s="11" t="n">
        <v>0.8</v>
      </c>
      <c r="P596" s="10" t="n">
        <v>160.7540588809649</v>
      </c>
      <c r="Q596" s="10" t="n">
        <v>1.6</v>
      </c>
      <c r="R596" s="12" t="n">
        <v>0.019</v>
      </c>
      <c r="S596" s="13" t="inlineStr">
        <is>
          <t>Success</t>
        </is>
      </c>
      <c r="T596" s="10" t="n">
        <v>0.2411310883214473</v>
      </c>
      <c r="U596" s="10" t="n">
        <v>0</v>
      </c>
      <c r="V596" s="10" t="n">
        <v>1.929048706571578</v>
      </c>
    </row>
    <row r="597">
      <c r="I597" s="8" t="inlineStr">
        <is>
          <t>ACE-10591</t>
        </is>
      </c>
      <c r="J597" s="8" t="inlineStr">
        <is>
          <t>2026-05-01 14:09:03</t>
        </is>
      </c>
      <c r="K597" s="8" t="inlineStr">
        <is>
          <t>CUST-93925</t>
        </is>
      </c>
      <c r="L597" s="9" t="inlineStr">
        <is>
          <t>GBP-PKR</t>
        </is>
      </c>
      <c r="M597" s="8" t="inlineStr">
        <is>
          <t>GBP</t>
        </is>
      </c>
      <c r="N597" s="10" t="n">
        <v>280.6045062541089</v>
      </c>
      <c r="O597" s="11" t="n">
        <v>1</v>
      </c>
      <c r="P597" s="10" t="n">
        <v>280.6045062541089</v>
      </c>
      <c r="Q597" s="10" t="n">
        <v>1.5</v>
      </c>
      <c r="R597" s="12" t="n">
        <v>0.021</v>
      </c>
      <c r="S597" s="13" t="inlineStr">
        <is>
          <t>Success</t>
        </is>
      </c>
      <c r="T597" s="10" t="n">
        <v>0.4209067593811634</v>
      </c>
      <c r="U597" s="10" t="n">
        <v>0</v>
      </c>
      <c r="V597" s="10" t="n">
        <v>3.367254075049307</v>
      </c>
    </row>
    <row r="598">
      <c r="I598" s="8" t="inlineStr">
        <is>
          <t>ACE-10592</t>
        </is>
      </c>
      <c r="J598" s="8" t="inlineStr">
        <is>
          <t>2026-05-06 12:43:16</t>
        </is>
      </c>
      <c r="K598" s="8" t="inlineStr">
        <is>
          <t>CUST-59596</t>
        </is>
      </c>
      <c r="L598" s="9" t="inlineStr">
        <is>
          <t>GBP-PKR</t>
        </is>
      </c>
      <c r="M598" s="8" t="inlineStr">
        <is>
          <t>GBP</t>
        </is>
      </c>
      <c r="N598" s="10" t="n">
        <v>265.6086164402677</v>
      </c>
      <c r="O598" s="11" t="n">
        <v>1</v>
      </c>
      <c r="P598" s="10" t="n">
        <v>265.6086164402677</v>
      </c>
      <c r="Q598" s="10" t="n">
        <v>1.5</v>
      </c>
      <c r="R598" s="12" t="n">
        <v>0.021</v>
      </c>
      <c r="S598" s="13" t="inlineStr">
        <is>
          <t>Success</t>
        </is>
      </c>
      <c r="T598" s="10" t="n">
        <v>0.3984129246604015</v>
      </c>
      <c r="U598" s="10" t="n">
        <v>0.796825849320803</v>
      </c>
      <c r="V598" s="10" t="n">
        <v>3.187303397283212</v>
      </c>
    </row>
    <row r="599">
      <c r="I599" s="8" t="inlineStr">
        <is>
          <t>ACE-10593</t>
        </is>
      </c>
      <c r="J599" s="8" t="inlineStr">
        <is>
          <t>2026-05-10 11:48:34</t>
        </is>
      </c>
      <c r="K599" s="8" t="inlineStr">
        <is>
          <t>CUST-52117</t>
        </is>
      </c>
      <c r="L599" s="9" t="inlineStr">
        <is>
          <t>USD-PKR</t>
        </is>
      </c>
      <c r="M599" s="8" t="inlineStr">
        <is>
          <t>USD</t>
        </is>
      </c>
      <c r="N599" s="10" t="n">
        <v>229.6429080938476</v>
      </c>
      <c r="O599" s="11" t="n">
        <v>0.8</v>
      </c>
      <c r="P599" s="10" t="n">
        <v>183.7143264750781</v>
      </c>
      <c r="Q599" s="10" t="n">
        <v>1.6</v>
      </c>
      <c r="R599" s="12" t="n">
        <v>0.019</v>
      </c>
      <c r="S599" s="13" t="inlineStr">
        <is>
          <t>Success</t>
        </is>
      </c>
      <c r="T599" s="10" t="n">
        <v>0.2755714897126171</v>
      </c>
      <c r="U599" s="10" t="n">
        <v>0</v>
      </c>
      <c r="V599" s="10" t="n">
        <v>2.204571917700937</v>
      </c>
    </row>
    <row r="600">
      <c r="I600" s="8" t="inlineStr">
        <is>
          <t>ACE-10594</t>
        </is>
      </c>
      <c r="J600" s="8" t="inlineStr">
        <is>
          <t>2026-05-20 18:47:35</t>
        </is>
      </c>
      <c r="K600" s="8" t="inlineStr">
        <is>
          <t>CUST-64700</t>
        </is>
      </c>
      <c r="L600" s="9" t="inlineStr">
        <is>
          <t>GBP-PKR</t>
        </is>
      </c>
      <c r="M600" s="8" t="inlineStr">
        <is>
          <t>GBP</t>
        </is>
      </c>
      <c r="N600" s="10" t="n">
        <v>288.0562615605622</v>
      </c>
      <c r="O600" s="11" t="n">
        <v>1</v>
      </c>
      <c r="P600" s="10" t="n">
        <v>288.0562615605622</v>
      </c>
      <c r="Q600" s="10" t="n">
        <v>1.5</v>
      </c>
      <c r="R600" s="12" t="n">
        <v>0.021</v>
      </c>
      <c r="S600" s="13" t="inlineStr">
        <is>
          <t>Success</t>
        </is>
      </c>
      <c r="T600" s="10" t="n">
        <v>0.4320843923408433</v>
      </c>
      <c r="U600" s="10" t="n">
        <v>0</v>
      </c>
      <c r="V600" s="10" t="n">
        <v>3.456675138726746</v>
      </c>
    </row>
    <row r="601">
      <c r="I601" s="8" t="inlineStr">
        <is>
          <t>ACE-10595</t>
        </is>
      </c>
      <c r="J601" s="8" t="inlineStr">
        <is>
          <t>2026-05-08 16:50:50</t>
        </is>
      </c>
      <c r="K601" s="8" t="inlineStr">
        <is>
          <t>CUST-95621</t>
        </is>
      </c>
      <c r="L601" s="9" t="inlineStr">
        <is>
          <t>GBP-PKR</t>
        </is>
      </c>
      <c r="M601" s="8" t="inlineStr">
        <is>
          <t>GBP</t>
        </is>
      </c>
      <c r="N601" s="10" t="n">
        <v>309.0625234201415</v>
      </c>
      <c r="O601" s="11" t="n">
        <v>1</v>
      </c>
      <c r="P601" s="10" t="n">
        <v>309.0625234201415</v>
      </c>
      <c r="Q601" s="10" t="n">
        <v>1.5</v>
      </c>
      <c r="R601" s="12" t="n">
        <v>0.021</v>
      </c>
      <c r="S601" s="13" t="inlineStr">
        <is>
          <t>Success</t>
        </is>
      </c>
      <c r="T601" s="10" t="n">
        <v>0.4635937851302122</v>
      </c>
      <c r="U601" s="10" t="n">
        <v>0.9271875702604244</v>
      </c>
      <c r="V601" s="10" t="n">
        <v>3.708750281041698</v>
      </c>
    </row>
    <row r="602">
      <c r="I602" s="8" t="inlineStr">
        <is>
          <t>ACE-10596</t>
        </is>
      </c>
      <c r="J602" s="8" t="inlineStr">
        <is>
          <t>2026-05-13 14:26:50</t>
        </is>
      </c>
      <c r="K602" s="8" t="inlineStr">
        <is>
          <t>CUST-94901</t>
        </is>
      </c>
      <c r="L602" s="9" t="inlineStr">
        <is>
          <t>GBP-PKR</t>
        </is>
      </c>
      <c r="M602" s="8" t="inlineStr">
        <is>
          <t>GBP</t>
        </is>
      </c>
      <c r="N602" s="10" t="n">
        <v>264.7505238884164</v>
      </c>
      <c r="O602" s="11" t="n">
        <v>1</v>
      </c>
      <c r="P602" s="10" t="n">
        <v>264.7505238884164</v>
      </c>
      <c r="Q602" s="10" t="n">
        <v>1.5</v>
      </c>
      <c r="R602" s="12" t="n">
        <v>0.021</v>
      </c>
      <c r="S602" s="13" t="inlineStr">
        <is>
          <t>Success</t>
        </is>
      </c>
      <c r="T602" s="10" t="n">
        <v>0.3971257858326245</v>
      </c>
      <c r="U602" s="10" t="n">
        <v>0</v>
      </c>
      <c r="V602" s="10" t="n">
        <v>3.177006286660996</v>
      </c>
    </row>
    <row r="603">
      <c r="I603" s="8" t="inlineStr">
        <is>
          <t>ACE-10597</t>
        </is>
      </c>
      <c r="J603" s="8" t="inlineStr">
        <is>
          <t>2026-05-01 19:16:12</t>
        </is>
      </c>
      <c r="K603" s="8" t="inlineStr">
        <is>
          <t>CUST-90669</t>
        </is>
      </c>
      <c r="L603" s="9" t="inlineStr">
        <is>
          <t>GBP-PKR</t>
        </is>
      </c>
      <c r="M603" s="8" t="inlineStr">
        <is>
          <t>GBP</t>
        </is>
      </c>
      <c r="N603" s="10" t="n">
        <v>271.1852345311468</v>
      </c>
      <c r="O603" s="11" t="n">
        <v>1</v>
      </c>
      <c r="P603" s="10" t="n">
        <v>271.1852345311468</v>
      </c>
      <c r="Q603" s="10" t="n">
        <v>1.5</v>
      </c>
      <c r="R603" s="12" t="n">
        <v>0.021</v>
      </c>
      <c r="S603" s="13" t="inlineStr">
        <is>
          <t>Success</t>
        </is>
      </c>
      <c r="T603" s="10" t="n">
        <v>0.4067778517967202</v>
      </c>
      <c r="U603" s="10" t="n">
        <v>0.8135557035934404</v>
      </c>
      <c r="V603" s="10" t="n">
        <v>3.254222814373762</v>
      </c>
    </row>
    <row r="604">
      <c r="I604" s="8" t="inlineStr">
        <is>
          <t>ACE-10598</t>
        </is>
      </c>
      <c r="J604" s="8" t="inlineStr">
        <is>
          <t>2026-05-15 11:58:40</t>
        </is>
      </c>
      <c r="K604" s="8" t="inlineStr">
        <is>
          <t>CUST-96178</t>
        </is>
      </c>
      <c r="L604" s="9" t="inlineStr">
        <is>
          <t>GBP-PKR</t>
        </is>
      </c>
      <c r="M604" s="8" t="inlineStr">
        <is>
          <t>GBP</t>
        </is>
      </c>
      <c r="N604" s="10" t="n">
        <v>252.6267824947484</v>
      </c>
      <c r="O604" s="11" t="n">
        <v>1</v>
      </c>
      <c r="P604" s="10" t="n">
        <v>252.6267824947484</v>
      </c>
      <c r="Q604" s="10" t="n">
        <v>1.5</v>
      </c>
      <c r="R604" s="12" t="n">
        <v>0.021</v>
      </c>
      <c r="S604" s="13" t="inlineStr">
        <is>
          <t>Success</t>
        </is>
      </c>
      <c r="T604" s="10" t="n">
        <v>0.3789401737421226</v>
      </c>
      <c r="U604" s="10" t="n">
        <v>0</v>
      </c>
      <c r="V604" s="10" t="n">
        <v>3.031521389936981</v>
      </c>
    </row>
    <row r="605">
      <c r="I605" s="8" t="inlineStr">
        <is>
          <t>ACE-10599</t>
        </is>
      </c>
      <c r="J605" s="8" t="inlineStr">
        <is>
          <t>2026-05-19 16:47:38</t>
        </is>
      </c>
      <c r="K605" s="8" t="inlineStr">
        <is>
          <t>CUST-62875</t>
        </is>
      </c>
      <c r="L605" s="9" t="inlineStr">
        <is>
          <t>GBP-PKR</t>
        </is>
      </c>
      <c r="M605" s="8" t="inlineStr">
        <is>
          <t>GBP</t>
        </is>
      </c>
      <c r="N605" s="10" t="n">
        <v>266.4962779685962</v>
      </c>
      <c r="O605" s="11" t="n">
        <v>1</v>
      </c>
      <c r="P605" s="10" t="n">
        <v>266.4962779685962</v>
      </c>
      <c r="Q605" s="10" t="n">
        <v>1.5</v>
      </c>
      <c r="R605" s="12" t="n">
        <v>0.021</v>
      </c>
      <c r="S605" s="13" t="inlineStr">
        <is>
          <t>Success</t>
        </is>
      </c>
      <c r="T605" s="10" t="n">
        <v>0.3997444169528944</v>
      </c>
      <c r="U605" s="10" t="n">
        <v>0.7994888339057887</v>
      </c>
      <c r="V605" s="10" t="n">
        <v>3.197955335623155</v>
      </c>
    </row>
    <row r="606">
      <c r="I606" s="8" t="inlineStr">
        <is>
          <t>ACE-10600</t>
        </is>
      </c>
      <c r="J606" s="8" t="inlineStr">
        <is>
          <t>2026-05-10 15:11:43</t>
        </is>
      </c>
      <c r="K606" s="8" t="inlineStr">
        <is>
          <t>CUST-54880</t>
        </is>
      </c>
      <c r="L606" s="9" t="inlineStr">
        <is>
          <t>GBP-PKR</t>
        </is>
      </c>
      <c r="M606" s="8" t="inlineStr">
        <is>
          <t>GBP</t>
        </is>
      </c>
      <c r="N606" s="10" t="n">
        <v>289.3160393788445</v>
      </c>
      <c r="O606" s="11" t="n">
        <v>1</v>
      </c>
      <c r="P606" s="10" t="n">
        <v>289.3160393788445</v>
      </c>
      <c r="Q606" s="10" t="n">
        <v>1.5</v>
      </c>
      <c r="R606" s="12" t="n">
        <v>0.021</v>
      </c>
      <c r="S606" s="13" t="inlineStr">
        <is>
          <t>Success</t>
        </is>
      </c>
      <c r="T606" s="10" t="n">
        <v>0.4339740590682667</v>
      </c>
      <c r="U606" s="10" t="n">
        <v>0</v>
      </c>
      <c r="V606" s="10" t="n">
        <v>3.471792472546134</v>
      </c>
    </row>
    <row r="607">
      <c r="I607" s="8" t="inlineStr">
        <is>
          <t>ACE-10601</t>
        </is>
      </c>
      <c r="J607" s="8" t="inlineStr">
        <is>
          <t>2026-05-17 09:24:02</t>
        </is>
      </c>
      <c r="K607" s="8" t="inlineStr">
        <is>
          <t>CUST-78082</t>
        </is>
      </c>
      <c r="L607" s="9" t="inlineStr">
        <is>
          <t>USD-PKR</t>
        </is>
      </c>
      <c r="M607" s="8" t="inlineStr">
        <is>
          <t>USD</t>
        </is>
      </c>
      <c r="N607" s="10" t="n">
        <v>236.1167551772936</v>
      </c>
      <c r="O607" s="11" t="n">
        <v>0.8</v>
      </c>
      <c r="P607" s="10" t="n">
        <v>188.8934041418349</v>
      </c>
      <c r="Q607" s="10" t="n">
        <v>1.6</v>
      </c>
      <c r="R607" s="12" t="n">
        <v>0.019</v>
      </c>
      <c r="S607" s="13" t="inlineStr">
        <is>
          <t>Success</t>
        </is>
      </c>
      <c r="T607" s="10" t="n">
        <v>0.2833401062127524</v>
      </c>
      <c r="U607" s="10" t="n">
        <v>0</v>
      </c>
      <c r="V607" s="10" t="n">
        <v>2.266720849702019</v>
      </c>
    </row>
    <row r="608">
      <c r="I608" s="8" t="inlineStr">
        <is>
          <t>ACE-10602</t>
        </is>
      </c>
      <c r="J608" s="8" t="inlineStr">
        <is>
          <t>2026-05-06 17:54:16</t>
        </is>
      </c>
      <c r="K608" s="8" t="inlineStr">
        <is>
          <t>CUST-50369</t>
        </is>
      </c>
      <c r="L608" s="9" t="inlineStr">
        <is>
          <t>GBP-PKR</t>
        </is>
      </c>
      <c r="M608" s="8" t="inlineStr">
        <is>
          <t>GBP</t>
        </is>
      </c>
      <c r="N608" s="10" t="n">
        <v>254.0606633912031</v>
      </c>
      <c r="O608" s="11" t="n">
        <v>1</v>
      </c>
      <c r="P608" s="10" t="n">
        <v>254.0606633912031</v>
      </c>
      <c r="Q608" s="10" t="n">
        <v>1.5</v>
      </c>
      <c r="R608" s="12" t="n">
        <v>0.021</v>
      </c>
      <c r="S608" s="13" t="inlineStr">
        <is>
          <t>Success</t>
        </is>
      </c>
      <c r="T608" s="10" t="n">
        <v>0.3810909950868047</v>
      </c>
      <c r="U608" s="10" t="n">
        <v>0.7621819901736093</v>
      </c>
      <c r="V608" s="10" t="n">
        <v>3.048727960694437</v>
      </c>
    </row>
    <row r="609">
      <c r="I609" s="8" t="inlineStr">
        <is>
          <t>ACE-10603</t>
        </is>
      </c>
      <c r="J609" s="8" t="inlineStr">
        <is>
          <t>2026-05-05 08:09:59</t>
        </is>
      </c>
      <c r="K609" s="8" t="inlineStr">
        <is>
          <t>CUST-71143</t>
        </is>
      </c>
      <c r="L609" s="9" t="inlineStr">
        <is>
          <t>GBP-PKR</t>
        </is>
      </c>
      <c r="M609" s="8" t="inlineStr">
        <is>
          <t>GBP</t>
        </is>
      </c>
      <c r="N609" s="10" t="n">
        <v>303.9156498115651</v>
      </c>
      <c r="O609" s="11" t="n">
        <v>1</v>
      </c>
      <c r="P609" s="10" t="n">
        <v>303.9156498115651</v>
      </c>
      <c r="Q609" s="10" t="n">
        <v>1.5</v>
      </c>
      <c r="R609" s="12" t="n">
        <v>0.021</v>
      </c>
      <c r="S609" s="13" t="inlineStr">
        <is>
          <t>Success</t>
        </is>
      </c>
      <c r="T609" s="10" t="n">
        <v>0.4558734747173477</v>
      </c>
      <c r="U609" s="10" t="n">
        <v>0.9117469494346954</v>
      </c>
      <c r="V609" s="10" t="n">
        <v>3.646987797738781</v>
      </c>
    </row>
    <row r="610">
      <c r="I610" s="8" t="inlineStr">
        <is>
          <t>ACE-10604</t>
        </is>
      </c>
      <c r="J610" s="8" t="inlineStr">
        <is>
          <t>2026-05-21 17:53:42</t>
        </is>
      </c>
      <c r="K610" s="8" t="inlineStr">
        <is>
          <t>CUST-69736</t>
        </is>
      </c>
      <c r="L610" s="9" t="inlineStr">
        <is>
          <t>EUR-PKR</t>
        </is>
      </c>
      <c r="M610" s="8" t="inlineStr">
        <is>
          <t>EUR</t>
        </is>
      </c>
      <c r="N610" s="10" t="n">
        <v>216.4994177453446</v>
      </c>
      <c r="O610" s="11" t="n">
        <v>0.85</v>
      </c>
      <c r="P610" s="10" t="n">
        <v>184.0245050835429</v>
      </c>
      <c r="Q610" s="10" t="n">
        <v>1.275</v>
      </c>
      <c r="R610" s="12" t="n">
        <v>0.023</v>
      </c>
      <c r="S610" s="13" t="inlineStr">
        <is>
          <t>Success</t>
        </is>
      </c>
      <c r="T610" s="10" t="n">
        <v>0.2760367576253143</v>
      </c>
      <c r="U610" s="10" t="n">
        <v>0</v>
      </c>
      <c r="V610" s="10" t="n">
        <v>2.760367576253143</v>
      </c>
    </row>
    <row r="611">
      <c r="I611" s="8" t="inlineStr">
        <is>
          <t>ACE-10605</t>
        </is>
      </c>
      <c r="J611" s="8" t="inlineStr">
        <is>
          <t>2026-05-12 09:50:45</t>
        </is>
      </c>
      <c r="K611" s="8" t="inlineStr">
        <is>
          <t>CUST-70831</t>
        </is>
      </c>
      <c r="L611" s="9" t="inlineStr">
        <is>
          <t>GBP-PKR</t>
        </is>
      </c>
      <c r="M611" s="8" t="inlineStr">
        <is>
          <t>GBP</t>
        </is>
      </c>
      <c r="N611" s="10" t="n">
        <v>290.3633568931356</v>
      </c>
      <c r="O611" s="11" t="n">
        <v>1</v>
      </c>
      <c r="P611" s="10" t="n">
        <v>290.3633568931356</v>
      </c>
      <c r="Q611" s="10" t="n">
        <v>1.5</v>
      </c>
      <c r="R611" s="12" t="n">
        <v>0.021</v>
      </c>
      <c r="S611" s="13" t="inlineStr">
        <is>
          <t>Success</t>
        </is>
      </c>
      <c r="T611" s="10" t="n">
        <v>0.4355450353397033</v>
      </c>
      <c r="U611" s="10" t="n">
        <v>0.8710900706794067</v>
      </c>
      <c r="V611" s="10" t="n">
        <v>3.484360282717627</v>
      </c>
    </row>
    <row r="612">
      <c r="I612" s="8" t="inlineStr">
        <is>
          <t>ACE-10606</t>
        </is>
      </c>
      <c r="J612" s="8" t="inlineStr">
        <is>
          <t>2026-05-17 09:50:32</t>
        </is>
      </c>
      <c r="K612" s="8" t="inlineStr">
        <is>
          <t>CUST-60444</t>
        </is>
      </c>
      <c r="L612" s="9" t="inlineStr">
        <is>
          <t>GBP-PKR</t>
        </is>
      </c>
      <c r="M612" s="8" t="inlineStr">
        <is>
          <t>GBP</t>
        </is>
      </c>
      <c r="N612" s="10" t="n">
        <v>336.1203177562468</v>
      </c>
      <c r="O612" s="11" t="n">
        <v>1</v>
      </c>
      <c r="P612" s="10" t="n">
        <v>336.1203177562468</v>
      </c>
      <c r="Q612" s="10" t="n">
        <v>1.5</v>
      </c>
      <c r="R612" s="12" t="n">
        <v>0.021</v>
      </c>
      <c r="S612" s="13" t="inlineStr">
        <is>
          <t>Success</t>
        </is>
      </c>
      <c r="T612" s="10" t="n">
        <v>0.5041804766343703</v>
      </c>
      <c r="U612" s="10" t="n">
        <v>0</v>
      </c>
      <c r="V612" s="10" t="n">
        <v>4.033443813074962</v>
      </c>
    </row>
    <row r="613">
      <c r="I613" s="8" t="inlineStr">
        <is>
          <t>ACE-10607</t>
        </is>
      </c>
      <c r="J613" s="8" t="inlineStr">
        <is>
          <t>2026-05-03 13:14:56</t>
        </is>
      </c>
      <c r="K613" s="8" t="inlineStr">
        <is>
          <t>CUST-63982</t>
        </is>
      </c>
      <c r="L613" s="9" t="inlineStr">
        <is>
          <t>GBP-PKR</t>
        </is>
      </c>
      <c r="M613" s="8" t="inlineStr">
        <is>
          <t>GBP</t>
        </is>
      </c>
      <c r="N613" s="10" t="n">
        <v>257.8584222307081</v>
      </c>
      <c r="O613" s="11" t="n">
        <v>1</v>
      </c>
      <c r="P613" s="10" t="n">
        <v>257.8584222307081</v>
      </c>
      <c r="Q613" s="10" t="n">
        <v>1.5</v>
      </c>
      <c r="R613" s="12" t="n">
        <v>0.021</v>
      </c>
      <c r="S613" s="13" t="inlineStr">
        <is>
          <t>Success</t>
        </is>
      </c>
      <c r="T613" s="10" t="n">
        <v>0.3867876333460621</v>
      </c>
      <c r="U613" s="10" t="n">
        <v>0</v>
      </c>
      <c r="V613" s="10" t="n">
        <v>3.094301066768497</v>
      </c>
    </row>
    <row r="614">
      <c r="I614" s="8" t="inlineStr">
        <is>
          <t>ACE-10608</t>
        </is>
      </c>
      <c r="J614" s="8" t="inlineStr">
        <is>
          <t>2026-05-10 11:48:39</t>
        </is>
      </c>
      <c r="K614" s="8" t="inlineStr">
        <is>
          <t>CUST-84766</t>
        </is>
      </c>
      <c r="L614" s="9" t="inlineStr">
        <is>
          <t>USD-PKR</t>
        </is>
      </c>
      <c r="M614" s="8" t="inlineStr">
        <is>
          <t>USD</t>
        </is>
      </c>
      <c r="N614" s="10" t="n">
        <v>193.2842833786499</v>
      </c>
      <c r="O614" s="11" t="n">
        <v>0.8</v>
      </c>
      <c r="P614" s="10" t="n">
        <v>154.62742670292</v>
      </c>
      <c r="Q614" s="10" t="n">
        <v>1.6</v>
      </c>
      <c r="R614" s="12" t="n">
        <v>0.019</v>
      </c>
      <c r="S614" s="13" t="inlineStr">
        <is>
          <t>Success</t>
        </is>
      </c>
      <c r="T614" s="10" t="n">
        <v>0.2319411400543799</v>
      </c>
      <c r="U614" s="10" t="n">
        <v>0</v>
      </c>
      <c r="V614" s="10" t="n">
        <v>1.855529120435039</v>
      </c>
    </row>
    <row r="615">
      <c r="I615" s="8" t="inlineStr">
        <is>
          <t>ACE-10609</t>
        </is>
      </c>
      <c r="J615" s="8" t="inlineStr">
        <is>
          <t>2026-05-21 08:07:42</t>
        </is>
      </c>
      <c r="K615" s="8" t="inlineStr">
        <is>
          <t>CUST-72675</t>
        </is>
      </c>
      <c r="L615" s="9" t="inlineStr">
        <is>
          <t>USD-PKR</t>
        </is>
      </c>
      <c r="M615" s="8" t="inlineStr">
        <is>
          <t>USD</t>
        </is>
      </c>
      <c r="N615" s="10" t="n">
        <v>183.2324419536038</v>
      </c>
      <c r="O615" s="11" t="n">
        <v>0.8</v>
      </c>
      <c r="P615" s="10" t="n">
        <v>146.585953562883</v>
      </c>
      <c r="Q615" s="10" t="n">
        <v>1.6</v>
      </c>
      <c r="R615" s="12" t="n">
        <v>0.019</v>
      </c>
      <c r="S615" s="13" t="inlineStr">
        <is>
          <t>Success</t>
        </is>
      </c>
      <c r="T615" s="10" t="n">
        <v>0.2198789303443246</v>
      </c>
      <c r="U615" s="10" t="n">
        <v>0.4397578606886491</v>
      </c>
      <c r="V615" s="10" t="n">
        <v>1.759031442754597</v>
      </c>
    </row>
    <row r="616">
      <c r="I616" s="8" t="inlineStr">
        <is>
          <t>ACE-10610</t>
        </is>
      </c>
      <c r="J616" s="8" t="inlineStr">
        <is>
          <t>2026-05-20 17:15:02</t>
        </is>
      </c>
      <c r="K616" s="8" t="inlineStr">
        <is>
          <t>CUST-94731</t>
        </is>
      </c>
      <c r="L616" s="9" t="inlineStr">
        <is>
          <t>GBP-PKR</t>
        </is>
      </c>
      <c r="M616" s="8" t="inlineStr">
        <is>
          <t>GBP</t>
        </is>
      </c>
      <c r="N616" s="10" t="n">
        <v>323.5630628879495</v>
      </c>
      <c r="O616" s="11" t="n">
        <v>1</v>
      </c>
      <c r="P616" s="10" t="n">
        <v>323.5630628879495</v>
      </c>
      <c r="Q616" s="10" t="n">
        <v>1.5</v>
      </c>
      <c r="R616" s="12" t="n">
        <v>0.021</v>
      </c>
      <c r="S616" s="13" t="inlineStr">
        <is>
          <t>Success</t>
        </is>
      </c>
      <c r="T616" s="10" t="n">
        <v>0.4853445943319243</v>
      </c>
      <c r="U616" s="10" t="n">
        <v>0</v>
      </c>
      <c r="V616" s="10" t="n">
        <v>3.882756754655394</v>
      </c>
    </row>
    <row r="617">
      <c r="I617" s="8" t="inlineStr">
        <is>
          <t>ACE-10611</t>
        </is>
      </c>
      <c r="J617" s="8" t="inlineStr">
        <is>
          <t>2026-05-04 14:16:34</t>
        </is>
      </c>
      <c r="K617" s="8" t="inlineStr">
        <is>
          <t>CUST-97446</t>
        </is>
      </c>
      <c r="L617" s="9" t="inlineStr">
        <is>
          <t>GBP-PKR</t>
        </is>
      </c>
      <c r="M617" s="8" t="inlineStr">
        <is>
          <t>GBP</t>
        </is>
      </c>
      <c r="N617" s="10" t="n">
        <v>297.4440585463768</v>
      </c>
      <c r="O617" s="11" t="n">
        <v>1</v>
      </c>
      <c r="P617" s="10" t="n">
        <v>297.4440585463768</v>
      </c>
      <c r="Q617" s="10" t="n">
        <v>1.5</v>
      </c>
      <c r="R617" s="12" t="n">
        <v>0.021</v>
      </c>
      <c r="S617" s="13" t="inlineStr">
        <is>
          <t>Success</t>
        </is>
      </c>
      <c r="T617" s="10" t="n">
        <v>0.4461660878195652</v>
      </c>
      <c r="U617" s="10" t="n">
        <v>0.8923321756391305</v>
      </c>
      <c r="V617" s="10" t="n">
        <v>3.569328702556522</v>
      </c>
    </row>
    <row r="618">
      <c r="I618" s="8" t="inlineStr">
        <is>
          <t>ACE-10612</t>
        </is>
      </c>
      <c r="J618" s="8" t="inlineStr">
        <is>
          <t>2026-05-12 16:51:32</t>
        </is>
      </c>
      <c r="K618" s="8" t="inlineStr">
        <is>
          <t>CUST-79200</t>
        </is>
      </c>
      <c r="L618" s="9" t="inlineStr">
        <is>
          <t>GBP-PKR</t>
        </is>
      </c>
      <c r="M618" s="8" t="inlineStr">
        <is>
          <t>GBP</t>
        </is>
      </c>
      <c r="N618" s="10" t="n">
        <v>277.0591818010454</v>
      </c>
      <c r="O618" s="11" t="n">
        <v>1</v>
      </c>
      <c r="P618" s="10" t="n">
        <v>277.0591818010454</v>
      </c>
      <c r="Q618" s="10" t="n">
        <v>1.5</v>
      </c>
      <c r="R618" s="12" t="n">
        <v>0.021</v>
      </c>
      <c r="S618" s="13" t="inlineStr">
        <is>
          <t>Success</t>
        </is>
      </c>
      <c r="T618" s="10" t="n">
        <v>0.4155887727015682</v>
      </c>
      <c r="U618" s="10" t="n">
        <v>0</v>
      </c>
      <c r="V618" s="10" t="n">
        <v>3.324710181612546</v>
      </c>
    </row>
    <row r="619">
      <c r="I619" s="8" t="inlineStr">
        <is>
          <t>ACE-10613</t>
        </is>
      </c>
      <c r="J619" s="8" t="inlineStr">
        <is>
          <t>2026-05-21 11:20:32</t>
        </is>
      </c>
      <c r="K619" s="8" t="inlineStr">
        <is>
          <t>CUST-55396</t>
        </is>
      </c>
      <c r="L619" s="9" t="inlineStr">
        <is>
          <t>GBP-PKR</t>
        </is>
      </c>
      <c r="M619" s="8" t="inlineStr">
        <is>
          <t>GBP</t>
        </is>
      </c>
      <c r="N619" s="10" t="n">
        <v>286.5137321727906</v>
      </c>
      <c r="O619" s="11" t="n">
        <v>1</v>
      </c>
      <c r="P619" s="10" t="n">
        <v>286.5137321727906</v>
      </c>
      <c r="Q619" s="10" t="n">
        <v>1.5</v>
      </c>
      <c r="R619" s="12" t="n">
        <v>0.021</v>
      </c>
      <c r="S619" s="13" t="inlineStr">
        <is>
          <t>Success</t>
        </is>
      </c>
      <c r="T619" s="10" t="n">
        <v>0.429770598259186</v>
      </c>
      <c r="U619" s="10" t="n">
        <v>0</v>
      </c>
      <c r="V619" s="10" t="n">
        <v>3.438164786073488</v>
      </c>
    </row>
    <row r="620">
      <c r="I620" s="8" t="inlineStr">
        <is>
          <t>ACE-10614</t>
        </is>
      </c>
      <c r="J620" s="8" t="inlineStr">
        <is>
          <t>2026-05-18 16:00:40</t>
        </is>
      </c>
      <c r="K620" s="8" t="inlineStr">
        <is>
          <t>CUST-54290</t>
        </is>
      </c>
      <c r="L620" s="9" t="inlineStr">
        <is>
          <t>USD-PKR</t>
        </is>
      </c>
      <c r="M620" s="8" t="inlineStr">
        <is>
          <t>USD</t>
        </is>
      </c>
      <c r="N620" s="10" t="n">
        <v>195.6013465193002</v>
      </c>
      <c r="O620" s="11" t="n">
        <v>0.8</v>
      </c>
      <c r="P620" s="10" t="n">
        <v>156.4810772154402</v>
      </c>
      <c r="Q620" s="10" t="n">
        <v>1.6</v>
      </c>
      <c r="R620" s="12" t="n">
        <v>0.019</v>
      </c>
      <c r="S620" s="13" t="inlineStr">
        <is>
          <t>Success</t>
        </is>
      </c>
      <c r="T620" s="10" t="n">
        <v>0.2347216158231603</v>
      </c>
      <c r="U620" s="10" t="n">
        <v>0.4694432316463205</v>
      </c>
      <c r="V620" s="10" t="n">
        <v>1.877772926585282</v>
      </c>
    </row>
    <row r="621">
      <c r="I621" s="8" t="inlineStr">
        <is>
          <t>ACE-10615</t>
        </is>
      </c>
      <c r="J621" s="8" t="inlineStr">
        <is>
          <t>2026-05-07 18:27:53</t>
        </is>
      </c>
      <c r="K621" s="8" t="inlineStr">
        <is>
          <t>CUST-56810</t>
        </is>
      </c>
      <c r="L621" s="9" t="inlineStr">
        <is>
          <t>GBP-PKR</t>
        </is>
      </c>
      <c r="M621" s="8" t="inlineStr">
        <is>
          <t>GBP</t>
        </is>
      </c>
      <c r="N621" s="10" t="n">
        <v>355.7985860177441</v>
      </c>
      <c r="O621" s="11" t="n">
        <v>1</v>
      </c>
      <c r="P621" s="10" t="n">
        <v>355.7985860177441</v>
      </c>
      <c r="Q621" s="10" t="n">
        <v>1.5</v>
      </c>
      <c r="R621" s="12" t="n">
        <v>0.021</v>
      </c>
      <c r="S621" s="13" t="inlineStr">
        <is>
          <t>Success</t>
        </is>
      </c>
      <c r="T621" s="10" t="n">
        <v>0.5336978790266161</v>
      </c>
      <c r="U621" s="10" t="n">
        <v>1.067395758053232</v>
      </c>
      <c r="V621" s="10" t="n">
        <v>4.269583032212929</v>
      </c>
    </row>
    <row r="622">
      <c r="I622" s="8" t="inlineStr">
        <is>
          <t>ACE-10616</t>
        </is>
      </c>
      <c r="J622" s="8" t="inlineStr">
        <is>
          <t>2026-05-24 20:27:41</t>
        </is>
      </c>
      <c r="K622" s="8" t="inlineStr">
        <is>
          <t>CUST-54726</t>
        </is>
      </c>
      <c r="L622" s="9" t="inlineStr">
        <is>
          <t>GBP-PKR</t>
        </is>
      </c>
      <c r="M622" s="8" t="inlineStr">
        <is>
          <t>GBP</t>
        </is>
      </c>
      <c r="N622" s="10" t="n">
        <v>282.2270027375587</v>
      </c>
      <c r="O622" s="11" t="n">
        <v>1</v>
      </c>
      <c r="P622" s="10" t="n">
        <v>282.2270027375587</v>
      </c>
      <c r="Q622" s="10" t="n">
        <v>1.5</v>
      </c>
      <c r="R622" s="12" t="n">
        <v>0.021</v>
      </c>
      <c r="S622" s="13" t="inlineStr">
        <is>
          <t>Success</t>
        </is>
      </c>
      <c r="T622" s="10" t="n">
        <v>0.4233405041063381</v>
      </c>
      <c r="U622" s="10" t="n">
        <v>0</v>
      </c>
      <c r="V622" s="10" t="n">
        <v>3.386724032850705</v>
      </c>
    </row>
    <row r="623">
      <c r="I623" s="8" t="inlineStr">
        <is>
          <t>ACE-10617</t>
        </is>
      </c>
      <c r="J623" s="8" t="inlineStr">
        <is>
          <t>2026-05-15 19:21:02</t>
        </is>
      </c>
      <c r="K623" s="8" t="inlineStr">
        <is>
          <t>CUST-55735</t>
        </is>
      </c>
      <c r="L623" s="9" t="inlineStr">
        <is>
          <t>USD-PKR</t>
        </is>
      </c>
      <c r="M623" s="8" t="inlineStr">
        <is>
          <t>USD</t>
        </is>
      </c>
      <c r="N623" s="10" t="n">
        <v>221.310573691266</v>
      </c>
      <c r="O623" s="11" t="n">
        <v>0.8</v>
      </c>
      <c r="P623" s="10" t="n">
        <v>177.0484589530128</v>
      </c>
      <c r="Q623" s="10" t="n">
        <v>1.6</v>
      </c>
      <c r="R623" s="12" t="n">
        <v>0.019</v>
      </c>
      <c r="S623" s="13" t="inlineStr">
        <is>
          <t>Success</t>
        </is>
      </c>
      <c r="T623" s="10" t="n">
        <v>0.2655726884295192</v>
      </c>
      <c r="U623" s="10" t="n">
        <v>0</v>
      </c>
      <c r="V623" s="10" t="n">
        <v>2.124581507436154</v>
      </c>
    </row>
    <row r="624">
      <c r="I624" s="8" t="inlineStr">
        <is>
          <t>ACE-10618</t>
        </is>
      </c>
      <c r="J624" s="8" t="inlineStr">
        <is>
          <t>2026-05-09 16:04:36</t>
        </is>
      </c>
      <c r="K624" s="8" t="inlineStr">
        <is>
          <t>CUST-64918</t>
        </is>
      </c>
      <c r="L624" s="9" t="inlineStr">
        <is>
          <t>EUR-PKR</t>
        </is>
      </c>
      <c r="M624" s="8" t="inlineStr">
        <is>
          <t>EUR</t>
        </is>
      </c>
      <c r="N624" s="10" t="n">
        <v>203.2833329123778</v>
      </c>
      <c r="O624" s="11" t="n">
        <v>0.85</v>
      </c>
      <c r="P624" s="10" t="n">
        <v>172.7908329755211</v>
      </c>
      <c r="Q624" s="10" t="n">
        <v>1.275</v>
      </c>
      <c r="R624" s="12" t="n">
        <v>0.023</v>
      </c>
      <c r="S624" s="13" t="inlineStr">
        <is>
          <t>Success</t>
        </is>
      </c>
      <c r="T624" s="10" t="n">
        <v>0.2591862494632817</v>
      </c>
      <c r="U624" s="10" t="n">
        <v>0</v>
      </c>
      <c r="V624" s="10" t="n">
        <v>2.591862494632817</v>
      </c>
    </row>
    <row r="625">
      <c r="I625" s="8" t="inlineStr">
        <is>
          <t>ACE-10619</t>
        </is>
      </c>
      <c r="J625" s="8" t="inlineStr">
        <is>
          <t>2026-05-15 18:25:27</t>
        </is>
      </c>
      <c r="K625" s="8" t="inlineStr">
        <is>
          <t>CUST-70735</t>
        </is>
      </c>
      <c r="L625" s="9" t="inlineStr">
        <is>
          <t>GBP-PKR</t>
        </is>
      </c>
      <c r="M625" s="8" t="inlineStr">
        <is>
          <t>GBP</t>
        </is>
      </c>
      <c r="N625" s="10" t="n">
        <v>292.3321121539738</v>
      </c>
      <c r="O625" s="11" t="n">
        <v>1</v>
      </c>
      <c r="P625" s="10" t="n">
        <v>292.3321121539738</v>
      </c>
      <c r="Q625" s="10" t="n">
        <v>1.5</v>
      </c>
      <c r="R625" s="12" t="n">
        <v>0.021</v>
      </c>
      <c r="S625" s="13" t="inlineStr">
        <is>
          <t>Failed</t>
        </is>
      </c>
      <c r="T625" s="10" t="n">
        <v>0</v>
      </c>
      <c r="U625" s="10" t="n">
        <v>0</v>
      </c>
      <c r="V625" s="10" t="n">
        <v>0.5</v>
      </c>
    </row>
    <row r="626">
      <c r="I626" s="8" t="inlineStr">
        <is>
          <t>ACE-10620</t>
        </is>
      </c>
      <c r="J626" s="8" t="inlineStr">
        <is>
          <t>2026-05-22 09:34:00</t>
        </is>
      </c>
      <c r="K626" s="8" t="inlineStr">
        <is>
          <t>CUST-92036</t>
        </is>
      </c>
      <c r="L626" s="9" t="inlineStr">
        <is>
          <t>GBP-PKR</t>
        </is>
      </c>
      <c r="M626" s="8" t="inlineStr">
        <is>
          <t>GBP</t>
        </is>
      </c>
      <c r="N626" s="10" t="n">
        <v>284.9113290154237</v>
      </c>
      <c r="O626" s="11" t="n">
        <v>1</v>
      </c>
      <c r="P626" s="10" t="n">
        <v>284.9113290154237</v>
      </c>
      <c r="Q626" s="10" t="n">
        <v>1.5</v>
      </c>
      <c r="R626" s="12" t="n">
        <v>0.021</v>
      </c>
      <c r="S626" s="13" t="inlineStr">
        <is>
          <t>Success</t>
        </is>
      </c>
      <c r="T626" s="10" t="n">
        <v>0.4273669935231356</v>
      </c>
      <c r="U626" s="10" t="n">
        <v>0</v>
      </c>
      <c r="V626" s="10" t="n">
        <v>3.418935948185085</v>
      </c>
    </row>
    <row r="627">
      <c r="I627" s="8" t="inlineStr">
        <is>
          <t>ACE-10621</t>
        </is>
      </c>
      <c r="J627" s="8" t="inlineStr">
        <is>
          <t>2026-05-24 17:02:44</t>
        </is>
      </c>
      <c r="K627" s="8" t="inlineStr">
        <is>
          <t>CUST-54757</t>
        </is>
      </c>
      <c r="L627" s="9" t="inlineStr">
        <is>
          <t>GBP-PKR</t>
        </is>
      </c>
      <c r="M627" s="8" t="inlineStr">
        <is>
          <t>GBP</t>
        </is>
      </c>
      <c r="N627" s="10" t="n">
        <v>257.4285375797409</v>
      </c>
      <c r="O627" s="11" t="n">
        <v>1</v>
      </c>
      <c r="P627" s="10" t="n">
        <v>257.4285375797409</v>
      </c>
      <c r="Q627" s="10" t="n">
        <v>1.5</v>
      </c>
      <c r="R627" s="12" t="n">
        <v>0.021</v>
      </c>
      <c r="S627" s="13" t="inlineStr">
        <is>
          <t>Success</t>
        </is>
      </c>
      <c r="T627" s="10" t="n">
        <v>0.3861428063696113</v>
      </c>
      <c r="U627" s="10" t="n">
        <v>0</v>
      </c>
      <c r="V627" s="10" t="n">
        <v>3.08914245095689</v>
      </c>
    </row>
    <row r="628">
      <c r="I628" s="8" t="inlineStr">
        <is>
          <t>ACE-10622</t>
        </is>
      </c>
      <c r="J628" s="8" t="inlineStr">
        <is>
          <t>2026-05-10 20:43:19</t>
        </is>
      </c>
      <c r="K628" s="8" t="inlineStr">
        <is>
          <t>CUST-89751</t>
        </is>
      </c>
      <c r="L628" s="9" t="inlineStr">
        <is>
          <t>GBP-PKR</t>
        </is>
      </c>
      <c r="M628" s="8" t="inlineStr">
        <is>
          <t>GBP</t>
        </is>
      </c>
      <c r="N628" s="10" t="n">
        <v>292.0533347617455</v>
      </c>
      <c r="O628" s="11" t="n">
        <v>1</v>
      </c>
      <c r="P628" s="10" t="n">
        <v>292.0533347617455</v>
      </c>
      <c r="Q628" s="10" t="n">
        <v>1.5</v>
      </c>
      <c r="R628" s="12" t="n">
        <v>0.021</v>
      </c>
      <c r="S628" s="13" t="inlineStr">
        <is>
          <t>Success</t>
        </is>
      </c>
      <c r="T628" s="10" t="n">
        <v>0.4380800021426182</v>
      </c>
      <c r="U628" s="10" t="n">
        <v>0.8761600042852364</v>
      </c>
      <c r="V628" s="10" t="n">
        <v>3.504640017140946</v>
      </c>
    </row>
    <row r="629">
      <c r="I629" s="8" t="inlineStr">
        <is>
          <t>ACE-10623</t>
        </is>
      </c>
      <c r="J629" s="8" t="inlineStr">
        <is>
          <t>2026-05-15 14:25:52</t>
        </is>
      </c>
      <c r="K629" s="8" t="inlineStr">
        <is>
          <t>CUST-93301</t>
        </is>
      </c>
      <c r="L629" s="9" t="inlineStr">
        <is>
          <t>USD-PKR</t>
        </is>
      </c>
      <c r="M629" s="8" t="inlineStr">
        <is>
          <t>USD</t>
        </is>
      </c>
      <c r="N629" s="10" t="n">
        <v>264.2326581717528</v>
      </c>
      <c r="O629" s="11" t="n">
        <v>0.8</v>
      </c>
      <c r="P629" s="10" t="n">
        <v>211.3861265374022</v>
      </c>
      <c r="Q629" s="10" t="n">
        <v>1.6</v>
      </c>
      <c r="R629" s="12" t="n">
        <v>0.019</v>
      </c>
      <c r="S629" s="13" t="inlineStr">
        <is>
          <t>Success</t>
        </is>
      </c>
      <c r="T629" s="10" t="n">
        <v>0.3170791898061034</v>
      </c>
      <c r="U629" s="10" t="n">
        <v>0</v>
      </c>
      <c r="V629" s="10" t="n">
        <v>2.536633518448827</v>
      </c>
    </row>
    <row r="630">
      <c r="I630" s="8" t="inlineStr">
        <is>
          <t>ACE-10624</t>
        </is>
      </c>
      <c r="J630" s="8" t="inlineStr">
        <is>
          <t>2026-05-08 10:47:25</t>
        </is>
      </c>
      <c r="K630" s="8" t="inlineStr">
        <is>
          <t>CUST-85764</t>
        </is>
      </c>
      <c r="L630" s="9" t="inlineStr">
        <is>
          <t>GBP-PKR</t>
        </is>
      </c>
      <c r="M630" s="8" t="inlineStr">
        <is>
          <t>GBP</t>
        </is>
      </c>
      <c r="N630" s="10" t="n">
        <v>318.7259388889178</v>
      </c>
      <c r="O630" s="11" t="n">
        <v>1</v>
      </c>
      <c r="P630" s="10" t="n">
        <v>318.7259388889178</v>
      </c>
      <c r="Q630" s="10" t="n">
        <v>1.5</v>
      </c>
      <c r="R630" s="12" t="n">
        <v>0.021</v>
      </c>
      <c r="S630" s="13" t="inlineStr">
        <is>
          <t>Success</t>
        </is>
      </c>
      <c r="T630" s="10" t="n">
        <v>0.4780889083333766</v>
      </c>
      <c r="U630" s="10" t="n">
        <v>0.9561778166667533</v>
      </c>
      <c r="V630" s="10" t="n">
        <v>3.824711266667013</v>
      </c>
    </row>
    <row r="631">
      <c r="I631" s="8" t="inlineStr">
        <is>
          <t>ACE-10625</t>
        </is>
      </c>
      <c r="J631" s="8" t="inlineStr">
        <is>
          <t>2026-05-10 18:56:58</t>
        </is>
      </c>
      <c r="K631" s="8" t="inlineStr">
        <is>
          <t>CUST-97797</t>
        </is>
      </c>
      <c r="L631" s="9" t="inlineStr">
        <is>
          <t>GBP-PKR</t>
        </is>
      </c>
      <c r="M631" s="8" t="inlineStr">
        <is>
          <t>GBP</t>
        </is>
      </c>
      <c r="N631" s="10" t="n">
        <v>326.7215456692187</v>
      </c>
      <c r="O631" s="11" t="n">
        <v>1</v>
      </c>
      <c r="P631" s="10" t="n">
        <v>326.7215456692187</v>
      </c>
      <c r="Q631" s="10" t="n">
        <v>1.5</v>
      </c>
      <c r="R631" s="12" t="n">
        <v>0.021</v>
      </c>
      <c r="S631" s="13" t="inlineStr">
        <is>
          <t>Success</t>
        </is>
      </c>
      <c r="T631" s="10" t="n">
        <v>0.4900823185038281</v>
      </c>
      <c r="U631" s="10" t="n">
        <v>0.9801646370076561</v>
      </c>
      <c r="V631" s="10" t="n">
        <v>3.920658548030624</v>
      </c>
    </row>
    <row r="632">
      <c r="I632" s="8" t="inlineStr">
        <is>
          <t>ACE-10626</t>
        </is>
      </c>
      <c r="J632" s="8" t="inlineStr">
        <is>
          <t>2026-05-01 16:55:35</t>
        </is>
      </c>
      <c r="K632" s="8" t="inlineStr">
        <is>
          <t>CUST-59265</t>
        </is>
      </c>
      <c r="L632" s="9" t="inlineStr">
        <is>
          <t>GBP-PKR</t>
        </is>
      </c>
      <c r="M632" s="8" t="inlineStr">
        <is>
          <t>GBP</t>
        </is>
      </c>
      <c r="N632" s="10" t="n">
        <v>264.7187748555846</v>
      </c>
      <c r="O632" s="11" t="n">
        <v>1</v>
      </c>
      <c r="P632" s="10" t="n">
        <v>264.7187748555846</v>
      </c>
      <c r="Q632" s="10" t="n">
        <v>1.5</v>
      </c>
      <c r="R632" s="12" t="n">
        <v>0.021</v>
      </c>
      <c r="S632" s="13" t="inlineStr">
        <is>
          <t>Success</t>
        </is>
      </c>
      <c r="T632" s="10" t="n">
        <v>0.3970781622833769</v>
      </c>
      <c r="U632" s="10" t="n">
        <v>0</v>
      </c>
      <c r="V632" s="10" t="n">
        <v>3.176625298267016</v>
      </c>
    </row>
    <row r="633">
      <c r="I633" s="8" t="inlineStr">
        <is>
          <t>ACE-10627</t>
        </is>
      </c>
      <c r="J633" s="8" t="inlineStr">
        <is>
          <t>2026-05-20 14:34:35</t>
        </is>
      </c>
      <c r="K633" s="8" t="inlineStr">
        <is>
          <t>CUST-55578</t>
        </is>
      </c>
      <c r="L633" s="9" t="inlineStr">
        <is>
          <t>GBP-PKR</t>
        </is>
      </c>
      <c r="M633" s="8" t="inlineStr">
        <is>
          <t>GBP</t>
        </is>
      </c>
      <c r="N633" s="10" t="n">
        <v>252.353055562418</v>
      </c>
      <c r="O633" s="11" t="n">
        <v>1</v>
      </c>
      <c r="P633" s="10" t="n">
        <v>252.353055562418</v>
      </c>
      <c r="Q633" s="10" t="n">
        <v>1.5</v>
      </c>
      <c r="R633" s="12" t="n">
        <v>0.021</v>
      </c>
      <c r="S633" s="13" t="inlineStr">
        <is>
          <t>Success</t>
        </is>
      </c>
      <c r="T633" s="10" t="n">
        <v>0.3785295833436271</v>
      </c>
      <c r="U633" s="10" t="n">
        <v>0.7570591666872541</v>
      </c>
      <c r="V633" s="10" t="n">
        <v>3.028236666749017</v>
      </c>
    </row>
    <row r="634">
      <c r="I634" s="8" t="inlineStr">
        <is>
          <t>ACE-10628</t>
        </is>
      </c>
      <c r="J634" s="8" t="inlineStr">
        <is>
          <t>2026-05-24 13:13:26</t>
        </is>
      </c>
      <c r="K634" s="8" t="inlineStr">
        <is>
          <t>CUST-92331</t>
        </is>
      </c>
      <c r="L634" s="9" t="inlineStr">
        <is>
          <t>USD-PKR</t>
        </is>
      </c>
      <c r="M634" s="8" t="inlineStr">
        <is>
          <t>USD</t>
        </is>
      </c>
      <c r="N634" s="10" t="n">
        <v>216.166480602155</v>
      </c>
      <c r="O634" s="11" t="n">
        <v>0.8</v>
      </c>
      <c r="P634" s="10" t="n">
        <v>172.933184481724</v>
      </c>
      <c r="Q634" s="10" t="n">
        <v>1.6</v>
      </c>
      <c r="R634" s="12" t="n">
        <v>0.019</v>
      </c>
      <c r="S634" s="13" t="inlineStr">
        <is>
          <t>Success</t>
        </is>
      </c>
      <c r="T634" s="10" t="n">
        <v>0.259399776722586</v>
      </c>
      <c r="U634" s="10" t="n">
        <v>0</v>
      </c>
      <c r="V634" s="10" t="n">
        <v>2.075198213780688</v>
      </c>
    </row>
    <row r="635">
      <c r="I635" s="8" t="inlineStr">
        <is>
          <t>ACE-10629</t>
        </is>
      </c>
      <c r="J635" s="8" t="inlineStr">
        <is>
          <t>2026-05-06 11:39:53</t>
        </is>
      </c>
      <c r="K635" s="8" t="inlineStr">
        <is>
          <t>CUST-66563</t>
        </is>
      </c>
      <c r="L635" s="9" t="inlineStr">
        <is>
          <t>GBP-PKR</t>
        </is>
      </c>
      <c r="M635" s="8" t="inlineStr">
        <is>
          <t>GBP</t>
        </is>
      </c>
      <c r="N635" s="10" t="n">
        <v>280.1603434373097</v>
      </c>
      <c r="O635" s="11" t="n">
        <v>1</v>
      </c>
      <c r="P635" s="10" t="n">
        <v>280.1603434373097</v>
      </c>
      <c r="Q635" s="10" t="n">
        <v>1.5</v>
      </c>
      <c r="R635" s="12" t="n">
        <v>0.021</v>
      </c>
      <c r="S635" s="13" t="inlineStr">
        <is>
          <t>Success</t>
        </is>
      </c>
      <c r="T635" s="10" t="n">
        <v>0.4202405151559645</v>
      </c>
      <c r="U635" s="10" t="n">
        <v>0</v>
      </c>
      <c r="V635" s="10" t="n">
        <v>3.361924121247716</v>
      </c>
    </row>
    <row r="636">
      <c r="I636" s="8" t="inlineStr">
        <is>
          <t>ACE-10630</t>
        </is>
      </c>
      <c r="J636" s="8" t="inlineStr">
        <is>
          <t>2026-05-19 08:54:48</t>
        </is>
      </c>
      <c r="K636" s="8" t="inlineStr">
        <is>
          <t>CUST-85969</t>
        </is>
      </c>
      <c r="L636" s="9" t="inlineStr">
        <is>
          <t>USD-PKR</t>
        </is>
      </c>
      <c r="M636" s="8" t="inlineStr">
        <is>
          <t>USD</t>
        </is>
      </c>
      <c r="N636" s="10" t="n">
        <v>244.2144415658884</v>
      </c>
      <c r="O636" s="11" t="n">
        <v>0.8</v>
      </c>
      <c r="P636" s="10" t="n">
        <v>195.3715532527107</v>
      </c>
      <c r="Q636" s="10" t="n">
        <v>1.6</v>
      </c>
      <c r="R636" s="12" t="n">
        <v>0.019</v>
      </c>
      <c r="S636" s="13" t="inlineStr">
        <is>
          <t>Success</t>
        </is>
      </c>
      <c r="T636" s="10" t="n">
        <v>0.2930573298790661</v>
      </c>
      <c r="U636" s="10" t="n">
        <v>0</v>
      </c>
      <c r="V636" s="10" t="n">
        <v>2.344458639032529</v>
      </c>
    </row>
    <row r="637">
      <c r="I637" s="8" t="inlineStr">
        <is>
          <t>ACE-10631</t>
        </is>
      </c>
      <c r="J637" s="8" t="inlineStr">
        <is>
          <t>2026-05-10 18:04:16</t>
        </is>
      </c>
      <c r="K637" s="8" t="inlineStr">
        <is>
          <t>CUST-56435</t>
        </is>
      </c>
      <c r="L637" s="9" t="inlineStr">
        <is>
          <t>GBP-PKR</t>
        </is>
      </c>
      <c r="M637" s="8" t="inlineStr">
        <is>
          <t>GBP</t>
        </is>
      </c>
      <c r="N637" s="10" t="n">
        <v>235.2251499101019</v>
      </c>
      <c r="O637" s="11" t="n">
        <v>1</v>
      </c>
      <c r="P637" s="10" t="n">
        <v>235.2251499101019</v>
      </c>
      <c r="Q637" s="10" t="n">
        <v>1.5</v>
      </c>
      <c r="R637" s="12" t="n">
        <v>0.021</v>
      </c>
      <c r="S637" s="13" t="inlineStr">
        <is>
          <t>Success</t>
        </is>
      </c>
      <c r="T637" s="10" t="n">
        <v>0.3528377248651528</v>
      </c>
      <c r="U637" s="10" t="n">
        <v>0</v>
      </c>
      <c r="V637" s="10" t="n">
        <v>2.822701798921222</v>
      </c>
    </row>
    <row r="638">
      <c r="I638" s="8" t="inlineStr">
        <is>
          <t>ACE-10632</t>
        </is>
      </c>
      <c r="J638" s="8" t="inlineStr">
        <is>
          <t>2026-05-11 13:08:42</t>
        </is>
      </c>
      <c r="K638" s="8" t="inlineStr">
        <is>
          <t>CUST-92957</t>
        </is>
      </c>
      <c r="L638" s="9" t="inlineStr">
        <is>
          <t>GBP-PKR</t>
        </is>
      </c>
      <c r="M638" s="8" t="inlineStr">
        <is>
          <t>GBP</t>
        </is>
      </c>
      <c r="N638" s="10" t="n">
        <v>324.6490118191125</v>
      </c>
      <c r="O638" s="11" t="n">
        <v>1</v>
      </c>
      <c r="P638" s="10" t="n">
        <v>324.6490118191125</v>
      </c>
      <c r="Q638" s="10" t="n">
        <v>1.5</v>
      </c>
      <c r="R638" s="12" t="n">
        <v>0.021</v>
      </c>
      <c r="S638" s="13" t="inlineStr">
        <is>
          <t>Success</t>
        </is>
      </c>
      <c r="T638" s="10" t="n">
        <v>0.4869735177286688</v>
      </c>
      <c r="U638" s="10" t="n">
        <v>0</v>
      </c>
      <c r="V638" s="10" t="n">
        <v>3.89578814182935</v>
      </c>
    </row>
    <row r="639">
      <c r="I639" s="8" t="inlineStr">
        <is>
          <t>ACE-10633</t>
        </is>
      </c>
      <c r="J639" s="8" t="inlineStr">
        <is>
          <t>2026-05-03 11:20:31</t>
        </is>
      </c>
      <c r="K639" s="8" t="inlineStr">
        <is>
          <t>CUST-79533</t>
        </is>
      </c>
      <c r="L639" s="9" t="inlineStr">
        <is>
          <t>GBP-PKR</t>
        </is>
      </c>
      <c r="M639" s="8" t="inlineStr">
        <is>
          <t>GBP</t>
        </is>
      </c>
      <c r="N639" s="10" t="n">
        <v>274.2359352179512</v>
      </c>
      <c r="O639" s="11" t="n">
        <v>1</v>
      </c>
      <c r="P639" s="10" t="n">
        <v>274.2359352179512</v>
      </c>
      <c r="Q639" s="10" t="n">
        <v>1.5</v>
      </c>
      <c r="R639" s="12" t="n">
        <v>0.021</v>
      </c>
      <c r="S639" s="13" t="inlineStr">
        <is>
          <t>Success</t>
        </is>
      </c>
      <c r="T639" s="10" t="n">
        <v>0.4113539028269269</v>
      </c>
      <c r="U639" s="10" t="n">
        <v>0.8227078056538537</v>
      </c>
      <c r="V639" s="10" t="n">
        <v>3.290831222615415</v>
      </c>
    </row>
    <row r="640">
      <c r="I640" s="8" t="inlineStr">
        <is>
          <t>ACE-10634</t>
        </is>
      </c>
      <c r="J640" s="8" t="inlineStr">
        <is>
          <t>2026-05-23 17:09:36</t>
        </is>
      </c>
      <c r="K640" s="8" t="inlineStr">
        <is>
          <t>CUST-87149</t>
        </is>
      </c>
      <c r="L640" s="9" t="inlineStr">
        <is>
          <t>USD-PKR</t>
        </is>
      </c>
      <c r="M640" s="8" t="inlineStr">
        <is>
          <t>USD</t>
        </is>
      </c>
      <c r="N640" s="10" t="n">
        <v>209.7548440245951</v>
      </c>
      <c r="O640" s="11" t="n">
        <v>0.8</v>
      </c>
      <c r="P640" s="10" t="n">
        <v>167.8038752196761</v>
      </c>
      <c r="Q640" s="10" t="n">
        <v>1.6</v>
      </c>
      <c r="R640" s="12" t="n">
        <v>0.019</v>
      </c>
      <c r="S640" s="13" t="inlineStr">
        <is>
          <t>Success</t>
        </is>
      </c>
      <c r="T640" s="10" t="n">
        <v>0.2517058128295142</v>
      </c>
      <c r="U640" s="10" t="n">
        <v>0</v>
      </c>
      <c r="V640" s="10" t="n">
        <v>2.013646502636113</v>
      </c>
    </row>
    <row r="641">
      <c r="I641" s="8" t="inlineStr">
        <is>
          <t>ACE-10635</t>
        </is>
      </c>
      <c r="J641" s="8" t="inlineStr">
        <is>
          <t>2026-05-14 10:00:20</t>
        </is>
      </c>
      <c r="K641" s="8" t="inlineStr">
        <is>
          <t>CUST-66133</t>
        </is>
      </c>
      <c r="L641" s="9" t="inlineStr">
        <is>
          <t>USD-PKR</t>
        </is>
      </c>
      <c r="M641" s="8" t="inlineStr">
        <is>
          <t>USD</t>
        </is>
      </c>
      <c r="N641" s="10" t="n">
        <v>197.8317869641933</v>
      </c>
      <c r="O641" s="11" t="n">
        <v>0.8</v>
      </c>
      <c r="P641" s="10" t="n">
        <v>158.2654295713546</v>
      </c>
      <c r="Q641" s="10" t="n">
        <v>1.6</v>
      </c>
      <c r="R641" s="12" t="n">
        <v>0.019</v>
      </c>
      <c r="S641" s="13" t="inlineStr">
        <is>
          <t>Success</t>
        </is>
      </c>
      <c r="T641" s="10" t="n">
        <v>0.2373981443570319</v>
      </c>
      <c r="U641" s="10" t="n">
        <v>0.4747962887140639</v>
      </c>
      <c r="V641" s="10" t="n">
        <v>1.899185154856255</v>
      </c>
    </row>
    <row r="642">
      <c r="I642" s="8" t="inlineStr">
        <is>
          <t>ACE-10636</t>
        </is>
      </c>
      <c r="J642" s="8" t="inlineStr">
        <is>
          <t>2026-05-21 14:17:53</t>
        </is>
      </c>
      <c r="K642" s="8" t="inlineStr">
        <is>
          <t>CUST-73559</t>
        </is>
      </c>
      <c r="L642" s="9" t="inlineStr">
        <is>
          <t>USD-PKR</t>
        </is>
      </c>
      <c r="M642" s="8" t="inlineStr">
        <is>
          <t>USD</t>
        </is>
      </c>
      <c r="N642" s="10" t="n">
        <v>185.5161386674424</v>
      </c>
      <c r="O642" s="11" t="n">
        <v>0.8</v>
      </c>
      <c r="P642" s="10" t="n">
        <v>148.412910933954</v>
      </c>
      <c r="Q642" s="10" t="n">
        <v>1.6</v>
      </c>
      <c r="R642" s="12" t="n">
        <v>0.019</v>
      </c>
      <c r="S642" s="13" t="inlineStr">
        <is>
          <t>Success</t>
        </is>
      </c>
      <c r="T642" s="10" t="n">
        <v>0.2226193664009309</v>
      </c>
      <c r="U642" s="10" t="n">
        <v>0.4452387328018619</v>
      </c>
      <c r="V642" s="10" t="n">
        <v>1.780954931207448</v>
      </c>
    </row>
    <row r="643">
      <c r="I643" s="8" t="inlineStr">
        <is>
          <t>ACE-10637</t>
        </is>
      </c>
      <c r="J643" s="8" t="inlineStr">
        <is>
          <t>2026-05-16 15:28:22</t>
        </is>
      </c>
      <c r="K643" s="8" t="inlineStr">
        <is>
          <t>CUST-70019</t>
        </is>
      </c>
      <c r="L643" s="9" t="inlineStr">
        <is>
          <t>GBP-PKR</t>
        </is>
      </c>
      <c r="M643" s="8" t="inlineStr">
        <is>
          <t>GBP</t>
        </is>
      </c>
      <c r="N643" s="10" t="n">
        <v>302.5076787860589</v>
      </c>
      <c r="O643" s="11" t="n">
        <v>1</v>
      </c>
      <c r="P643" s="10" t="n">
        <v>302.5076787860589</v>
      </c>
      <c r="Q643" s="10" t="n">
        <v>1.5</v>
      </c>
      <c r="R643" s="12" t="n">
        <v>0.021</v>
      </c>
      <c r="S643" s="13" t="inlineStr">
        <is>
          <t>Success</t>
        </is>
      </c>
      <c r="T643" s="10" t="n">
        <v>0.4537615181790884</v>
      </c>
      <c r="U643" s="10" t="n">
        <v>0</v>
      </c>
      <c r="V643" s="10" t="n">
        <v>3.630092145432707</v>
      </c>
    </row>
    <row r="644">
      <c r="I644" s="8" t="inlineStr">
        <is>
          <t>ACE-10638</t>
        </is>
      </c>
      <c r="J644" s="8" t="inlineStr">
        <is>
          <t>2026-05-21 17:05:53</t>
        </is>
      </c>
      <c r="K644" s="8" t="inlineStr">
        <is>
          <t>CUST-68390</t>
        </is>
      </c>
      <c r="L644" s="9" t="inlineStr">
        <is>
          <t>GBP-PKR</t>
        </is>
      </c>
      <c r="M644" s="8" t="inlineStr">
        <is>
          <t>GBP</t>
        </is>
      </c>
      <c r="N644" s="10" t="n">
        <v>280.6536648919206</v>
      </c>
      <c r="O644" s="11" t="n">
        <v>1</v>
      </c>
      <c r="P644" s="10" t="n">
        <v>280.6536648919206</v>
      </c>
      <c r="Q644" s="10" t="n">
        <v>1.5</v>
      </c>
      <c r="R644" s="12" t="n">
        <v>0.021</v>
      </c>
      <c r="S644" s="13" t="inlineStr">
        <is>
          <t>Success</t>
        </is>
      </c>
      <c r="T644" s="10" t="n">
        <v>0.4209804973378809</v>
      </c>
      <c r="U644" s="10" t="n">
        <v>0</v>
      </c>
      <c r="V644" s="10" t="n">
        <v>3.367843978703047</v>
      </c>
    </row>
    <row r="645">
      <c r="I645" s="8" t="inlineStr">
        <is>
          <t>ACE-10639</t>
        </is>
      </c>
      <c r="J645" s="8" t="inlineStr">
        <is>
          <t>2026-05-18 11:16:46</t>
        </is>
      </c>
      <c r="K645" s="8" t="inlineStr">
        <is>
          <t>CUST-91066</t>
        </is>
      </c>
      <c r="L645" s="9" t="inlineStr">
        <is>
          <t>USD-PKR</t>
        </is>
      </c>
      <c r="M645" s="8" t="inlineStr">
        <is>
          <t>USD</t>
        </is>
      </c>
      <c r="N645" s="10" t="n">
        <v>192.4105665415603</v>
      </c>
      <c r="O645" s="11" t="n">
        <v>0.8</v>
      </c>
      <c r="P645" s="10" t="n">
        <v>153.9284532332483</v>
      </c>
      <c r="Q645" s="10" t="n">
        <v>1.6</v>
      </c>
      <c r="R645" s="12" t="n">
        <v>0.019</v>
      </c>
      <c r="S645" s="13" t="inlineStr">
        <is>
          <t>Success</t>
        </is>
      </c>
      <c r="T645" s="10" t="n">
        <v>0.2308926798498724</v>
      </c>
      <c r="U645" s="10" t="n">
        <v>0</v>
      </c>
      <c r="V645" s="10" t="n">
        <v>1.84714143879898</v>
      </c>
    </row>
    <row r="646">
      <c r="I646" s="8" t="inlineStr">
        <is>
          <t>ACE-10640</t>
        </is>
      </c>
      <c r="J646" s="8" t="inlineStr">
        <is>
          <t>2026-05-01 16:40:01</t>
        </is>
      </c>
      <c r="K646" s="8" t="inlineStr">
        <is>
          <t>CUST-88134</t>
        </is>
      </c>
      <c r="L646" s="9" t="inlineStr">
        <is>
          <t>GBP-PKR</t>
        </is>
      </c>
      <c r="M646" s="8" t="inlineStr">
        <is>
          <t>GBP</t>
        </is>
      </c>
      <c r="N646" s="10" t="n">
        <v>244.7608780459006</v>
      </c>
      <c r="O646" s="11" t="n">
        <v>1</v>
      </c>
      <c r="P646" s="10" t="n">
        <v>244.7608780459006</v>
      </c>
      <c r="Q646" s="10" t="n">
        <v>1.5</v>
      </c>
      <c r="R646" s="12" t="n">
        <v>0.021</v>
      </c>
      <c r="S646" s="13" t="inlineStr">
        <is>
          <t>Success</t>
        </is>
      </c>
      <c r="T646" s="10" t="n">
        <v>0.3671413170688509</v>
      </c>
      <c r="U646" s="10" t="n">
        <v>0.7342826341377019</v>
      </c>
      <c r="V646" s="10" t="n">
        <v>2.937130536550808</v>
      </c>
    </row>
    <row r="647">
      <c r="I647" s="8" t="inlineStr">
        <is>
          <t>ACE-10641</t>
        </is>
      </c>
      <c r="J647" s="8" t="inlineStr">
        <is>
          <t>2026-05-07 08:35:16</t>
        </is>
      </c>
      <c r="K647" s="8" t="inlineStr">
        <is>
          <t>CUST-85616</t>
        </is>
      </c>
      <c r="L647" s="9" t="inlineStr">
        <is>
          <t>GBP-PKR</t>
        </is>
      </c>
      <c r="M647" s="8" t="inlineStr">
        <is>
          <t>GBP</t>
        </is>
      </c>
      <c r="N647" s="10" t="n">
        <v>269.403736405625</v>
      </c>
      <c r="O647" s="11" t="n">
        <v>1</v>
      </c>
      <c r="P647" s="10" t="n">
        <v>269.403736405625</v>
      </c>
      <c r="Q647" s="10" t="n">
        <v>1.5</v>
      </c>
      <c r="R647" s="12" t="n">
        <v>0.021</v>
      </c>
      <c r="S647" s="13" t="inlineStr">
        <is>
          <t>Success</t>
        </is>
      </c>
      <c r="T647" s="10" t="n">
        <v>0.4041056046084374</v>
      </c>
      <c r="U647" s="10" t="n">
        <v>0</v>
      </c>
      <c r="V647" s="10" t="n">
        <v>3.232844836867499</v>
      </c>
    </row>
    <row r="648">
      <c r="I648" s="8" t="inlineStr">
        <is>
          <t>ACE-10642</t>
        </is>
      </c>
      <c r="J648" s="8" t="inlineStr">
        <is>
          <t>2026-05-21 20:09:23</t>
        </is>
      </c>
      <c r="K648" s="8" t="inlineStr">
        <is>
          <t>CUST-75722</t>
        </is>
      </c>
      <c r="L648" s="9" t="inlineStr">
        <is>
          <t>GBP-PKR</t>
        </is>
      </c>
      <c r="M648" s="8" t="inlineStr">
        <is>
          <t>GBP</t>
        </is>
      </c>
      <c r="N648" s="10" t="n">
        <v>329.2086537596639</v>
      </c>
      <c r="O648" s="11" t="n">
        <v>1</v>
      </c>
      <c r="P648" s="10" t="n">
        <v>329.2086537596639</v>
      </c>
      <c r="Q648" s="10" t="n">
        <v>1.5</v>
      </c>
      <c r="R648" s="12" t="n">
        <v>0.021</v>
      </c>
      <c r="S648" s="13" t="inlineStr">
        <is>
          <t>Success</t>
        </is>
      </c>
      <c r="T648" s="10" t="n">
        <v>0.4938129806394959</v>
      </c>
      <c r="U648" s="10" t="n">
        <v>0.9876259612789917</v>
      </c>
      <c r="V648" s="10" t="n">
        <v>3.950503845115967</v>
      </c>
    </row>
    <row r="649">
      <c r="I649" s="8" t="inlineStr">
        <is>
          <t>ACE-10643</t>
        </is>
      </c>
      <c r="J649" s="8" t="inlineStr">
        <is>
          <t>2026-05-24 12:08:29</t>
        </is>
      </c>
      <c r="K649" s="8" t="inlineStr">
        <is>
          <t>CUST-82841</t>
        </is>
      </c>
      <c r="L649" s="9" t="inlineStr">
        <is>
          <t>GBP-PKR</t>
        </is>
      </c>
      <c r="M649" s="8" t="inlineStr">
        <is>
          <t>GBP</t>
        </is>
      </c>
      <c r="N649" s="10" t="n">
        <v>271.464253584332</v>
      </c>
      <c r="O649" s="11" t="n">
        <v>1</v>
      </c>
      <c r="P649" s="10" t="n">
        <v>271.464253584332</v>
      </c>
      <c r="Q649" s="10" t="n">
        <v>1.5</v>
      </c>
      <c r="R649" s="12" t="n">
        <v>0.021</v>
      </c>
      <c r="S649" s="13" t="inlineStr">
        <is>
          <t>Success</t>
        </is>
      </c>
      <c r="T649" s="10" t="n">
        <v>0.407196380376498</v>
      </c>
      <c r="U649" s="10" t="n">
        <v>0</v>
      </c>
      <c r="V649" s="10" t="n">
        <v>3.257571043011984</v>
      </c>
    </row>
    <row r="650">
      <c r="I650" s="8" t="inlineStr">
        <is>
          <t>ACE-10644</t>
        </is>
      </c>
      <c r="J650" s="8" t="inlineStr">
        <is>
          <t>2026-05-17 08:42:15</t>
        </is>
      </c>
      <c r="K650" s="8" t="inlineStr">
        <is>
          <t>CUST-90241</t>
        </is>
      </c>
      <c r="L650" s="9" t="inlineStr">
        <is>
          <t>GBP-PKR</t>
        </is>
      </c>
      <c r="M650" s="8" t="inlineStr">
        <is>
          <t>GBP</t>
        </is>
      </c>
      <c r="N650" s="10" t="n">
        <v>239.7208947008238</v>
      </c>
      <c r="O650" s="11" t="n">
        <v>1</v>
      </c>
      <c r="P650" s="10" t="n">
        <v>239.7208947008238</v>
      </c>
      <c r="Q650" s="10" t="n">
        <v>1.5</v>
      </c>
      <c r="R650" s="12" t="n">
        <v>0.021</v>
      </c>
      <c r="S650" s="13" t="inlineStr">
        <is>
          <t>Success</t>
        </is>
      </c>
      <c r="T650" s="10" t="n">
        <v>0.3595813420512357</v>
      </c>
      <c r="U650" s="10" t="n">
        <v>0.7191626841024714</v>
      </c>
      <c r="V650" s="10" t="n">
        <v>2.876650736409886</v>
      </c>
    </row>
    <row r="651">
      <c r="I651" s="8" t="inlineStr">
        <is>
          <t>ACE-10645</t>
        </is>
      </c>
      <c r="J651" s="8" t="inlineStr">
        <is>
          <t>2026-05-05 15:10:11</t>
        </is>
      </c>
      <c r="K651" s="8" t="inlineStr">
        <is>
          <t>CUST-87116</t>
        </is>
      </c>
      <c r="L651" s="9" t="inlineStr">
        <is>
          <t>GBP-PKR</t>
        </is>
      </c>
      <c r="M651" s="8" t="inlineStr">
        <is>
          <t>GBP</t>
        </is>
      </c>
      <c r="N651" s="10" t="n">
        <v>271.840445501824</v>
      </c>
      <c r="O651" s="11" t="n">
        <v>1</v>
      </c>
      <c r="P651" s="10" t="n">
        <v>271.840445501824</v>
      </c>
      <c r="Q651" s="10" t="n">
        <v>1.5</v>
      </c>
      <c r="R651" s="12" t="n">
        <v>0.021</v>
      </c>
      <c r="S651" s="13" t="inlineStr">
        <is>
          <t>Success</t>
        </is>
      </c>
      <c r="T651" s="10" t="n">
        <v>0.407760668252736</v>
      </c>
      <c r="U651" s="10" t="n">
        <v>0.8155213365054721</v>
      </c>
      <c r="V651" s="10" t="n">
        <v>3.262085346021888</v>
      </c>
    </row>
    <row r="652">
      <c r="I652" s="8" t="inlineStr">
        <is>
          <t>ACE-10646</t>
        </is>
      </c>
      <c r="J652" s="8" t="inlineStr">
        <is>
          <t>2026-05-05 19:46:30</t>
        </is>
      </c>
      <c r="K652" s="8" t="inlineStr">
        <is>
          <t>CUST-73514</t>
        </is>
      </c>
      <c r="L652" s="9" t="inlineStr">
        <is>
          <t>USD-PKR</t>
        </is>
      </c>
      <c r="M652" s="8" t="inlineStr">
        <is>
          <t>USD</t>
        </is>
      </c>
      <c r="N652" s="10" t="n">
        <v>213.0134244643452</v>
      </c>
      <c r="O652" s="11" t="n">
        <v>0.8</v>
      </c>
      <c r="P652" s="10" t="n">
        <v>170.4107395714762</v>
      </c>
      <c r="Q652" s="10" t="n">
        <v>1.6</v>
      </c>
      <c r="R652" s="12" t="n">
        <v>0.019</v>
      </c>
      <c r="S652" s="13" t="inlineStr">
        <is>
          <t>Success</t>
        </is>
      </c>
      <c r="T652" s="10" t="n">
        <v>0.2556161093572143</v>
      </c>
      <c r="U652" s="10" t="n">
        <v>0.5112322187144286</v>
      </c>
      <c r="V652" s="10" t="n">
        <v>2.044928874857714</v>
      </c>
    </row>
    <row r="653">
      <c r="I653" s="8" t="inlineStr">
        <is>
          <t>ACE-10647</t>
        </is>
      </c>
      <c r="J653" s="8" t="inlineStr">
        <is>
          <t>2026-05-08 09:16:23</t>
        </is>
      </c>
      <c r="K653" s="8" t="inlineStr">
        <is>
          <t>CUST-65336</t>
        </is>
      </c>
      <c r="L653" s="9" t="inlineStr">
        <is>
          <t>GBP-PKR</t>
        </is>
      </c>
      <c r="M653" s="8" t="inlineStr">
        <is>
          <t>GBP</t>
        </is>
      </c>
      <c r="N653" s="10" t="n">
        <v>212.7464197500726</v>
      </c>
      <c r="O653" s="11" t="n">
        <v>1</v>
      </c>
      <c r="P653" s="10" t="n">
        <v>212.7464197500726</v>
      </c>
      <c r="Q653" s="10" t="n">
        <v>1.5</v>
      </c>
      <c r="R653" s="12" t="n">
        <v>0.021</v>
      </c>
      <c r="S653" s="13" t="inlineStr">
        <is>
          <t>Success</t>
        </is>
      </c>
      <c r="T653" s="10" t="n">
        <v>0.319119629625109</v>
      </c>
      <c r="U653" s="10" t="n">
        <v>0</v>
      </c>
      <c r="V653" s="10" t="n">
        <v>2.552957037000872</v>
      </c>
    </row>
    <row r="654">
      <c r="I654" s="8" t="inlineStr">
        <is>
          <t>ACE-10648</t>
        </is>
      </c>
      <c r="J654" s="8" t="inlineStr">
        <is>
          <t>2026-05-12 14:30:58</t>
        </is>
      </c>
      <c r="K654" s="8" t="inlineStr">
        <is>
          <t>CUST-79795</t>
        </is>
      </c>
      <c r="L654" s="9" t="inlineStr">
        <is>
          <t>GBP-PKR</t>
        </is>
      </c>
      <c r="M654" s="8" t="inlineStr">
        <is>
          <t>GBP</t>
        </is>
      </c>
      <c r="N654" s="10" t="n">
        <v>277.0949193206873</v>
      </c>
      <c r="O654" s="11" t="n">
        <v>1</v>
      </c>
      <c r="P654" s="10" t="n">
        <v>277.0949193206873</v>
      </c>
      <c r="Q654" s="10" t="n">
        <v>1.5</v>
      </c>
      <c r="R654" s="12" t="n">
        <v>0.021</v>
      </c>
      <c r="S654" s="13" t="inlineStr">
        <is>
          <t>Success</t>
        </is>
      </c>
      <c r="T654" s="10" t="n">
        <v>0.4156423789810309</v>
      </c>
      <c r="U654" s="10" t="n">
        <v>0</v>
      </c>
      <c r="V654" s="10" t="n">
        <v>3.325139031848247</v>
      </c>
    </row>
    <row r="655">
      <c r="I655" s="8" t="inlineStr">
        <is>
          <t>ACE-10649</t>
        </is>
      </c>
      <c r="J655" s="8" t="inlineStr">
        <is>
          <t>2026-05-21 13:06:45</t>
        </is>
      </c>
      <c r="K655" s="8" t="inlineStr">
        <is>
          <t>CUST-84168</t>
        </is>
      </c>
      <c r="L655" s="9" t="inlineStr">
        <is>
          <t>USD-PKR</t>
        </is>
      </c>
      <c r="M655" s="8" t="inlineStr">
        <is>
          <t>USD</t>
        </is>
      </c>
      <c r="N655" s="10" t="n">
        <v>213.9054496517271</v>
      </c>
      <c r="O655" s="11" t="n">
        <v>0.8</v>
      </c>
      <c r="P655" s="10" t="n">
        <v>171.1243597213817</v>
      </c>
      <c r="Q655" s="10" t="n">
        <v>1.6</v>
      </c>
      <c r="R655" s="12" t="n">
        <v>0.019</v>
      </c>
      <c r="S655" s="13" t="inlineStr">
        <is>
          <t>Success</t>
        </is>
      </c>
      <c r="T655" s="10" t="n">
        <v>0.2566865395820725</v>
      </c>
      <c r="U655" s="10" t="n">
        <v>0</v>
      </c>
      <c r="V655" s="10" t="n">
        <v>2.05349231665658</v>
      </c>
    </row>
    <row r="656">
      <c r="I656" s="8" t="inlineStr">
        <is>
          <t>ACE-10650</t>
        </is>
      </c>
      <c r="J656" s="8" t="inlineStr">
        <is>
          <t>2026-05-24 12:37:34</t>
        </is>
      </c>
      <c r="K656" s="8" t="inlineStr">
        <is>
          <t>CUST-87366</t>
        </is>
      </c>
      <c r="L656" s="9" t="inlineStr">
        <is>
          <t>GBP-PKR</t>
        </is>
      </c>
      <c r="M656" s="8" t="inlineStr">
        <is>
          <t>GBP</t>
        </is>
      </c>
      <c r="N656" s="10" t="n">
        <v>298.6911927896445</v>
      </c>
      <c r="O656" s="11" t="n">
        <v>1</v>
      </c>
      <c r="P656" s="10" t="n">
        <v>298.6911927896445</v>
      </c>
      <c r="Q656" s="10" t="n">
        <v>1.5</v>
      </c>
      <c r="R656" s="12" t="n">
        <v>0.021</v>
      </c>
      <c r="S656" s="13" t="inlineStr">
        <is>
          <t>Success</t>
        </is>
      </c>
      <c r="T656" s="10" t="n">
        <v>0.4480367891844668</v>
      </c>
      <c r="U656" s="10" t="n">
        <v>0.8960735783689335</v>
      </c>
      <c r="V656" s="10" t="n">
        <v>3.584294313475734</v>
      </c>
    </row>
    <row r="657">
      <c r="I657" s="8" t="inlineStr">
        <is>
          <t>ACE-10651</t>
        </is>
      </c>
      <c r="J657" s="8" t="inlineStr">
        <is>
          <t>2026-05-12 17:41:57</t>
        </is>
      </c>
      <c r="K657" s="8" t="inlineStr">
        <is>
          <t>CUST-55101</t>
        </is>
      </c>
      <c r="L657" s="9" t="inlineStr">
        <is>
          <t>GBP-PKR</t>
        </is>
      </c>
      <c r="M657" s="8" t="inlineStr">
        <is>
          <t>GBP</t>
        </is>
      </c>
      <c r="N657" s="10" t="n">
        <v>335.1858696253648</v>
      </c>
      <c r="O657" s="11" t="n">
        <v>1</v>
      </c>
      <c r="P657" s="10" t="n">
        <v>335.1858696253648</v>
      </c>
      <c r="Q657" s="10" t="n">
        <v>1.5</v>
      </c>
      <c r="R657" s="12" t="n">
        <v>0.021</v>
      </c>
      <c r="S657" s="13" t="inlineStr">
        <is>
          <t>Success</t>
        </is>
      </c>
      <c r="T657" s="10" t="n">
        <v>0.5027788044380471</v>
      </c>
      <c r="U657" s="10" t="n">
        <v>0</v>
      </c>
      <c r="V657" s="10" t="n">
        <v>4.022230435504377</v>
      </c>
    </row>
    <row r="658">
      <c r="I658" s="8" t="inlineStr">
        <is>
          <t>ACE-10652</t>
        </is>
      </c>
      <c r="J658" s="8" t="inlineStr">
        <is>
          <t>2026-05-08 16:25:22</t>
        </is>
      </c>
      <c r="K658" s="8" t="inlineStr">
        <is>
          <t>CUST-72612</t>
        </is>
      </c>
      <c r="L658" s="9" t="inlineStr">
        <is>
          <t>GBP-PKR</t>
        </is>
      </c>
      <c r="M658" s="8" t="inlineStr">
        <is>
          <t>GBP</t>
        </is>
      </c>
      <c r="N658" s="10" t="n">
        <v>311.8262389181893</v>
      </c>
      <c r="O658" s="11" t="n">
        <v>1</v>
      </c>
      <c r="P658" s="10" t="n">
        <v>311.8262389181893</v>
      </c>
      <c r="Q658" s="10" t="n">
        <v>1.5</v>
      </c>
      <c r="R658" s="12" t="n">
        <v>0.021</v>
      </c>
      <c r="S658" s="13" t="inlineStr">
        <is>
          <t>Success</t>
        </is>
      </c>
      <c r="T658" s="10" t="n">
        <v>0.4677393583772839</v>
      </c>
      <c r="U658" s="10" t="n">
        <v>0</v>
      </c>
      <c r="V658" s="10" t="n">
        <v>3.741914867018271</v>
      </c>
    </row>
    <row r="659">
      <c r="I659" s="8" t="inlineStr">
        <is>
          <t>ACE-10653</t>
        </is>
      </c>
      <c r="J659" s="8" t="inlineStr">
        <is>
          <t>2026-05-20 08:32:56</t>
        </is>
      </c>
      <c r="K659" s="8" t="inlineStr">
        <is>
          <t>CUST-59107</t>
        </is>
      </c>
      <c r="L659" s="9" t="inlineStr">
        <is>
          <t>USD-PKR</t>
        </is>
      </c>
      <c r="M659" s="8" t="inlineStr">
        <is>
          <t>USD</t>
        </is>
      </c>
      <c r="N659" s="10" t="n">
        <v>213.09512820447</v>
      </c>
      <c r="O659" s="11" t="n">
        <v>0.8</v>
      </c>
      <c r="P659" s="10" t="n">
        <v>170.476102563576</v>
      </c>
      <c r="Q659" s="10" t="n">
        <v>1.6</v>
      </c>
      <c r="R659" s="12" t="n">
        <v>0.019</v>
      </c>
      <c r="S659" s="13" t="inlineStr">
        <is>
          <t>Success</t>
        </is>
      </c>
      <c r="T659" s="10" t="n">
        <v>0.2557141538453639</v>
      </c>
      <c r="U659" s="10" t="n">
        <v>0</v>
      </c>
      <c r="V659" s="10" t="n">
        <v>2.045713230762912</v>
      </c>
    </row>
    <row r="660">
      <c r="I660" s="8" t="inlineStr">
        <is>
          <t>ACE-10654</t>
        </is>
      </c>
      <c r="J660" s="8" t="inlineStr">
        <is>
          <t>2026-05-17 18:17:13</t>
        </is>
      </c>
      <c r="K660" s="8" t="inlineStr">
        <is>
          <t>CUST-59846</t>
        </is>
      </c>
      <c r="L660" s="9" t="inlineStr">
        <is>
          <t>GBP-PKR</t>
        </is>
      </c>
      <c r="M660" s="8" t="inlineStr">
        <is>
          <t>GBP</t>
        </is>
      </c>
      <c r="N660" s="10" t="n">
        <v>249.4196981527174</v>
      </c>
      <c r="O660" s="11" t="n">
        <v>1</v>
      </c>
      <c r="P660" s="10" t="n">
        <v>249.4196981527174</v>
      </c>
      <c r="Q660" s="10" t="n">
        <v>1.5</v>
      </c>
      <c r="R660" s="12" t="n">
        <v>0.021</v>
      </c>
      <c r="S660" s="13" t="inlineStr">
        <is>
          <t>Success</t>
        </is>
      </c>
      <c r="T660" s="10" t="n">
        <v>0.3741295472290762</v>
      </c>
      <c r="U660" s="10" t="n">
        <v>0</v>
      </c>
      <c r="V660" s="10" t="n">
        <v>2.993036377832609</v>
      </c>
    </row>
    <row r="661">
      <c r="I661" s="8" t="inlineStr">
        <is>
          <t>ACE-10655</t>
        </is>
      </c>
      <c r="J661" s="8" t="inlineStr">
        <is>
          <t>2026-05-23 09:42:14</t>
        </is>
      </c>
      <c r="K661" s="8" t="inlineStr">
        <is>
          <t>CUST-77172</t>
        </is>
      </c>
      <c r="L661" s="9" t="inlineStr">
        <is>
          <t>GBP-PKR</t>
        </is>
      </c>
      <c r="M661" s="8" t="inlineStr">
        <is>
          <t>GBP</t>
        </is>
      </c>
      <c r="N661" s="10" t="n">
        <v>360.3679466421927</v>
      </c>
      <c r="O661" s="11" t="n">
        <v>1</v>
      </c>
      <c r="P661" s="10" t="n">
        <v>360.3679466421927</v>
      </c>
      <c r="Q661" s="10" t="n">
        <v>1.5</v>
      </c>
      <c r="R661" s="12" t="n">
        <v>0.021</v>
      </c>
      <c r="S661" s="13" t="inlineStr">
        <is>
          <t>Success</t>
        </is>
      </c>
      <c r="T661" s="10" t="n">
        <v>0.5405519199632891</v>
      </c>
      <c r="U661" s="10" t="n">
        <v>1.081103839926578</v>
      </c>
      <c r="V661" s="10" t="n">
        <v>4.324415359706313</v>
      </c>
    </row>
    <row r="662">
      <c r="I662" s="8" t="inlineStr">
        <is>
          <t>ACE-10656</t>
        </is>
      </c>
      <c r="J662" s="8" t="inlineStr">
        <is>
          <t>2026-05-16 18:30:30</t>
        </is>
      </c>
      <c r="K662" s="8" t="inlineStr">
        <is>
          <t>CUST-63808</t>
        </is>
      </c>
      <c r="L662" s="9" t="inlineStr">
        <is>
          <t>EUR-PKR</t>
        </is>
      </c>
      <c r="M662" s="8" t="inlineStr">
        <is>
          <t>EUR</t>
        </is>
      </c>
      <c r="N662" s="10" t="n">
        <v>190.1752310016374</v>
      </c>
      <c r="O662" s="11" t="n">
        <v>0.85</v>
      </c>
      <c r="P662" s="10" t="n">
        <v>161.6489463513918</v>
      </c>
      <c r="Q662" s="10" t="n">
        <v>1.275</v>
      </c>
      <c r="R662" s="12" t="n">
        <v>0.023</v>
      </c>
      <c r="S662" s="13" t="inlineStr">
        <is>
          <t>Success</t>
        </is>
      </c>
      <c r="T662" s="10" t="n">
        <v>0.2424734195270877</v>
      </c>
      <c r="U662" s="10" t="n">
        <v>0.4849468390541754</v>
      </c>
      <c r="V662" s="10" t="n">
        <v>2.424734195270877</v>
      </c>
    </row>
    <row r="663">
      <c r="I663" s="8" t="inlineStr">
        <is>
          <t>ACE-10657</t>
        </is>
      </c>
      <c r="J663" s="8" t="inlineStr">
        <is>
          <t>2026-05-14 08:15:02</t>
        </is>
      </c>
      <c r="K663" s="8" t="inlineStr">
        <is>
          <t>CUST-58381</t>
        </is>
      </c>
      <c r="L663" s="9" t="inlineStr">
        <is>
          <t>GBP-PKR</t>
        </is>
      </c>
      <c r="M663" s="8" t="inlineStr">
        <is>
          <t>GBP</t>
        </is>
      </c>
      <c r="N663" s="10" t="n">
        <v>278.9918395197762</v>
      </c>
      <c r="O663" s="11" t="n">
        <v>1</v>
      </c>
      <c r="P663" s="10" t="n">
        <v>278.9918395197762</v>
      </c>
      <c r="Q663" s="10" t="n">
        <v>1.5</v>
      </c>
      <c r="R663" s="12" t="n">
        <v>0.021</v>
      </c>
      <c r="S663" s="13" t="inlineStr">
        <is>
          <t>Success</t>
        </is>
      </c>
      <c r="T663" s="10" t="n">
        <v>0.4184877592796643</v>
      </c>
      <c r="U663" s="10" t="n">
        <v>0</v>
      </c>
      <c r="V663" s="10" t="n">
        <v>3.347902074237314</v>
      </c>
    </row>
    <row r="664">
      <c r="I664" s="8" t="inlineStr">
        <is>
          <t>ACE-10658</t>
        </is>
      </c>
      <c r="J664" s="8" t="inlineStr">
        <is>
          <t>2026-05-21 16:02:57</t>
        </is>
      </c>
      <c r="K664" s="8" t="inlineStr">
        <is>
          <t>CUST-87504</t>
        </is>
      </c>
      <c r="L664" s="9" t="inlineStr">
        <is>
          <t>GBP-PKR</t>
        </is>
      </c>
      <c r="M664" s="8" t="inlineStr">
        <is>
          <t>GBP</t>
        </is>
      </c>
      <c r="N664" s="10" t="n">
        <v>277.9321709295317</v>
      </c>
      <c r="O664" s="11" t="n">
        <v>1</v>
      </c>
      <c r="P664" s="10" t="n">
        <v>277.9321709295317</v>
      </c>
      <c r="Q664" s="10" t="n">
        <v>1.5</v>
      </c>
      <c r="R664" s="12" t="n">
        <v>0.021</v>
      </c>
      <c r="S664" s="13" t="inlineStr">
        <is>
          <t>Success</t>
        </is>
      </c>
      <c r="T664" s="10" t="n">
        <v>0.4168982563942975</v>
      </c>
      <c r="U664" s="10" t="n">
        <v>0</v>
      </c>
      <c r="V664" s="10" t="n">
        <v>3.33518605115438</v>
      </c>
    </row>
    <row r="665">
      <c r="I665" s="8" t="inlineStr">
        <is>
          <t>ACE-10659</t>
        </is>
      </c>
      <c r="J665" s="8" t="inlineStr">
        <is>
          <t>2026-05-06 16:25:38</t>
        </is>
      </c>
      <c r="K665" s="8" t="inlineStr">
        <is>
          <t>CUST-86936</t>
        </is>
      </c>
      <c r="L665" s="9" t="inlineStr">
        <is>
          <t>USD-PKR</t>
        </is>
      </c>
      <c r="M665" s="8" t="inlineStr">
        <is>
          <t>USD</t>
        </is>
      </c>
      <c r="N665" s="10" t="n">
        <v>223.2821062550717</v>
      </c>
      <c r="O665" s="11" t="n">
        <v>0.8</v>
      </c>
      <c r="P665" s="10" t="n">
        <v>178.6256850040573</v>
      </c>
      <c r="Q665" s="10" t="n">
        <v>1.6</v>
      </c>
      <c r="R665" s="12" t="n">
        <v>0.019</v>
      </c>
      <c r="S665" s="13" t="inlineStr">
        <is>
          <t>Success</t>
        </is>
      </c>
      <c r="T665" s="10" t="n">
        <v>0.267938527506086</v>
      </c>
      <c r="U665" s="10" t="n">
        <v>0.5358770550121721</v>
      </c>
      <c r="V665" s="10" t="n">
        <v>2.143508220048688</v>
      </c>
    </row>
    <row r="666">
      <c r="I666" s="8" t="inlineStr">
        <is>
          <t>ACE-10660</t>
        </is>
      </c>
      <c r="J666" s="8" t="inlineStr">
        <is>
          <t>2026-05-24 18:52:18</t>
        </is>
      </c>
      <c r="K666" s="8" t="inlineStr">
        <is>
          <t>CUST-55619</t>
        </is>
      </c>
      <c r="L666" s="9" t="inlineStr">
        <is>
          <t>GBP-PKR</t>
        </is>
      </c>
      <c r="M666" s="8" t="inlineStr">
        <is>
          <t>GBP</t>
        </is>
      </c>
      <c r="N666" s="10" t="n">
        <v>274.6104538483442</v>
      </c>
      <c r="O666" s="11" t="n">
        <v>1</v>
      </c>
      <c r="P666" s="10" t="n">
        <v>274.6104538483442</v>
      </c>
      <c r="Q666" s="10" t="n">
        <v>1.5</v>
      </c>
      <c r="R666" s="12" t="n">
        <v>0.021</v>
      </c>
      <c r="S666" s="13" t="inlineStr">
        <is>
          <t>Success</t>
        </is>
      </c>
      <c r="T666" s="10" t="n">
        <v>0.4119156807725162</v>
      </c>
      <c r="U666" s="10" t="n">
        <v>0.8238313615450324</v>
      </c>
      <c r="V666" s="10" t="n">
        <v>3.29532544618013</v>
      </c>
    </row>
    <row r="667">
      <c r="I667" s="8" t="inlineStr">
        <is>
          <t>ACE-10661</t>
        </is>
      </c>
      <c r="J667" s="8" t="inlineStr">
        <is>
          <t>2026-05-16 15:10:14</t>
        </is>
      </c>
      <c r="K667" s="8" t="inlineStr">
        <is>
          <t>CUST-76920</t>
        </is>
      </c>
      <c r="L667" s="9" t="inlineStr">
        <is>
          <t>USD-PKR</t>
        </is>
      </c>
      <c r="M667" s="8" t="inlineStr">
        <is>
          <t>USD</t>
        </is>
      </c>
      <c r="N667" s="10" t="n">
        <v>206.6985280897073</v>
      </c>
      <c r="O667" s="11" t="n">
        <v>0.8</v>
      </c>
      <c r="P667" s="10" t="n">
        <v>165.3588224717658</v>
      </c>
      <c r="Q667" s="10" t="n">
        <v>1.6</v>
      </c>
      <c r="R667" s="12" t="n">
        <v>0.019</v>
      </c>
      <c r="S667" s="13" t="inlineStr">
        <is>
          <t>Success</t>
        </is>
      </c>
      <c r="T667" s="10" t="n">
        <v>0.2480382337076488</v>
      </c>
      <c r="U667" s="10" t="n">
        <v>0.4960764674152975</v>
      </c>
      <c r="V667" s="10" t="n">
        <v>1.98430586966119</v>
      </c>
    </row>
    <row r="668">
      <c r="I668" s="8" t="inlineStr">
        <is>
          <t>ACE-10662</t>
        </is>
      </c>
      <c r="J668" s="8" t="inlineStr">
        <is>
          <t>2026-05-06 17:42:32</t>
        </is>
      </c>
      <c r="K668" s="8" t="inlineStr">
        <is>
          <t>CUST-67335</t>
        </is>
      </c>
      <c r="L668" s="9" t="inlineStr">
        <is>
          <t>USD-PKR</t>
        </is>
      </c>
      <c r="M668" s="8" t="inlineStr">
        <is>
          <t>USD</t>
        </is>
      </c>
      <c r="N668" s="10" t="n">
        <v>207.2532866406875</v>
      </c>
      <c r="O668" s="11" t="n">
        <v>0.8</v>
      </c>
      <c r="P668" s="10" t="n">
        <v>165.80262931255</v>
      </c>
      <c r="Q668" s="10" t="n">
        <v>1.6</v>
      </c>
      <c r="R668" s="12" t="n">
        <v>0.019</v>
      </c>
      <c r="S668" s="13" t="inlineStr">
        <is>
          <t>Success</t>
        </is>
      </c>
      <c r="T668" s="10" t="n">
        <v>0.248703943968825</v>
      </c>
      <c r="U668" s="10" t="n">
        <v>0.4974078879376501</v>
      </c>
      <c r="V668" s="10" t="n">
        <v>1.9896315517506</v>
      </c>
    </row>
    <row r="669">
      <c r="I669" s="8" t="inlineStr">
        <is>
          <t>ACE-10663</t>
        </is>
      </c>
      <c r="J669" s="8" t="inlineStr">
        <is>
          <t>2026-05-15 17:37:04</t>
        </is>
      </c>
      <c r="K669" s="8" t="inlineStr">
        <is>
          <t>CUST-65061</t>
        </is>
      </c>
      <c r="L669" s="9" t="inlineStr">
        <is>
          <t>GBP-PKR</t>
        </is>
      </c>
      <c r="M669" s="8" t="inlineStr">
        <is>
          <t>GBP</t>
        </is>
      </c>
      <c r="N669" s="10" t="n">
        <v>277.6924693876593</v>
      </c>
      <c r="O669" s="11" t="n">
        <v>1</v>
      </c>
      <c r="P669" s="10" t="n">
        <v>277.6924693876593</v>
      </c>
      <c r="Q669" s="10" t="n">
        <v>1.5</v>
      </c>
      <c r="R669" s="12" t="n">
        <v>0.021</v>
      </c>
      <c r="S669" s="13" t="inlineStr">
        <is>
          <t>Success</t>
        </is>
      </c>
      <c r="T669" s="10" t="n">
        <v>0.416538704081489</v>
      </c>
      <c r="U669" s="10" t="n">
        <v>0</v>
      </c>
      <c r="V669" s="10" t="n">
        <v>3.332309632651912</v>
      </c>
    </row>
    <row r="670">
      <c r="I670" s="8" t="inlineStr">
        <is>
          <t>ACE-10664</t>
        </is>
      </c>
      <c r="J670" s="8" t="inlineStr">
        <is>
          <t>2026-05-01 11:33:55</t>
        </is>
      </c>
      <c r="K670" s="8" t="inlineStr">
        <is>
          <t>CUST-83053</t>
        </is>
      </c>
      <c r="L670" s="9" t="inlineStr">
        <is>
          <t>GBP-PKR</t>
        </is>
      </c>
      <c r="M670" s="8" t="inlineStr">
        <is>
          <t>GBP</t>
        </is>
      </c>
      <c r="N670" s="10" t="n">
        <v>263.8675113040501</v>
      </c>
      <c r="O670" s="11" t="n">
        <v>1</v>
      </c>
      <c r="P670" s="10" t="n">
        <v>263.8675113040501</v>
      </c>
      <c r="Q670" s="10" t="n">
        <v>1.5</v>
      </c>
      <c r="R670" s="12" t="n">
        <v>0.021</v>
      </c>
      <c r="S670" s="13" t="inlineStr">
        <is>
          <t>Success</t>
        </is>
      </c>
      <c r="T670" s="10" t="n">
        <v>0.3958012669560751</v>
      </c>
      <c r="U670" s="10" t="n">
        <v>0.7916025339121503</v>
      </c>
      <c r="V670" s="10" t="n">
        <v>3.166410135648601</v>
      </c>
    </row>
    <row r="671">
      <c r="I671" s="8" t="inlineStr">
        <is>
          <t>ACE-10665</t>
        </is>
      </c>
      <c r="J671" s="8" t="inlineStr">
        <is>
          <t>2026-05-20 09:11:30</t>
        </is>
      </c>
      <c r="K671" s="8" t="inlineStr">
        <is>
          <t>CUST-90288</t>
        </is>
      </c>
      <c r="L671" s="9" t="inlineStr">
        <is>
          <t>USD-PKR</t>
        </is>
      </c>
      <c r="M671" s="8" t="inlineStr">
        <is>
          <t>USD</t>
        </is>
      </c>
      <c r="N671" s="10" t="n">
        <v>203.8415483135409</v>
      </c>
      <c r="O671" s="11" t="n">
        <v>0.8</v>
      </c>
      <c r="P671" s="10" t="n">
        <v>163.0732386508327</v>
      </c>
      <c r="Q671" s="10" t="n">
        <v>1.6</v>
      </c>
      <c r="R671" s="12" t="n">
        <v>0.019</v>
      </c>
      <c r="S671" s="13" t="inlineStr">
        <is>
          <t>Success</t>
        </is>
      </c>
      <c r="T671" s="10" t="n">
        <v>0.2446098579762491</v>
      </c>
      <c r="U671" s="10" t="n">
        <v>0.4892197159524981</v>
      </c>
      <c r="V671" s="10" t="n">
        <v>1.956878863809993</v>
      </c>
    </row>
    <row r="672">
      <c r="I672" s="8" t="inlineStr">
        <is>
          <t>ACE-10666</t>
        </is>
      </c>
      <c r="J672" s="8" t="inlineStr">
        <is>
          <t>2026-05-18 16:48:07</t>
        </is>
      </c>
      <c r="K672" s="8" t="inlineStr">
        <is>
          <t>CUST-56107</t>
        </is>
      </c>
      <c r="L672" s="9" t="inlineStr">
        <is>
          <t>USD-PKR</t>
        </is>
      </c>
      <c r="M672" s="8" t="inlineStr">
        <is>
          <t>USD</t>
        </is>
      </c>
      <c r="N672" s="10" t="n">
        <v>221.2449744149925</v>
      </c>
      <c r="O672" s="11" t="n">
        <v>0.8</v>
      </c>
      <c r="P672" s="10" t="n">
        <v>176.995979531994</v>
      </c>
      <c r="Q672" s="10" t="n">
        <v>1.6</v>
      </c>
      <c r="R672" s="12" t="n">
        <v>0.019</v>
      </c>
      <c r="S672" s="13" t="inlineStr">
        <is>
          <t>Success</t>
        </is>
      </c>
      <c r="T672" s="10" t="n">
        <v>0.265493969297991</v>
      </c>
      <c r="U672" s="10" t="n">
        <v>0</v>
      </c>
      <c r="V672" s="10" t="n">
        <v>2.123951754383928</v>
      </c>
    </row>
    <row r="673">
      <c r="I673" s="8" t="inlineStr">
        <is>
          <t>ACE-10667</t>
        </is>
      </c>
      <c r="J673" s="8" t="inlineStr">
        <is>
          <t>2026-05-20 16:52:00</t>
        </is>
      </c>
      <c r="K673" s="8" t="inlineStr">
        <is>
          <t>CUST-94470</t>
        </is>
      </c>
      <c r="L673" s="9" t="inlineStr">
        <is>
          <t>GBP-PKR</t>
        </is>
      </c>
      <c r="M673" s="8" t="inlineStr">
        <is>
          <t>GBP</t>
        </is>
      </c>
      <c r="N673" s="10" t="n">
        <v>271.5895397291325</v>
      </c>
      <c r="O673" s="11" t="n">
        <v>1</v>
      </c>
      <c r="P673" s="10" t="n">
        <v>271.5895397291325</v>
      </c>
      <c r="Q673" s="10" t="n">
        <v>1.5</v>
      </c>
      <c r="R673" s="12" t="n">
        <v>0.021</v>
      </c>
      <c r="S673" s="13" t="inlineStr">
        <is>
          <t>Success</t>
        </is>
      </c>
      <c r="T673" s="10" t="n">
        <v>0.4073843095936987</v>
      </c>
      <c r="U673" s="10" t="n">
        <v>0</v>
      </c>
      <c r="V673" s="10" t="n">
        <v>3.25907447674959</v>
      </c>
    </row>
    <row r="674">
      <c r="I674" s="8" t="inlineStr">
        <is>
          <t>ACE-10668</t>
        </is>
      </c>
      <c r="J674" s="8" t="inlineStr">
        <is>
          <t>2026-05-12 08:44:33</t>
        </is>
      </c>
      <c r="K674" s="8" t="inlineStr">
        <is>
          <t>CUST-78112</t>
        </is>
      </c>
      <c r="L674" s="9" t="inlineStr">
        <is>
          <t>GBP-PKR</t>
        </is>
      </c>
      <c r="M674" s="8" t="inlineStr">
        <is>
          <t>GBP</t>
        </is>
      </c>
      <c r="N674" s="10" t="n">
        <v>323.8203549616116</v>
      </c>
      <c r="O674" s="11" t="n">
        <v>1</v>
      </c>
      <c r="P674" s="10" t="n">
        <v>323.8203549616116</v>
      </c>
      <c r="Q674" s="10" t="n">
        <v>1.5</v>
      </c>
      <c r="R674" s="12" t="n">
        <v>0.021</v>
      </c>
      <c r="S674" s="13" t="inlineStr">
        <is>
          <t>Success</t>
        </is>
      </c>
      <c r="T674" s="10" t="n">
        <v>0.4857305324424174</v>
      </c>
      <c r="U674" s="10" t="n">
        <v>0.9714610648848349</v>
      </c>
      <c r="V674" s="10" t="n">
        <v>3.885844259539339</v>
      </c>
    </row>
    <row r="675">
      <c r="I675" s="8" t="inlineStr">
        <is>
          <t>ACE-10669</t>
        </is>
      </c>
      <c r="J675" s="8" t="inlineStr">
        <is>
          <t>2026-05-13 13:37:51</t>
        </is>
      </c>
      <c r="K675" s="8" t="inlineStr">
        <is>
          <t>CUST-98587</t>
        </is>
      </c>
      <c r="L675" s="9" t="inlineStr">
        <is>
          <t>EUR-PKR</t>
        </is>
      </c>
      <c r="M675" s="8" t="inlineStr">
        <is>
          <t>EUR</t>
        </is>
      </c>
      <c r="N675" s="10" t="n">
        <v>145.0280383010885</v>
      </c>
      <c r="O675" s="11" t="n">
        <v>0.85</v>
      </c>
      <c r="P675" s="10" t="n">
        <v>123.2738325559253</v>
      </c>
      <c r="Q675" s="10" t="n">
        <v>1.275</v>
      </c>
      <c r="R675" s="12" t="n">
        <v>0.023</v>
      </c>
      <c r="S675" s="13" t="inlineStr">
        <is>
          <t>Success</t>
        </is>
      </c>
      <c r="T675" s="10" t="n">
        <v>0.1849107488338879</v>
      </c>
      <c r="U675" s="10" t="n">
        <v>0.3698214976677758</v>
      </c>
      <c r="V675" s="10" t="n">
        <v>1.849107488338879</v>
      </c>
    </row>
    <row r="676">
      <c r="I676" s="8" t="inlineStr">
        <is>
          <t>ACE-10670</t>
        </is>
      </c>
      <c r="J676" s="8" t="inlineStr">
        <is>
          <t>2026-05-19 09:27:08</t>
        </is>
      </c>
      <c r="K676" s="8" t="inlineStr">
        <is>
          <t>CUST-66680</t>
        </is>
      </c>
      <c r="L676" s="9" t="inlineStr">
        <is>
          <t>GBP-PKR</t>
        </is>
      </c>
      <c r="M676" s="8" t="inlineStr">
        <is>
          <t>GBP</t>
        </is>
      </c>
      <c r="N676" s="10" t="n">
        <v>310.7349470039892</v>
      </c>
      <c r="O676" s="11" t="n">
        <v>1</v>
      </c>
      <c r="P676" s="10" t="n">
        <v>310.7349470039892</v>
      </c>
      <c r="Q676" s="10" t="n">
        <v>1.5</v>
      </c>
      <c r="R676" s="12" t="n">
        <v>0.021</v>
      </c>
      <c r="S676" s="13" t="inlineStr">
        <is>
          <t>Success</t>
        </is>
      </c>
      <c r="T676" s="10" t="n">
        <v>0.4661024205059838</v>
      </c>
      <c r="U676" s="10" t="n">
        <v>0</v>
      </c>
      <c r="V676" s="10" t="n">
        <v>3.72881936404787</v>
      </c>
    </row>
    <row r="677">
      <c r="I677" s="8" t="inlineStr">
        <is>
          <t>ACE-10671</t>
        </is>
      </c>
      <c r="J677" s="8" t="inlineStr">
        <is>
          <t>2026-05-03 12:38:56</t>
        </is>
      </c>
      <c r="K677" s="8" t="inlineStr">
        <is>
          <t>CUST-85633</t>
        </is>
      </c>
      <c r="L677" s="9" t="inlineStr">
        <is>
          <t>GBP-PKR</t>
        </is>
      </c>
      <c r="M677" s="8" t="inlineStr">
        <is>
          <t>GBP</t>
        </is>
      </c>
      <c r="N677" s="10" t="n">
        <v>315.5755525029095</v>
      </c>
      <c r="O677" s="11" t="n">
        <v>1</v>
      </c>
      <c r="P677" s="10" t="n">
        <v>315.5755525029095</v>
      </c>
      <c r="Q677" s="10" t="n">
        <v>1.5</v>
      </c>
      <c r="R677" s="12" t="n">
        <v>0.021</v>
      </c>
      <c r="S677" s="13" t="inlineStr">
        <is>
          <t>Success</t>
        </is>
      </c>
      <c r="T677" s="10" t="n">
        <v>0.4733633287543643</v>
      </c>
      <c r="U677" s="10" t="n">
        <v>0</v>
      </c>
      <c r="V677" s="10" t="n">
        <v>3.786906630034914</v>
      </c>
    </row>
    <row r="678">
      <c r="I678" s="8" t="inlineStr">
        <is>
          <t>ACE-10672</t>
        </is>
      </c>
      <c r="J678" s="8" t="inlineStr">
        <is>
          <t>2026-05-23 19:50:00</t>
        </is>
      </c>
      <c r="K678" s="8" t="inlineStr">
        <is>
          <t>CUST-87878</t>
        </is>
      </c>
      <c r="L678" s="9" t="inlineStr">
        <is>
          <t>GBP-PKR</t>
        </is>
      </c>
      <c r="M678" s="8" t="inlineStr">
        <is>
          <t>GBP</t>
        </is>
      </c>
      <c r="N678" s="10" t="n">
        <v>226.4333361409455</v>
      </c>
      <c r="O678" s="11" t="n">
        <v>1</v>
      </c>
      <c r="P678" s="10" t="n">
        <v>226.4333361409455</v>
      </c>
      <c r="Q678" s="10" t="n">
        <v>1.5</v>
      </c>
      <c r="R678" s="12" t="n">
        <v>0.021</v>
      </c>
      <c r="S678" s="13" t="inlineStr">
        <is>
          <t>Success</t>
        </is>
      </c>
      <c r="T678" s="10" t="n">
        <v>0.3396500042114182</v>
      </c>
      <c r="U678" s="10" t="n">
        <v>0</v>
      </c>
      <c r="V678" s="10" t="n">
        <v>2.717200033691346</v>
      </c>
    </row>
    <row r="679">
      <c r="I679" s="8" t="inlineStr">
        <is>
          <t>ACE-10673</t>
        </is>
      </c>
      <c r="J679" s="8" t="inlineStr">
        <is>
          <t>2026-05-13 18:13:44</t>
        </is>
      </c>
      <c r="K679" s="8" t="inlineStr">
        <is>
          <t>CUST-70702</t>
        </is>
      </c>
      <c r="L679" s="9" t="inlineStr">
        <is>
          <t>GBP-PKR</t>
        </is>
      </c>
      <c r="M679" s="8" t="inlineStr">
        <is>
          <t>GBP</t>
        </is>
      </c>
      <c r="N679" s="10" t="n">
        <v>269.21783401139</v>
      </c>
      <c r="O679" s="11" t="n">
        <v>1</v>
      </c>
      <c r="P679" s="10" t="n">
        <v>269.21783401139</v>
      </c>
      <c r="Q679" s="10" t="n">
        <v>1.5</v>
      </c>
      <c r="R679" s="12" t="n">
        <v>0.021</v>
      </c>
      <c r="S679" s="13" t="inlineStr">
        <is>
          <t>Success</t>
        </is>
      </c>
      <c r="T679" s="10" t="n">
        <v>0.403826751017085</v>
      </c>
      <c r="U679" s="10" t="n">
        <v>0</v>
      </c>
      <c r="V679" s="10" t="n">
        <v>3.23061400813668</v>
      </c>
    </row>
    <row r="680">
      <c r="I680" s="8" t="inlineStr">
        <is>
          <t>ACE-10674</t>
        </is>
      </c>
      <c r="J680" s="8" t="inlineStr">
        <is>
          <t>2026-05-14 18:37:16</t>
        </is>
      </c>
      <c r="K680" s="8" t="inlineStr">
        <is>
          <t>CUST-67124</t>
        </is>
      </c>
      <c r="L680" s="9" t="inlineStr">
        <is>
          <t>EUR-PKR</t>
        </is>
      </c>
      <c r="M680" s="8" t="inlineStr">
        <is>
          <t>EUR</t>
        </is>
      </c>
      <c r="N680" s="10" t="n">
        <v>182.1590097454874</v>
      </c>
      <c r="O680" s="11" t="n">
        <v>0.85</v>
      </c>
      <c r="P680" s="10" t="n">
        <v>154.8351582836643</v>
      </c>
      <c r="Q680" s="10" t="n">
        <v>1.275</v>
      </c>
      <c r="R680" s="12" t="n">
        <v>0.023</v>
      </c>
      <c r="S680" s="13" t="inlineStr">
        <is>
          <t>Success</t>
        </is>
      </c>
      <c r="T680" s="10" t="n">
        <v>0.2322527374254964</v>
      </c>
      <c r="U680" s="10" t="n">
        <v>0</v>
      </c>
      <c r="V680" s="10" t="n">
        <v>2.322527374254964</v>
      </c>
    </row>
    <row r="681">
      <c r="I681" s="8" t="inlineStr">
        <is>
          <t>ACE-10675</t>
        </is>
      </c>
      <c r="J681" s="8" t="inlineStr">
        <is>
          <t>2026-05-12 17:17:43</t>
        </is>
      </c>
      <c r="K681" s="8" t="inlineStr">
        <is>
          <t>CUST-76047</t>
        </is>
      </c>
      <c r="L681" s="9" t="inlineStr">
        <is>
          <t>GBP-PKR</t>
        </is>
      </c>
      <c r="M681" s="8" t="inlineStr">
        <is>
          <t>GBP</t>
        </is>
      </c>
      <c r="N681" s="10" t="n">
        <v>242.0243724520932</v>
      </c>
      <c r="O681" s="11" t="n">
        <v>1</v>
      </c>
      <c r="P681" s="10" t="n">
        <v>242.0243724520932</v>
      </c>
      <c r="Q681" s="10" t="n">
        <v>1.5</v>
      </c>
      <c r="R681" s="12" t="n">
        <v>0.021</v>
      </c>
      <c r="S681" s="13" t="inlineStr">
        <is>
          <t>Success</t>
        </is>
      </c>
      <c r="T681" s="10" t="n">
        <v>0.3630365586781398</v>
      </c>
      <c r="U681" s="10" t="n">
        <v>0</v>
      </c>
      <c r="V681" s="10" t="n">
        <v>2.904292469425118</v>
      </c>
    </row>
    <row r="682">
      <c r="I682" s="8" t="inlineStr">
        <is>
          <t>ACE-10676</t>
        </is>
      </c>
      <c r="J682" s="8" t="inlineStr">
        <is>
          <t>2026-05-18 15:11:23</t>
        </is>
      </c>
      <c r="K682" s="8" t="inlineStr">
        <is>
          <t>CUST-86640</t>
        </is>
      </c>
      <c r="L682" s="9" t="inlineStr">
        <is>
          <t>GBP-PKR</t>
        </is>
      </c>
      <c r="M682" s="8" t="inlineStr">
        <is>
          <t>GBP</t>
        </is>
      </c>
      <c r="N682" s="10" t="n">
        <v>257.7545909583853</v>
      </c>
      <c r="O682" s="11" t="n">
        <v>1</v>
      </c>
      <c r="P682" s="10" t="n">
        <v>257.7545909583853</v>
      </c>
      <c r="Q682" s="10" t="n">
        <v>1.5</v>
      </c>
      <c r="R682" s="12" t="n">
        <v>0.021</v>
      </c>
      <c r="S682" s="13" t="inlineStr">
        <is>
          <t>Success</t>
        </is>
      </c>
      <c r="T682" s="10" t="n">
        <v>0.386631886437578</v>
      </c>
      <c r="U682" s="10" t="n">
        <v>0</v>
      </c>
      <c r="V682" s="10" t="n">
        <v>3.093055091500624</v>
      </c>
    </row>
    <row r="683">
      <c r="I683" s="8" t="inlineStr">
        <is>
          <t>ACE-10677</t>
        </is>
      </c>
      <c r="J683" s="8" t="inlineStr">
        <is>
          <t>2026-05-10 17:22:49</t>
        </is>
      </c>
      <c r="K683" s="8" t="inlineStr">
        <is>
          <t>CUST-96235</t>
        </is>
      </c>
      <c r="L683" s="9" t="inlineStr">
        <is>
          <t>GBP-PKR</t>
        </is>
      </c>
      <c r="M683" s="8" t="inlineStr">
        <is>
          <t>GBP</t>
        </is>
      </c>
      <c r="N683" s="10" t="n">
        <v>249.3187052053224</v>
      </c>
      <c r="O683" s="11" t="n">
        <v>1</v>
      </c>
      <c r="P683" s="10" t="n">
        <v>249.3187052053224</v>
      </c>
      <c r="Q683" s="10" t="n">
        <v>1.5</v>
      </c>
      <c r="R683" s="12" t="n">
        <v>0.021</v>
      </c>
      <c r="S683" s="13" t="inlineStr">
        <is>
          <t>Success</t>
        </is>
      </c>
      <c r="T683" s="10" t="n">
        <v>0.3739780578079837</v>
      </c>
      <c r="U683" s="10" t="n">
        <v>0</v>
      </c>
      <c r="V683" s="10" t="n">
        <v>2.991824462463869</v>
      </c>
    </row>
    <row r="684">
      <c r="I684" s="8" t="inlineStr">
        <is>
          <t>ACE-10678</t>
        </is>
      </c>
      <c r="J684" s="8" t="inlineStr">
        <is>
          <t>2026-05-22 09:47:14</t>
        </is>
      </c>
      <c r="K684" s="8" t="inlineStr">
        <is>
          <t>CUST-79268</t>
        </is>
      </c>
      <c r="L684" s="9" t="inlineStr">
        <is>
          <t>GBP-PKR</t>
        </is>
      </c>
      <c r="M684" s="8" t="inlineStr">
        <is>
          <t>GBP</t>
        </is>
      </c>
      <c r="N684" s="10" t="n">
        <v>331.9607196174817</v>
      </c>
      <c r="O684" s="11" t="n">
        <v>1</v>
      </c>
      <c r="P684" s="10" t="n">
        <v>331.9607196174817</v>
      </c>
      <c r="Q684" s="10" t="n">
        <v>1.5</v>
      </c>
      <c r="R684" s="12" t="n">
        <v>0.021</v>
      </c>
      <c r="S684" s="13" t="inlineStr">
        <is>
          <t>Success</t>
        </is>
      </c>
      <c r="T684" s="10" t="n">
        <v>0.4979410794262226</v>
      </c>
      <c r="U684" s="10" t="n">
        <v>0.9958821588524451</v>
      </c>
      <c r="V684" s="10" t="n">
        <v>3.983528635409781</v>
      </c>
    </row>
    <row r="685">
      <c r="I685" s="8" t="inlineStr">
        <is>
          <t>ACE-10679</t>
        </is>
      </c>
      <c r="J685" s="8" t="inlineStr">
        <is>
          <t>2026-05-04 11:32:25</t>
        </is>
      </c>
      <c r="K685" s="8" t="inlineStr">
        <is>
          <t>CUST-72179</t>
        </is>
      </c>
      <c r="L685" s="9" t="inlineStr">
        <is>
          <t>EUR-PKR</t>
        </is>
      </c>
      <c r="M685" s="8" t="inlineStr">
        <is>
          <t>EUR</t>
        </is>
      </c>
      <c r="N685" s="10" t="n">
        <v>207.5955906609213</v>
      </c>
      <c r="O685" s="11" t="n">
        <v>0.85</v>
      </c>
      <c r="P685" s="10" t="n">
        <v>176.4562520617831</v>
      </c>
      <c r="Q685" s="10" t="n">
        <v>1.275</v>
      </c>
      <c r="R685" s="12" t="n">
        <v>0.023</v>
      </c>
      <c r="S685" s="13" t="inlineStr">
        <is>
          <t>Success</t>
        </is>
      </c>
      <c r="T685" s="10" t="n">
        <v>0.2646843780926746</v>
      </c>
      <c r="U685" s="10" t="n">
        <v>0.5293687561853492</v>
      </c>
      <c r="V685" s="10" t="n">
        <v>2.646843780926746</v>
      </c>
    </row>
    <row r="686">
      <c r="I686" s="8" t="inlineStr">
        <is>
          <t>ACE-10680</t>
        </is>
      </c>
      <c r="J686" s="8" t="inlineStr">
        <is>
          <t>2026-05-22 19:03:10</t>
        </is>
      </c>
      <c r="K686" s="8" t="inlineStr">
        <is>
          <t>CUST-75500</t>
        </is>
      </c>
      <c r="L686" s="9" t="inlineStr">
        <is>
          <t>USD-PKR</t>
        </is>
      </c>
      <c r="M686" s="8" t="inlineStr">
        <is>
          <t>USD</t>
        </is>
      </c>
      <c r="N686" s="10" t="n">
        <v>248.5845566460071</v>
      </c>
      <c r="O686" s="11" t="n">
        <v>0.8</v>
      </c>
      <c r="P686" s="10" t="n">
        <v>198.8676453168057</v>
      </c>
      <c r="Q686" s="10" t="n">
        <v>1.6</v>
      </c>
      <c r="R686" s="12" t="n">
        <v>0.019</v>
      </c>
      <c r="S686" s="13" t="inlineStr">
        <is>
          <t>Success</t>
        </is>
      </c>
      <c r="T686" s="10" t="n">
        <v>0.2983014679752085</v>
      </c>
      <c r="U686" s="10" t="n">
        <v>0</v>
      </c>
      <c r="V686" s="10" t="n">
        <v>2.386411743801668</v>
      </c>
    </row>
    <row r="687">
      <c r="I687" s="8" t="inlineStr">
        <is>
          <t>ACE-10681</t>
        </is>
      </c>
      <c r="J687" s="8" t="inlineStr">
        <is>
          <t>2026-05-03 10:30:59</t>
        </is>
      </c>
      <c r="K687" s="8" t="inlineStr">
        <is>
          <t>CUST-89337</t>
        </is>
      </c>
      <c r="L687" s="9" t="inlineStr">
        <is>
          <t>GBP-PKR</t>
        </is>
      </c>
      <c r="M687" s="8" t="inlineStr">
        <is>
          <t>GBP</t>
        </is>
      </c>
      <c r="N687" s="10" t="n">
        <v>299.4528001290474</v>
      </c>
      <c r="O687" s="11" t="n">
        <v>1</v>
      </c>
      <c r="P687" s="10" t="n">
        <v>299.4528001290474</v>
      </c>
      <c r="Q687" s="10" t="n">
        <v>1.5</v>
      </c>
      <c r="R687" s="12" t="n">
        <v>0.021</v>
      </c>
      <c r="S687" s="13" t="inlineStr">
        <is>
          <t>Success</t>
        </is>
      </c>
      <c r="T687" s="10" t="n">
        <v>0.4491792001935712</v>
      </c>
      <c r="U687" s="10" t="n">
        <v>0</v>
      </c>
      <c r="V687" s="10" t="n">
        <v>3.593433601548569</v>
      </c>
    </row>
    <row r="688">
      <c r="I688" s="8" t="inlineStr">
        <is>
          <t>ACE-10682</t>
        </is>
      </c>
      <c r="J688" s="8" t="inlineStr">
        <is>
          <t>2026-05-08 13:05:38</t>
        </is>
      </c>
      <c r="K688" s="8" t="inlineStr">
        <is>
          <t>CUST-52474</t>
        </is>
      </c>
      <c r="L688" s="9" t="inlineStr">
        <is>
          <t>USD-PKR</t>
        </is>
      </c>
      <c r="M688" s="8" t="inlineStr">
        <is>
          <t>USD</t>
        </is>
      </c>
      <c r="N688" s="10" t="n">
        <v>195.5316715720869</v>
      </c>
      <c r="O688" s="11" t="n">
        <v>0.8</v>
      </c>
      <c r="P688" s="10" t="n">
        <v>156.4253372576695</v>
      </c>
      <c r="Q688" s="10" t="n">
        <v>1.6</v>
      </c>
      <c r="R688" s="12" t="n">
        <v>0.019</v>
      </c>
      <c r="S688" s="13" t="inlineStr">
        <is>
          <t>Success</t>
        </is>
      </c>
      <c r="T688" s="10" t="n">
        <v>0.2346380058865042</v>
      </c>
      <c r="U688" s="10" t="n">
        <v>0.4692760117730085</v>
      </c>
      <c r="V688" s="10" t="n">
        <v>1.877104047092034</v>
      </c>
    </row>
    <row r="689">
      <c r="I689" s="8" t="inlineStr">
        <is>
          <t>ACE-10683</t>
        </is>
      </c>
      <c r="J689" s="8" t="inlineStr">
        <is>
          <t>2026-05-13 17:41:33</t>
        </is>
      </c>
      <c r="K689" s="8" t="inlineStr">
        <is>
          <t>CUST-68774</t>
        </is>
      </c>
      <c r="L689" s="9" t="inlineStr">
        <is>
          <t>GBP-PKR</t>
        </is>
      </c>
      <c r="M689" s="8" t="inlineStr">
        <is>
          <t>GBP</t>
        </is>
      </c>
      <c r="N689" s="10" t="n">
        <v>264.3668115713921</v>
      </c>
      <c r="O689" s="11" t="n">
        <v>1</v>
      </c>
      <c r="P689" s="10" t="n">
        <v>264.3668115713921</v>
      </c>
      <c r="Q689" s="10" t="n">
        <v>1.5</v>
      </c>
      <c r="R689" s="12" t="n">
        <v>0.021</v>
      </c>
      <c r="S689" s="13" t="inlineStr">
        <is>
          <t>Success</t>
        </is>
      </c>
      <c r="T689" s="10" t="n">
        <v>0.3965502173570881</v>
      </c>
      <c r="U689" s="10" t="n">
        <v>0</v>
      </c>
      <c r="V689" s="10" t="n">
        <v>3.172401738856705</v>
      </c>
    </row>
    <row r="690">
      <c r="I690" s="8" t="inlineStr">
        <is>
          <t>ACE-10684</t>
        </is>
      </c>
      <c r="J690" s="8" t="inlineStr">
        <is>
          <t>2026-05-06 18:31:28</t>
        </is>
      </c>
      <c r="K690" s="8" t="inlineStr">
        <is>
          <t>CUST-50701</t>
        </is>
      </c>
      <c r="L690" s="9" t="inlineStr">
        <is>
          <t>EUR-PKR</t>
        </is>
      </c>
      <c r="M690" s="8" t="inlineStr">
        <is>
          <t>EUR</t>
        </is>
      </c>
      <c r="N690" s="10" t="n">
        <v>198.5342299399904</v>
      </c>
      <c r="O690" s="11" t="n">
        <v>0.85</v>
      </c>
      <c r="P690" s="10" t="n">
        <v>168.7540954489918</v>
      </c>
      <c r="Q690" s="10" t="n">
        <v>1.275</v>
      </c>
      <c r="R690" s="12" t="n">
        <v>0.023</v>
      </c>
      <c r="S690" s="13" t="inlineStr">
        <is>
          <t>Success</t>
        </is>
      </c>
      <c r="T690" s="10" t="n">
        <v>0.2531311431734878</v>
      </c>
      <c r="U690" s="10" t="n">
        <v>0.5062622863469756</v>
      </c>
      <c r="V690" s="10" t="n">
        <v>2.531311431734878</v>
      </c>
    </row>
    <row r="691">
      <c r="I691" s="8" t="inlineStr">
        <is>
          <t>ACE-10685</t>
        </is>
      </c>
      <c r="J691" s="8" t="inlineStr">
        <is>
          <t>2026-05-17 12:12:02</t>
        </is>
      </c>
      <c r="K691" s="8" t="inlineStr">
        <is>
          <t>CUST-89289</t>
        </is>
      </c>
      <c r="L691" s="9" t="inlineStr">
        <is>
          <t>USD-PKR</t>
        </is>
      </c>
      <c r="M691" s="8" t="inlineStr">
        <is>
          <t>USD</t>
        </is>
      </c>
      <c r="N691" s="10" t="n">
        <v>193.7201836327262</v>
      </c>
      <c r="O691" s="11" t="n">
        <v>0.8</v>
      </c>
      <c r="P691" s="10" t="n">
        <v>154.976146906181</v>
      </c>
      <c r="Q691" s="10" t="n">
        <v>1.6</v>
      </c>
      <c r="R691" s="12" t="n">
        <v>0.019</v>
      </c>
      <c r="S691" s="13" t="inlineStr">
        <is>
          <t>Success</t>
        </is>
      </c>
      <c r="T691" s="10" t="n">
        <v>0.2324642203592714</v>
      </c>
      <c r="U691" s="10" t="n">
        <v>0.4649284407185429</v>
      </c>
      <c r="V691" s="10" t="n">
        <v>1.859713762874172</v>
      </c>
    </row>
    <row r="692">
      <c r="I692" s="8" t="inlineStr">
        <is>
          <t>ACE-10686</t>
        </is>
      </c>
      <c r="J692" s="8" t="inlineStr">
        <is>
          <t>2026-05-20 10:43:02</t>
        </is>
      </c>
      <c r="K692" s="8" t="inlineStr">
        <is>
          <t>CUST-73575</t>
        </is>
      </c>
      <c r="L692" s="9" t="inlineStr">
        <is>
          <t>USD-PKR</t>
        </is>
      </c>
      <c r="M692" s="8" t="inlineStr">
        <is>
          <t>USD</t>
        </is>
      </c>
      <c r="N692" s="10" t="n">
        <v>235.0803544127877</v>
      </c>
      <c r="O692" s="11" t="n">
        <v>0.8</v>
      </c>
      <c r="P692" s="10" t="n">
        <v>188.0642835302302</v>
      </c>
      <c r="Q692" s="10" t="n">
        <v>1.6</v>
      </c>
      <c r="R692" s="12" t="n">
        <v>0.019</v>
      </c>
      <c r="S692" s="13" t="inlineStr">
        <is>
          <t>Success</t>
        </is>
      </c>
      <c r="T692" s="10" t="n">
        <v>0.2820964252953453</v>
      </c>
      <c r="U692" s="10" t="n">
        <v>0</v>
      </c>
      <c r="V692" s="10" t="n">
        <v>2.256771402362762</v>
      </c>
    </row>
    <row r="693">
      <c r="I693" s="8" t="inlineStr">
        <is>
          <t>ACE-10687</t>
        </is>
      </c>
      <c r="J693" s="8" t="inlineStr">
        <is>
          <t>2026-05-06 09:17:49</t>
        </is>
      </c>
      <c r="K693" s="8" t="inlineStr">
        <is>
          <t>CUST-76177</t>
        </is>
      </c>
      <c r="L693" s="9" t="inlineStr">
        <is>
          <t>EUR-PKR</t>
        </is>
      </c>
      <c r="M693" s="8" t="inlineStr">
        <is>
          <t>EUR</t>
        </is>
      </c>
      <c r="N693" s="10" t="n">
        <v>184.5631225009304</v>
      </c>
      <c r="O693" s="11" t="n">
        <v>0.85</v>
      </c>
      <c r="P693" s="10" t="n">
        <v>156.8786541257908</v>
      </c>
      <c r="Q693" s="10" t="n">
        <v>1.275</v>
      </c>
      <c r="R693" s="12" t="n">
        <v>0.023</v>
      </c>
      <c r="S693" s="13" t="inlineStr">
        <is>
          <t>Success</t>
        </is>
      </c>
      <c r="T693" s="10" t="n">
        <v>0.2353179811886862</v>
      </c>
      <c r="U693" s="10" t="n">
        <v>0</v>
      </c>
      <c r="V693" s="10" t="n">
        <v>2.353179811886862</v>
      </c>
    </row>
    <row r="694">
      <c r="I694" s="8" t="inlineStr">
        <is>
          <t>ACE-10688</t>
        </is>
      </c>
      <c r="J694" s="8" t="inlineStr">
        <is>
          <t>2026-05-19 11:33:00</t>
        </is>
      </c>
      <c r="K694" s="8" t="inlineStr">
        <is>
          <t>CUST-98295</t>
        </is>
      </c>
      <c r="L694" s="9" t="inlineStr">
        <is>
          <t>GBP-PKR</t>
        </is>
      </c>
      <c r="M694" s="8" t="inlineStr">
        <is>
          <t>GBP</t>
        </is>
      </c>
      <c r="N694" s="10" t="n">
        <v>268.3541390063556</v>
      </c>
      <c r="O694" s="11" t="n">
        <v>1</v>
      </c>
      <c r="P694" s="10" t="n">
        <v>268.3541390063556</v>
      </c>
      <c r="Q694" s="10" t="n">
        <v>1.5</v>
      </c>
      <c r="R694" s="12" t="n">
        <v>0.021</v>
      </c>
      <c r="S694" s="13" t="inlineStr">
        <is>
          <t>Success</t>
        </is>
      </c>
      <c r="T694" s="10" t="n">
        <v>0.4025312085095334</v>
      </c>
      <c r="U694" s="10" t="n">
        <v>0.8050624170190668</v>
      </c>
      <c r="V694" s="10" t="n">
        <v>3.220249668076267</v>
      </c>
    </row>
    <row r="695">
      <c r="I695" s="8" t="inlineStr">
        <is>
          <t>ACE-10689</t>
        </is>
      </c>
      <c r="J695" s="8" t="inlineStr">
        <is>
          <t>2026-05-18 12:46:53</t>
        </is>
      </c>
      <c r="K695" s="8" t="inlineStr">
        <is>
          <t>CUST-86642</t>
        </is>
      </c>
      <c r="L695" s="9" t="inlineStr">
        <is>
          <t>GBP-PKR</t>
        </is>
      </c>
      <c r="M695" s="8" t="inlineStr">
        <is>
          <t>GBP</t>
        </is>
      </c>
      <c r="N695" s="10" t="n">
        <v>299.1321951678126</v>
      </c>
      <c r="O695" s="11" t="n">
        <v>1</v>
      </c>
      <c r="P695" s="10" t="n">
        <v>299.1321951678126</v>
      </c>
      <c r="Q695" s="10" t="n">
        <v>1.5</v>
      </c>
      <c r="R695" s="12" t="n">
        <v>0.021</v>
      </c>
      <c r="S695" s="13" t="inlineStr">
        <is>
          <t>Success</t>
        </is>
      </c>
      <c r="T695" s="10" t="n">
        <v>0.4486982927517189</v>
      </c>
      <c r="U695" s="10" t="n">
        <v>0</v>
      </c>
      <c r="V695" s="10" t="n">
        <v>3.589586342013751</v>
      </c>
    </row>
    <row r="696">
      <c r="I696" s="8" t="inlineStr">
        <is>
          <t>ACE-10690</t>
        </is>
      </c>
      <c r="J696" s="8" t="inlineStr">
        <is>
          <t>2026-05-09 11:38:12</t>
        </is>
      </c>
      <c r="K696" s="8" t="inlineStr">
        <is>
          <t>CUST-79803</t>
        </is>
      </c>
      <c r="L696" s="9" t="inlineStr">
        <is>
          <t>GBP-PKR</t>
        </is>
      </c>
      <c r="M696" s="8" t="inlineStr">
        <is>
          <t>GBP</t>
        </is>
      </c>
      <c r="N696" s="10" t="n">
        <v>291.2598821164473</v>
      </c>
      <c r="O696" s="11" t="n">
        <v>1</v>
      </c>
      <c r="P696" s="10" t="n">
        <v>291.2598821164473</v>
      </c>
      <c r="Q696" s="10" t="n">
        <v>1.5</v>
      </c>
      <c r="R696" s="12" t="n">
        <v>0.021</v>
      </c>
      <c r="S696" s="13" t="inlineStr">
        <is>
          <t>Success</t>
        </is>
      </c>
      <c r="T696" s="10" t="n">
        <v>0.436889823174671</v>
      </c>
      <c r="U696" s="10" t="n">
        <v>0</v>
      </c>
      <c r="V696" s="10" t="n">
        <v>3.495118585397368</v>
      </c>
    </row>
    <row r="697">
      <c r="I697" s="8" t="inlineStr">
        <is>
          <t>ACE-10691</t>
        </is>
      </c>
      <c r="J697" s="8" t="inlineStr">
        <is>
          <t>2026-05-09 10:26:32</t>
        </is>
      </c>
      <c r="K697" s="8" t="inlineStr">
        <is>
          <t>CUST-56977</t>
        </is>
      </c>
      <c r="L697" s="9" t="inlineStr">
        <is>
          <t>GBP-PKR</t>
        </is>
      </c>
      <c r="M697" s="8" t="inlineStr">
        <is>
          <t>GBP</t>
        </is>
      </c>
      <c r="N697" s="10" t="n">
        <v>268.7261917249818</v>
      </c>
      <c r="O697" s="11" t="n">
        <v>1</v>
      </c>
      <c r="P697" s="10" t="n">
        <v>268.7261917249818</v>
      </c>
      <c r="Q697" s="10" t="n">
        <v>1.5</v>
      </c>
      <c r="R697" s="12" t="n">
        <v>0.021</v>
      </c>
      <c r="S697" s="13" t="inlineStr">
        <is>
          <t>Success</t>
        </is>
      </c>
      <c r="T697" s="10" t="n">
        <v>0.4030892875874728</v>
      </c>
      <c r="U697" s="10" t="n">
        <v>0</v>
      </c>
      <c r="V697" s="10" t="n">
        <v>3.224714300699782</v>
      </c>
    </row>
    <row r="698">
      <c r="I698" s="8" t="inlineStr">
        <is>
          <t>ACE-10692</t>
        </is>
      </c>
      <c r="J698" s="8" t="inlineStr">
        <is>
          <t>2026-05-11 09:51:32</t>
        </is>
      </c>
      <c r="K698" s="8" t="inlineStr">
        <is>
          <t>CUST-66888</t>
        </is>
      </c>
      <c r="L698" s="9" t="inlineStr">
        <is>
          <t>GBP-PKR</t>
        </is>
      </c>
      <c r="M698" s="8" t="inlineStr">
        <is>
          <t>GBP</t>
        </is>
      </c>
      <c r="N698" s="10" t="n">
        <v>312.849606141276</v>
      </c>
      <c r="O698" s="11" t="n">
        <v>1</v>
      </c>
      <c r="P698" s="10" t="n">
        <v>312.849606141276</v>
      </c>
      <c r="Q698" s="10" t="n">
        <v>1.5</v>
      </c>
      <c r="R698" s="12" t="n">
        <v>0.021</v>
      </c>
      <c r="S698" s="13" t="inlineStr">
        <is>
          <t>Success</t>
        </is>
      </c>
      <c r="T698" s="10" t="n">
        <v>0.469274409211914</v>
      </c>
      <c r="U698" s="10" t="n">
        <v>0.9385488184238281</v>
      </c>
      <c r="V698" s="10" t="n">
        <v>3.754195273695312</v>
      </c>
    </row>
    <row r="699">
      <c r="I699" s="8" t="inlineStr">
        <is>
          <t>ACE-10693</t>
        </is>
      </c>
      <c r="J699" s="8" t="inlineStr">
        <is>
          <t>2026-05-19 12:44:28</t>
        </is>
      </c>
      <c r="K699" s="8" t="inlineStr">
        <is>
          <t>CUST-74712</t>
        </is>
      </c>
      <c r="L699" s="9" t="inlineStr">
        <is>
          <t>GBP-PKR</t>
        </is>
      </c>
      <c r="M699" s="8" t="inlineStr">
        <is>
          <t>GBP</t>
        </is>
      </c>
      <c r="N699" s="10" t="n">
        <v>250.0555943172933</v>
      </c>
      <c r="O699" s="11" t="n">
        <v>1</v>
      </c>
      <c r="P699" s="10" t="n">
        <v>250.0555943172933</v>
      </c>
      <c r="Q699" s="10" t="n">
        <v>1.5</v>
      </c>
      <c r="R699" s="12" t="n">
        <v>0.021</v>
      </c>
      <c r="S699" s="13" t="inlineStr">
        <is>
          <t>Success</t>
        </is>
      </c>
      <c r="T699" s="10" t="n">
        <v>0.3750833914759399</v>
      </c>
      <c r="U699" s="10" t="n">
        <v>0.7501667829518799</v>
      </c>
      <c r="V699" s="10" t="n">
        <v>3.00066713180752</v>
      </c>
    </row>
    <row r="700">
      <c r="I700" s="8" t="inlineStr">
        <is>
          <t>ACE-10694</t>
        </is>
      </c>
      <c r="J700" s="8" t="inlineStr">
        <is>
          <t>2026-05-11 20:29:43</t>
        </is>
      </c>
      <c r="K700" s="8" t="inlineStr">
        <is>
          <t>CUST-80193</t>
        </is>
      </c>
      <c r="L700" s="9" t="inlineStr">
        <is>
          <t>GBP-PKR</t>
        </is>
      </c>
      <c r="M700" s="8" t="inlineStr">
        <is>
          <t>GBP</t>
        </is>
      </c>
      <c r="N700" s="10" t="n">
        <v>296.3031731778867</v>
      </c>
      <c r="O700" s="11" t="n">
        <v>1</v>
      </c>
      <c r="P700" s="10" t="n">
        <v>296.3031731778867</v>
      </c>
      <c r="Q700" s="10" t="n">
        <v>1.5</v>
      </c>
      <c r="R700" s="12" t="n">
        <v>0.021</v>
      </c>
      <c r="S700" s="13" t="inlineStr">
        <is>
          <t>Success</t>
        </is>
      </c>
      <c r="T700" s="10" t="n">
        <v>0.44445475976683</v>
      </c>
      <c r="U700" s="10" t="n">
        <v>0.88890951953366</v>
      </c>
      <c r="V700" s="10" t="n">
        <v>3.55563807813464</v>
      </c>
    </row>
    <row r="701">
      <c r="I701" s="8" t="inlineStr">
        <is>
          <t>ACE-10695</t>
        </is>
      </c>
      <c r="J701" s="8" t="inlineStr">
        <is>
          <t>2026-05-16 09:16:04</t>
        </is>
      </c>
      <c r="K701" s="8" t="inlineStr">
        <is>
          <t>CUST-75078</t>
        </is>
      </c>
      <c r="L701" s="9" t="inlineStr">
        <is>
          <t>GBP-PKR</t>
        </is>
      </c>
      <c r="M701" s="8" t="inlineStr">
        <is>
          <t>GBP</t>
        </is>
      </c>
      <c r="N701" s="10" t="n">
        <v>295.6273560578312</v>
      </c>
      <c r="O701" s="11" t="n">
        <v>1</v>
      </c>
      <c r="P701" s="10" t="n">
        <v>295.6273560578312</v>
      </c>
      <c r="Q701" s="10" t="n">
        <v>1.5</v>
      </c>
      <c r="R701" s="12" t="n">
        <v>0.021</v>
      </c>
      <c r="S701" s="13" t="inlineStr">
        <is>
          <t>Success</t>
        </is>
      </c>
      <c r="T701" s="10" t="n">
        <v>0.4434410340867468</v>
      </c>
      <c r="U701" s="10" t="n">
        <v>0.8868820681734937</v>
      </c>
      <c r="V701" s="10" t="n">
        <v>3.547528272693975</v>
      </c>
    </row>
    <row r="702">
      <c r="I702" s="8" t="inlineStr">
        <is>
          <t>ACE-10696</t>
        </is>
      </c>
      <c r="J702" s="8" t="inlineStr">
        <is>
          <t>2026-05-22 19:14:51</t>
        </is>
      </c>
      <c r="K702" s="8" t="inlineStr">
        <is>
          <t>CUST-70691</t>
        </is>
      </c>
      <c r="L702" s="9" t="inlineStr">
        <is>
          <t>GBP-PKR</t>
        </is>
      </c>
      <c r="M702" s="8" t="inlineStr">
        <is>
          <t>GBP</t>
        </is>
      </c>
      <c r="N702" s="10" t="n">
        <v>270.1115330946704</v>
      </c>
      <c r="O702" s="11" t="n">
        <v>1</v>
      </c>
      <c r="P702" s="10" t="n">
        <v>270.1115330946704</v>
      </c>
      <c r="Q702" s="10" t="n">
        <v>1.5</v>
      </c>
      <c r="R702" s="12" t="n">
        <v>0.021</v>
      </c>
      <c r="S702" s="13" t="inlineStr">
        <is>
          <t>Success</t>
        </is>
      </c>
      <c r="T702" s="10" t="n">
        <v>0.4051672996420056</v>
      </c>
      <c r="U702" s="10" t="n">
        <v>0</v>
      </c>
      <c r="V702" s="10" t="n">
        <v>3.241338397136045</v>
      </c>
    </row>
    <row r="703">
      <c r="I703" s="8" t="inlineStr">
        <is>
          <t>ACE-10697</t>
        </is>
      </c>
      <c r="J703" s="8" t="inlineStr">
        <is>
          <t>2026-05-18 08:44:53</t>
        </is>
      </c>
      <c r="K703" s="8" t="inlineStr">
        <is>
          <t>CUST-67258</t>
        </is>
      </c>
      <c r="L703" s="9" t="inlineStr">
        <is>
          <t>GBP-PKR</t>
        </is>
      </c>
      <c r="M703" s="8" t="inlineStr">
        <is>
          <t>GBP</t>
        </is>
      </c>
      <c r="N703" s="10" t="n">
        <v>287.8394632339464</v>
      </c>
      <c r="O703" s="11" t="n">
        <v>1</v>
      </c>
      <c r="P703" s="10" t="n">
        <v>287.8394632339464</v>
      </c>
      <c r="Q703" s="10" t="n">
        <v>1.5</v>
      </c>
      <c r="R703" s="12" t="n">
        <v>0.021</v>
      </c>
      <c r="S703" s="13" t="inlineStr">
        <is>
          <t>Success</t>
        </is>
      </c>
      <c r="T703" s="10" t="n">
        <v>0.4317591948509196</v>
      </c>
      <c r="U703" s="10" t="n">
        <v>0</v>
      </c>
      <c r="V703" s="10" t="n">
        <v>3.454073558807357</v>
      </c>
    </row>
    <row r="704">
      <c r="I704" s="8" t="inlineStr">
        <is>
          <t>ACE-10698</t>
        </is>
      </c>
      <c r="J704" s="8" t="inlineStr">
        <is>
          <t>2026-05-22 19:52:21</t>
        </is>
      </c>
      <c r="K704" s="8" t="inlineStr">
        <is>
          <t>CUST-54982</t>
        </is>
      </c>
      <c r="L704" s="9" t="inlineStr">
        <is>
          <t>GBP-PKR</t>
        </is>
      </c>
      <c r="M704" s="8" t="inlineStr">
        <is>
          <t>GBP</t>
        </is>
      </c>
      <c r="N704" s="10" t="n">
        <v>245.839343044733</v>
      </c>
      <c r="O704" s="11" t="n">
        <v>1</v>
      </c>
      <c r="P704" s="10" t="n">
        <v>245.839343044733</v>
      </c>
      <c r="Q704" s="10" t="n">
        <v>1.5</v>
      </c>
      <c r="R704" s="12" t="n">
        <v>0.021</v>
      </c>
      <c r="S704" s="13" t="inlineStr">
        <is>
          <t>Success</t>
        </is>
      </c>
      <c r="T704" s="10" t="n">
        <v>0.3687590145670995</v>
      </c>
      <c r="U704" s="10" t="n">
        <v>0</v>
      </c>
      <c r="V704" s="10" t="n">
        <v>2.950072116536796</v>
      </c>
    </row>
    <row r="705">
      <c r="I705" s="8" t="inlineStr">
        <is>
          <t>ACE-10699</t>
        </is>
      </c>
      <c r="J705" s="8" t="inlineStr">
        <is>
          <t>2026-05-11 13:13:57</t>
        </is>
      </c>
      <c r="K705" s="8" t="inlineStr">
        <is>
          <t>CUST-87598</t>
        </is>
      </c>
      <c r="L705" s="9" t="inlineStr">
        <is>
          <t>GBP-PKR</t>
        </is>
      </c>
      <c r="M705" s="8" t="inlineStr">
        <is>
          <t>GBP</t>
        </is>
      </c>
      <c r="N705" s="10" t="n">
        <v>305.5741008244603</v>
      </c>
      <c r="O705" s="11" t="n">
        <v>1</v>
      </c>
      <c r="P705" s="10" t="n">
        <v>305.5741008244603</v>
      </c>
      <c r="Q705" s="10" t="n">
        <v>1.5</v>
      </c>
      <c r="R705" s="12" t="n">
        <v>0.021</v>
      </c>
      <c r="S705" s="13" t="inlineStr">
        <is>
          <t>Success</t>
        </is>
      </c>
      <c r="T705" s="10" t="n">
        <v>0.4583611512366905</v>
      </c>
      <c r="U705" s="10" t="n">
        <v>0.9167223024733809</v>
      </c>
      <c r="V705" s="10" t="n">
        <v>3.666889209893524</v>
      </c>
    </row>
    <row r="706">
      <c r="I706" s="8" t="inlineStr">
        <is>
          <t>ACE-10700</t>
        </is>
      </c>
      <c r="J706" s="8" t="inlineStr">
        <is>
          <t>2026-05-22 11:31:47</t>
        </is>
      </c>
      <c r="K706" s="8" t="inlineStr">
        <is>
          <t>CUST-63085</t>
        </is>
      </c>
      <c r="L706" s="9" t="inlineStr">
        <is>
          <t>USD-PKR</t>
        </is>
      </c>
      <c r="M706" s="8" t="inlineStr">
        <is>
          <t>USD</t>
        </is>
      </c>
      <c r="N706" s="10" t="n">
        <v>214.8923774300984</v>
      </c>
      <c r="O706" s="11" t="n">
        <v>0.8</v>
      </c>
      <c r="P706" s="10" t="n">
        <v>171.9139019440788</v>
      </c>
      <c r="Q706" s="10" t="n">
        <v>1.6</v>
      </c>
      <c r="R706" s="12" t="n">
        <v>0.019</v>
      </c>
      <c r="S706" s="13" t="inlineStr">
        <is>
          <t>Success</t>
        </is>
      </c>
      <c r="T706" s="10" t="n">
        <v>0.2578708529161182</v>
      </c>
      <c r="U706" s="10" t="n">
        <v>0</v>
      </c>
      <c r="V706" s="10" t="n">
        <v>2.062966823328945</v>
      </c>
    </row>
    <row r="707">
      <c r="I707" s="8" t="inlineStr">
        <is>
          <t>ACE-10701</t>
        </is>
      </c>
      <c r="J707" s="8" t="inlineStr">
        <is>
          <t>2026-05-09 11:14:12</t>
        </is>
      </c>
      <c r="K707" s="8" t="inlineStr">
        <is>
          <t>CUST-66364</t>
        </is>
      </c>
      <c r="L707" s="9" t="inlineStr">
        <is>
          <t>GBP-PKR</t>
        </is>
      </c>
      <c r="M707" s="8" t="inlineStr">
        <is>
          <t>GBP</t>
        </is>
      </c>
      <c r="N707" s="10" t="n">
        <v>264.4143290544316</v>
      </c>
      <c r="O707" s="11" t="n">
        <v>1</v>
      </c>
      <c r="P707" s="10" t="n">
        <v>264.4143290544316</v>
      </c>
      <c r="Q707" s="10" t="n">
        <v>1.5</v>
      </c>
      <c r="R707" s="12" t="n">
        <v>0.021</v>
      </c>
      <c r="S707" s="13" t="inlineStr">
        <is>
          <t>Success</t>
        </is>
      </c>
      <c r="T707" s="10" t="n">
        <v>0.3966214935816474</v>
      </c>
      <c r="U707" s="10" t="n">
        <v>0</v>
      </c>
      <c r="V707" s="10" t="n">
        <v>3.17297194865318</v>
      </c>
    </row>
    <row r="708">
      <c r="I708" s="8" t="inlineStr">
        <is>
          <t>ACE-10702</t>
        </is>
      </c>
      <c r="J708" s="8" t="inlineStr">
        <is>
          <t>2026-05-04 09:58:05</t>
        </is>
      </c>
      <c r="K708" s="8" t="inlineStr">
        <is>
          <t>CUST-94290</t>
        </is>
      </c>
      <c r="L708" s="9" t="inlineStr">
        <is>
          <t>GBP-PKR</t>
        </is>
      </c>
      <c r="M708" s="8" t="inlineStr">
        <is>
          <t>GBP</t>
        </is>
      </c>
      <c r="N708" s="10" t="n">
        <v>309.4171992857924</v>
      </c>
      <c r="O708" s="11" t="n">
        <v>1</v>
      </c>
      <c r="P708" s="10" t="n">
        <v>309.4171992857924</v>
      </c>
      <c r="Q708" s="10" t="n">
        <v>1.5</v>
      </c>
      <c r="R708" s="12" t="n">
        <v>0.021</v>
      </c>
      <c r="S708" s="13" t="inlineStr">
        <is>
          <t>Success</t>
        </is>
      </c>
      <c r="T708" s="10" t="n">
        <v>0.4641257989286886</v>
      </c>
      <c r="U708" s="10" t="n">
        <v>0</v>
      </c>
      <c r="V708" s="10" t="n">
        <v>3.713006391429509</v>
      </c>
    </row>
    <row r="709">
      <c r="I709" s="8" t="inlineStr">
        <is>
          <t>ACE-10703</t>
        </is>
      </c>
      <c r="J709" s="8" t="inlineStr">
        <is>
          <t>2026-05-01 20:54:34</t>
        </is>
      </c>
      <c r="K709" s="8" t="inlineStr">
        <is>
          <t>CUST-52769</t>
        </is>
      </c>
      <c r="L709" s="9" t="inlineStr">
        <is>
          <t>GBP-PKR</t>
        </is>
      </c>
      <c r="M709" s="8" t="inlineStr">
        <is>
          <t>GBP</t>
        </is>
      </c>
      <c r="N709" s="10" t="n">
        <v>259.6553654175041</v>
      </c>
      <c r="O709" s="11" t="n">
        <v>1</v>
      </c>
      <c r="P709" s="10" t="n">
        <v>259.6553654175041</v>
      </c>
      <c r="Q709" s="10" t="n">
        <v>1.5</v>
      </c>
      <c r="R709" s="12" t="n">
        <v>0.021</v>
      </c>
      <c r="S709" s="13" t="inlineStr">
        <is>
          <t>Success</t>
        </is>
      </c>
      <c r="T709" s="10" t="n">
        <v>0.3894830481262561</v>
      </c>
      <c r="U709" s="10" t="n">
        <v>0</v>
      </c>
      <c r="V709" s="10" t="n">
        <v>3.115864385010049</v>
      </c>
    </row>
    <row r="710">
      <c r="I710" s="8" t="inlineStr">
        <is>
          <t>ACE-10704</t>
        </is>
      </c>
      <c r="J710" s="8" t="inlineStr">
        <is>
          <t>2026-05-11 15:57:56</t>
        </is>
      </c>
      <c r="K710" s="8" t="inlineStr">
        <is>
          <t>CUST-87651</t>
        </is>
      </c>
      <c r="L710" s="9" t="inlineStr">
        <is>
          <t>EUR-PKR</t>
        </is>
      </c>
      <c r="M710" s="8" t="inlineStr">
        <is>
          <t>EUR</t>
        </is>
      </c>
      <c r="N710" s="10" t="n">
        <v>164.2152295182766</v>
      </c>
      <c r="O710" s="11" t="n">
        <v>0.85</v>
      </c>
      <c r="P710" s="10" t="n">
        <v>139.5829450905351</v>
      </c>
      <c r="Q710" s="10" t="n">
        <v>1.275</v>
      </c>
      <c r="R710" s="12" t="n">
        <v>0.023</v>
      </c>
      <c r="S710" s="13" t="inlineStr">
        <is>
          <t>Success</t>
        </is>
      </c>
      <c r="T710" s="10" t="n">
        <v>0.2093744176358026</v>
      </c>
      <c r="U710" s="10" t="n">
        <v>0</v>
      </c>
      <c r="V710" s="10" t="n">
        <v>2.093744176358026</v>
      </c>
    </row>
    <row r="711">
      <c r="I711" s="8" t="inlineStr">
        <is>
          <t>ACE-10705</t>
        </is>
      </c>
      <c r="J711" s="8" t="inlineStr">
        <is>
          <t>2026-05-17 12:25:14</t>
        </is>
      </c>
      <c r="K711" s="8" t="inlineStr">
        <is>
          <t>CUST-99163</t>
        </is>
      </c>
      <c r="L711" s="9" t="inlineStr">
        <is>
          <t>GBP-PKR</t>
        </is>
      </c>
      <c r="M711" s="8" t="inlineStr">
        <is>
          <t>GBP</t>
        </is>
      </c>
      <c r="N711" s="10" t="n">
        <v>238.4421410732793</v>
      </c>
      <c r="O711" s="11" t="n">
        <v>1</v>
      </c>
      <c r="P711" s="10" t="n">
        <v>238.4421410732793</v>
      </c>
      <c r="Q711" s="10" t="n">
        <v>1.5</v>
      </c>
      <c r="R711" s="12" t="n">
        <v>0.021</v>
      </c>
      <c r="S711" s="13" t="inlineStr">
        <is>
          <t>Success</t>
        </is>
      </c>
      <c r="T711" s="10" t="n">
        <v>0.3576632116099189</v>
      </c>
      <c r="U711" s="10" t="n">
        <v>0</v>
      </c>
      <c r="V711" s="10" t="n">
        <v>2.861305692879351</v>
      </c>
    </row>
    <row r="712">
      <c r="I712" s="8" t="inlineStr">
        <is>
          <t>ACE-10706</t>
        </is>
      </c>
      <c r="J712" s="8" t="inlineStr">
        <is>
          <t>2026-05-14 15:34:02</t>
        </is>
      </c>
      <c r="K712" s="8" t="inlineStr">
        <is>
          <t>CUST-82930</t>
        </is>
      </c>
      <c r="L712" s="9" t="inlineStr">
        <is>
          <t>GBP-PKR</t>
        </is>
      </c>
      <c r="M712" s="8" t="inlineStr">
        <is>
          <t>GBP</t>
        </is>
      </c>
      <c r="N712" s="10" t="n">
        <v>296.0092187615606</v>
      </c>
      <c r="O712" s="11" t="n">
        <v>1</v>
      </c>
      <c r="P712" s="10" t="n">
        <v>296.0092187615606</v>
      </c>
      <c r="Q712" s="10" t="n">
        <v>1.5</v>
      </c>
      <c r="R712" s="12" t="n">
        <v>0.021</v>
      </c>
      <c r="S712" s="13" t="inlineStr">
        <is>
          <t>Success</t>
        </is>
      </c>
      <c r="T712" s="10" t="n">
        <v>0.444013828142341</v>
      </c>
      <c r="U712" s="10" t="n">
        <v>0.8880276562846819</v>
      </c>
      <c r="V712" s="10" t="n">
        <v>3.552110625138728</v>
      </c>
    </row>
    <row r="713">
      <c r="I713" s="8" t="inlineStr">
        <is>
          <t>ACE-10707</t>
        </is>
      </c>
      <c r="J713" s="8" t="inlineStr">
        <is>
          <t>2026-05-06 15:07:44</t>
        </is>
      </c>
      <c r="K713" s="8" t="inlineStr">
        <is>
          <t>CUST-83961</t>
        </is>
      </c>
      <c r="L713" s="9" t="inlineStr">
        <is>
          <t>GBP-PKR</t>
        </is>
      </c>
      <c r="M713" s="8" t="inlineStr">
        <is>
          <t>GBP</t>
        </is>
      </c>
      <c r="N713" s="10" t="n">
        <v>245.1197012889577</v>
      </c>
      <c r="O713" s="11" t="n">
        <v>1</v>
      </c>
      <c r="P713" s="10" t="n">
        <v>245.1197012889577</v>
      </c>
      <c r="Q713" s="10" t="n">
        <v>1.5</v>
      </c>
      <c r="R713" s="12" t="n">
        <v>0.021</v>
      </c>
      <c r="S713" s="13" t="inlineStr">
        <is>
          <t>Success</t>
        </is>
      </c>
      <c r="T713" s="10" t="n">
        <v>0.3676795519334365</v>
      </c>
      <c r="U713" s="10" t="n">
        <v>0.7353591038668731</v>
      </c>
      <c r="V713" s="10" t="n">
        <v>2.941436415467492</v>
      </c>
    </row>
    <row r="714">
      <c r="I714" s="8" t="inlineStr">
        <is>
          <t>ACE-10708</t>
        </is>
      </c>
      <c r="J714" s="8" t="inlineStr">
        <is>
          <t>2026-05-01 18:13:24</t>
        </is>
      </c>
      <c r="K714" s="8" t="inlineStr">
        <is>
          <t>CUST-88076</t>
        </is>
      </c>
      <c r="L714" s="9" t="inlineStr">
        <is>
          <t>USD-PKR</t>
        </is>
      </c>
      <c r="M714" s="8" t="inlineStr">
        <is>
          <t>USD</t>
        </is>
      </c>
      <c r="N714" s="10" t="n">
        <v>260.8921137404694</v>
      </c>
      <c r="O714" s="11" t="n">
        <v>0.8</v>
      </c>
      <c r="P714" s="10" t="n">
        <v>208.7136909923755</v>
      </c>
      <c r="Q714" s="10" t="n">
        <v>1.6</v>
      </c>
      <c r="R714" s="12" t="n">
        <v>0.019</v>
      </c>
      <c r="S714" s="13" t="inlineStr">
        <is>
          <t>Success</t>
        </is>
      </c>
      <c r="T714" s="10" t="n">
        <v>0.3130705364885633</v>
      </c>
      <c r="U714" s="10" t="n">
        <v>0</v>
      </c>
      <c r="V714" s="10" t="n">
        <v>2.504564291908506</v>
      </c>
    </row>
    <row r="715">
      <c r="I715" s="8" t="inlineStr">
        <is>
          <t>ACE-10709</t>
        </is>
      </c>
      <c r="J715" s="8" t="inlineStr">
        <is>
          <t>2026-05-09 10:35:16</t>
        </is>
      </c>
      <c r="K715" s="8" t="inlineStr">
        <is>
          <t>CUST-65541</t>
        </is>
      </c>
      <c r="L715" s="9" t="inlineStr">
        <is>
          <t>GBP-PKR</t>
        </is>
      </c>
      <c r="M715" s="8" t="inlineStr">
        <is>
          <t>GBP</t>
        </is>
      </c>
      <c r="N715" s="10" t="n">
        <v>226.2400632731536</v>
      </c>
      <c r="O715" s="11" t="n">
        <v>1</v>
      </c>
      <c r="P715" s="10" t="n">
        <v>226.2400632731536</v>
      </c>
      <c r="Q715" s="10" t="n">
        <v>1.5</v>
      </c>
      <c r="R715" s="12" t="n">
        <v>0.021</v>
      </c>
      <c r="S715" s="13" t="inlineStr">
        <is>
          <t>Success</t>
        </is>
      </c>
      <c r="T715" s="10" t="n">
        <v>0.3393600949097303</v>
      </c>
      <c r="U715" s="10" t="n">
        <v>0.6787201898194607</v>
      </c>
      <c r="V715" s="10" t="n">
        <v>2.714880759277843</v>
      </c>
    </row>
    <row r="716">
      <c r="I716" s="8" t="inlineStr">
        <is>
          <t>ACE-10710</t>
        </is>
      </c>
      <c r="J716" s="8" t="inlineStr">
        <is>
          <t>2026-05-11 13:11:31</t>
        </is>
      </c>
      <c r="K716" s="8" t="inlineStr">
        <is>
          <t>CUST-77783</t>
        </is>
      </c>
      <c r="L716" s="9" t="inlineStr">
        <is>
          <t>GBP-PKR</t>
        </is>
      </c>
      <c r="M716" s="8" t="inlineStr">
        <is>
          <t>GBP</t>
        </is>
      </c>
      <c r="N716" s="10" t="n">
        <v>330.1130725948619</v>
      </c>
      <c r="O716" s="11" t="n">
        <v>1</v>
      </c>
      <c r="P716" s="10" t="n">
        <v>330.1130725948619</v>
      </c>
      <c r="Q716" s="10" t="n">
        <v>1.5</v>
      </c>
      <c r="R716" s="12" t="n">
        <v>0.021</v>
      </c>
      <c r="S716" s="13" t="inlineStr">
        <is>
          <t>Success</t>
        </is>
      </c>
      <c r="T716" s="10" t="n">
        <v>0.4951696088922929</v>
      </c>
      <c r="U716" s="10" t="n">
        <v>0.9903392177845858</v>
      </c>
      <c r="V716" s="10" t="n">
        <v>3.961356871138343</v>
      </c>
    </row>
    <row r="717">
      <c r="I717" s="8" t="inlineStr">
        <is>
          <t>ACE-10711</t>
        </is>
      </c>
      <c r="J717" s="8" t="inlineStr">
        <is>
          <t>2026-05-12 13:54:25</t>
        </is>
      </c>
      <c r="K717" s="8" t="inlineStr">
        <is>
          <t>CUST-68325</t>
        </is>
      </c>
      <c r="L717" s="9" t="inlineStr">
        <is>
          <t>GBP-PKR</t>
        </is>
      </c>
      <c r="M717" s="8" t="inlineStr">
        <is>
          <t>GBP</t>
        </is>
      </c>
      <c r="N717" s="10" t="n">
        <v>284.5449819595767</v>
      </c>
      <c r="O717" s="11" t="n">
        <v>1</v>
      </c>
      <c r="P717" s="10" t="n">
        <v>284.5449819595767</v>
      </c>
      <c r="Q717" s="10" t="n">
        <v>1.5</v>
      </c>
      <c r="R717" s="12" t="n">
        <v>0.021</v>
      </c>
      <c r="S717" s="13" t="inlineStr">
        <is>
          <t>Success</t>
        </is>
      </c>
      <c r="T717" s="10" t="n">
        <v>0.426817472939365</v>
      </c>
      <c r="U717" s="10" t="n">
        <v>0</v>
      </c>
      <c r="V717" s="10" t="n">
        <v>3.41453978351492</v>
      </c>
    </row>
    <row r="718">
      <c r="I718" s="8" t="inlineStr">
        <is>
          <t>ACE-10712</t>
        </is>
      </c>
      <c r="J718" s="8" t="inlineStr">
        <is>
          <t>2026-05-19 18:14:52</t>
        </is>
      </c>
      <c r="K718" s="8" t="inlineStr">
        <is>
          <t>CUST-56545</t>
        </is>
      </c>
      <c r="L718" s="9" t="inlineStr">
        <is>
          <t>GBP-PKR</t>
        </is>
      </c>
      <c r="M718" s="8" t="inlineStr">
        <is>
          <t>GBP</t>
        </is>
      </c>
      <c r="N718" s="10" t="n">
        <v>275.922020667131</v>
      </c>
      <c r="O718" s="11" t="n">
        <v>1</v>
      </c>
      <c r="P718" s="10" t="n">
        <v>275.922020667131</v>
      </c>
      <c r="Q718" s="10" t="n">
        <v>1.5</v>
      </c>
      <c r="R718" s="12" t="n">
        <v>0.021</v>
      </c>
      <c r="S718" s="13" t="inlineStr">
        <is>
          <t>Success</t>
        </is>
      </c>
      <c r="T718" s="10" t="n">
        <v>0.4138830310006965</v>
      </c>
      <c r="U718" s="10" t="n">
        <v>0.827766062001393</v>
      </c>
      <c r="V718" s="10" t="n">
        <v>3.311064248005572</v>
      </c>
    </row>
    <row r="719">
      <c r="I719" s="8" t="inlineStr">
        <is>
          <t>ACE-10713</t>
        </is>
      </c>
      <c r="J719" s="8" t="inlineStr">
        <is>
          <t>2026-05-18 14:54:24</t>
        </is>
      </c>
      <c r="K719" s="8" t="inlineStr">
        <is>
          <t>CUST-62849</t>
        </is>
      </c>
      <c r="L719" s="9" t="inlineStr">
        <is>
          <t>GBP-PKR</t>
        </is>
      </c>
      <c r="M719" s="8" t="inlineStr">
        <is>
          <t>GBP</t>
        </is>
      </c>
      <c r="N719" s="10" t="n">
        <v>263.8280841141256</v>
      </c>
      <c r="O719" s="11" t="n">
        <v>1</v>
      </c>
      <c r="P719" s="10" t="n">
        <v>263.8280841141256</v>
      </c>
      <c r="Q719" s="10" t="n">
        <v>1.5</v>
      </c>
      <c r="R719" s="12" t="n">
        <v>0.021</v>
      </c>
      <c r="S719" s="13" t="inlineStr">
        <is>
          <t>Success</t>
        </is>
      </c>
      <c r="T719" s="10" t="n">
        <v>0.3957421261711884</v>
      </c>
      <c r="U719" s="10" t="n">
        <v>0.7914842523423768</v>
      </c>
      <c r="V719" s="10" t="n">
        <v>3.165937009369507</v>
      </c>
    </row>
    <row r="720">
      <c r="I720" s="8" t="inlineStr">
        <is>
          <t>ACE-10714</t>
        </is>
      </c>
      <c r="J720" s="8" t="inlineStr">
        <is>
          <t>2026-05-05 15:51:00</t>
        </is>
      </c>
      <c r="K720" s="8" t="inlineStr">
        <is>
          <t>CUST-61574</t>
        </is>
      </c>
      <c r="L720" s="9" t="inlineStr">
        <is>
          <t>USD-PKR</t>
        </is>
      </c>
      <c r="M720" s="8" t="inlineStr">
        <is>
          <t>USD</t>
        </is>
      </c>
      <c r="N720" s="10" t="n">
        <v>227.816654331993</v>
      </c>
      <c r="O720" s="11" t="n">
        <v>0.8</v>
      </c>
      <c r="P720" s="10" t="n">
        <v>182.2533234655944</v>
      </c>
      <c r="Q720" s="10" t="n">
        <v>1.6</v>
      </c>
      <c r="R720" s="12" t="n">
        <v>0.019</v>
      </c>
      <c r="S720" s="13" t="inlineStr">
        <is>
          <t>Success</t>
        </is>
      </c>
      <c r="T720" s="10" t="n">
        <v>0.2733799851983916</v>
      </c>
      <c r="U720" s="10" t="n">
        <v>0</v>
      </c>
      <c r="V720" s="10" t="n">
        <v>2.187039881587133</v>
      </c>
    </row>
    <row r="721">
      <c r="I721" s="8" t="inlineStr">
        <is>
          <t>ACE-10715</t>
        </is>
      </c>
      <c r="J721" s="8" t="inlineStr">
        <is>
          <t>2026-05-21 16:34:46</t>
        </is>
      </c>
      <c r="K721" s="8" t="inlineStr">
        <is>
          <t>CUST-70691</t>
        </is>
      </c>
      <c r="L721" s="9" t="inlineStr">
        <is>
          <t>GBP-PKR</t>
        </is>
      </c>
      <c r="M721" s="8" t="inlineStr">
        <is>
          <t>GBP</t>
        </is>
      </c>
      <c r="N721" s="10" t="n">
        <v>277.556948770663</v>
      </c>
      <c r="O721" s="11" t="n">
        <v>1</v>
      </c>
      <c r="P721" s="10" t="n">
        <v>277.556948770663</v>
      </c>
      <c r="Q721" s="10" t="n">
        <v>1.5</v>
      </c>
      <c r="R721" s="12" t="n">
        <v>0.021</v>
      </c>
      <c r="S721" s="13" t="inlineStr">
        <is>
          <t>Success</t>
        </is>
      </c>
      <c r="T721" s="10" t="n">
        <v>0.4163354231559945</v>
      </c>
      <c r="U721" s="10" t="n">
        <v>0</v>
      </c>
      <c r="V721" s="10" t="n">
        <v>3.330683385247956</v>
      </c>
    </row>
    <row r="722">
      <c r="I722" s="8" t="inlineStr">
        <is>
          <t>ACE-10716</t>
        </is>
      </c>
      <c r="J722" s="8" t="inlineStr">
        <is>
          <t>2026-05-18 17:03:25</t>
        </is>
      </c>
      <c r="K722" s="8" t="inlineStr">
        <is>
          <t>CUST-56486</t>
        </is>
      </c>
      <c r="L722" s="9" t="inlineStr">
        <is>
          <t>USD-PKR</t>
        </is>
      </c>
      <c r="M722" s="8" t="inlineStr">
        <is>
          <t>USD</t>
        </is>
      </c>
      <c r="N722" s="10" t="n">
        <v>244.4370311786819</v>
      </c>
      <c r="O722" s="11" t="n">
        <v>0.8</v>
      </c>
      <c r="P722" s="10" t="n">
        <v>195.5496249429455</v>
      </c>
      <c r="Q722" s="10" t="n">
        <v>1.6</v>
      </c>
      <c r="R722" s="12" t="n">
        <v>0.019</v>
      </c>
      <c r="S722" s="13" t="inlineStr">
        <is>
          <t>Success</t>
        </is>
      </c>
      <c r="T722" s="10" t="n">
        <v>0.2933244374144183</v>
      </c>
      <c r="U722" s="10" t="n">
        <v>0</v>
      </c>
      <c r="V722" s="10" t="n">
        <v>2.346595499315347</v>
      </c>
    </row>
    <row r="723">
      <c r="I723" s="8" t="inlineStr">
        <is>
          <t>ACE-10717</t>
        </is>
      </c>
      <c r="J723" s="8" t="inlineStr">
        <is>
          <t>2026-05-09 15:53:40</t>
        </is>
      </c>
      <c r="K723" s="8" t="inlineStr">
        <is>
          <t>CUST-56311</t>
        </is>
      </c>
      <c r="L723" s="9" t="inlineStr">
        <is>
          <t>GBP-PKR</t>
        </is>
      </c>
      <c r="M723" s="8" t="inlineStr">
        <is>
          <t>GBP</t>
        </is>
      </c>
      <c r="N723" s="10" t="n">
        <v>281.804161814004</v>
      </c>
      <c r="O723" s="11" t="n">
        <v>1</v>
      </c>
      <c r="P723" s="10" t="n">
        <v>281.804161814004</v>
      </c>
      <c r="Q723" s="10" t="n">
        <v>1.5</v>
      </c>
      <c r="R723" s="12" t="n">
        <v>0.021</v>
      </c>
      <c r="S723" s="13" t="inlineStr">
        <is>
          <t>Success</t>
        </is>
      </c>
      <c r="T723" s="10" t="n">
        <v>0.422706242721006</v>
      </c>
      <c r="U723" s="10" t="n">
        <v>0</v>
      </c>
      <c r="V723" s="10" t="n">
        <v>3.381649941768048</v>
      </c>
    </row>
    <row r="724">
      <c r="I724" s="8" t="inlineStr">
        <is>
          <t>ACE-10718</t>
        </is>
      </c>
      <c r="J724" s="8" t="inlineStr">
        <is>
          <t>2026-05-12 13:35:35</t>
        </is>
      </c>
      <c r="K724" s="8" t="inlineStr">
        <is>
          <t>CUST-66889</t>
        </is>
      </c>
      <c r="L724" s="9" t="inlineStr">
        <is>
          <t>GBP-PKR</t>
        </is>
      </c>
      <c r="M724" s="8" t="inlineStr">
        <is>
          <t>GBP</t>
        </is>
      </c>
      <c r="N724" s="10" t="n">
        <v>282.8225811503532</v>
      </c>
      <c r="O724" s="11" t="n">
        <v>1</v>
      </c>
      <c r="P724" s="10" t="n">
        <v>282.8225811503532</v>
      </c>
      <c r="Q724" s="10" t="n">
        <v>1.5</v>
      </c>
      <c r="R724" s="12" t="n">
        <v>0.021</v>
      </c>
      <c r="S724" s="13" t="inlineStr">
        <is>
          <t>Success</t>
        </is>
      </c>
      <c r="T724" s="10" t="n">
        <v>0.4242338717255298</v>
      </c>
      <c r="U724" s="10" t="n">
        <v>0</v>
      </c>
      <c r="V724" s="10" t="n">
        <v>3.393870973804238</v>
      </c>
    </row>
    <row r="725">
      <c r="I725" s="8" t="inlineStr">
        <is>
          <t>ACE-10719</t>
        </is>
      </c>
      <c r="J725" s="8" t="inlineStr">
        <is>
          <t>2026-05-12 18:38:12</t>
        </is>
      </c>
      <c r="K725" s="8" t="inlineStr">
        <is>
          <t>CUST-87804</t>
        </is>
      </c>
      <c r="L725" s="9" t="inlineStr">
        <is>
          <t>GBP-PKR</t>
        </is>
      </c>
      <c r="M725" s="8" t="inlineStr">
        <is>
          <t>GBP</t>
        </is>
      </c>
      <c r="N725" s="10" t="n">
        <v>268.6550949345874</v>
      </c>
      <c r="O725" s="11" t="n">
        <v>1</v>
      </c>
      <c r="P725" s="10" t="n">
        <v>268.6550949345874</v>
      </c>
      <c r="Q725" s="10" t="n">
        <v>1.5</v>
      </c>
      <c r="R725" s="12" t="n">
        <v>0.021</v>
      </c>
      <c r="S725" s="13" t="inlineStr">
        <is>
          <t>Success</t>
        </is>
      </c>
      <c r="T725" s="10" t="n">
        <v>0.4029826424018811</v>
      </c>
      <c r="U725" s="10" t="n">
        <v>0.8059652848037622</v>
      </c>
      <c r="V725" s="10" t="n">
        <v>3.223861139215049</v>
      </c>
    </row>
    <row r="726">
      <c r="I726" s="8" t="inlineStr">
        <is>
          <t>ACE-10720</t>
        </is>
      </c>
      <c r="J726" s="8" t="inlineStr">
        <is>
          <t>2026-05-06 20:18:22</t>
        </is>
      </c>
      <c r="K726" s="8" t="inlineStr">
        <is>
          <t>CUST-71305</t>
        </is>
      </c>
      <c r="L726" s="9" t="inlineStr">
        <is>
          <t>GBP-PKR</t>
        </is>
      </c>
      <c r="M726" s="8" t="inlineStr">
        <is>
          <t>GBP</t>
        </is>
      </c>
      <c r="N726" s="10" t="n">
        <v>277.0214779195462</v>
      </c>
      <c r="O726" s="11" t="n">
        <v>1</v>
      </c>
      <c r="P726" s="10" t="n">
        <v>277.0214779195462</v>
      </c>
      <c r="Q726" s="10" t="n">
        <v>1.5</v>
      </c>
      <c r="R726" s="12" t="n">
        <v>0.021</v>
      </c>
      <c r="S726" s="13" t="inlineStr">
        <is>
          <t>Success</t>
        </is>
      </c>
      <c r="T726" s="10" t="n">
        <v>0.4155322168793192</v>
      </c>
      <c r="U726" s="10" t="n">
        <v>0</v>
      </c>
      <c r="V726" s="10" t="n">
        <v>3.324257735034554</v>
      </c>
    </row>
    <row r="727">
      <c r="I727" s="8" t="inlineStr">
        <is>
          <t>ACE-10721</t>
        </is>
      </c>
      <c r="J727" s="8" t="inlineStr">
        <is>
          <t>2026-05-24 15:56:05</t>
        </is>
      </c>
      <c r="K727" s="8" t="inlineStr">
        <is>
          <t>CUST-74973</t>
        </is>
      </c>
      <c r="L727" s="9" t="inlineStr">
        <is>
          <t>USD-PKR</t>
        </is>
      </c>
      <c r="M727" s="8" t="inlineStr">
        <is>
          <t>USD</t>
        </is>
      </c>
      <c r="N727" s="10" t="n">
        <v>225.745379158007</v>
      </c>
      <c r="O727" s="11" t="n">
        <v>0.8</v>
      </c>
      <c r="P727" s="10" t="n">
        <v>180.5963033264056</v>
      </c>
      <c r="Q727" s="10" t="n">
        <v>1.6</v>
      </c>
      <c r="R727" s="12" t="n">
        <v>0.019</v>
      </c>
      <c r="S727" s="13" t="inlineStr">
        <is>
          <t>Success</t>
        </is>
      </c>
      <c r="T727" s="10" t="n">
        <v>0.2708944549896085</v>
      </c>
      <c r="U727" s="10" t="n">
        <v>0</v>
      </c>
      <c r="V727" s="10" t="n">
        <v>2.167155639916868</v>
      </c>
    </row>
    <row r="728">
      <c r="I728" s="8" t="inlineStr">
        <is>
          <t>ACE-10722</t>
        </is>
      </c>
      <c r="J728" s="8" t="inlineStr">
        <is>
          <t>2026-05-05 10:40:51</t>
        </is>
      </c>
      <c r="K728" s="8" t="inlineStr">
        <is>
          <t>CUST-72111</t>
        </is>
      </c>
      <c r="L728" s="9" t="inlineStr">
        <is>
          <t>GBP-PKR</t>
        </is>
      </c>
      <c r="M728" s="8" t="inlineStr">
        <is>
          <t>GBP</t>
        </is>
      </c>
      <c r="N728" s="10" t="n">
        <v>234.8090812885895</v>
      </c>
      <c r="O728" s="11" t="n">
        <v>1</v>
      </c>
      <c r="P728" s="10" t="n">
        <v>234.8090812885895</v>
      </c>
      <c r="Q728" s="10" t="n">
        <v>1.5</v>
      </c>
      <c r="R728" s="12" t="n">
        <v>0.021</v>
      </c>
      <c r="S728" s="13" t="inlineStr">
        <is>
          <t>Success</t>
        </is>
      </c>
      <c r="T728" s="10" t="n">
        <v>0.3522136219328842</v>
      </c>
      <c r="U728" s="10" t="n">
        <v>0.7044272438657684</v>
      </c>
      <c r="V728" s="10" t="n">
        <v>2.817708975463074</v>
      </c>
    </row>
    <row r="729">
      <c r="I729" s="8" t="inlineStr">
        <is>
          <t>ACE-10723</t>
        </is>
      </c>
      <c r="J729" s="8" t="inlineStr">
        <is>
          <t>2026-05-13 09:05:10</t>
        </is>
      </c>
      <c r="K729" s="8" t="inlineStr">
        <is>
          <t>CUST-72519</t>
        </is>
      </c>
      <c r="L729" s="9" t="inlineStr">
        <is>
          <t>USD-PKR</t>
        </is>
      </c>
      <c r="M729" s="8" t="inlineStr">
        <is>
          <t>USD</t>
        </is>
      </c>
      <c r="N729" s="10" t="n">
        <v>191.2935203379062</v>
      </c>
      <c r="O729" s="11" t="n">
        <v>0.8</v>
      </c>
      <c r="P729" s="10" t="n">
        <v>153.034816270325</v>
      </c>
      <c r="Q729" s="10" t="n">
        <v>1.6</v>
      </c>
      <c r="R729" s="12" t="n">
        <v>0.019</v>
      </c>
      <c r="S729" s="13" t="inlineStr">
        <is>
          <t>Success</t>
        </is>
      </c>
      <c r="T729" s="10" t="n">
        <v>0.2295522244054875</v>
      </c>
      <c r="U729" s="10" t="n">
        <v>0</v>
      </c>
      <c r="V729" s="10" t="n">
        <v>1.8364177952439</v>
      </c>
    </row>
    <row r="730">
      <c r="I730" s="8" t="inlineStr">
        <is>
          <t>ACE-10724</t>
        </is>
      </c>
      <c r="J730" s="8" t="inlineStr">
        <is>
          <t>2026-05-10 19:17:38</t>
        </is>
      </c>
      <c r="K730" s="8" t="inlineStr">
        <is>
          <t>CUST-92247</t>
        </is>
      </c>
      <c r="L730" s="9" t="inlineStr">
        <is>
          <t>GBP-PKR</t>
        </is>
      </c>
      <c r="M730" s="8" t="inlineStr">
        <is>
          <t>GBP</t>
        </is>
      </c>
      <c r="N730" s="10" t="n">
        <v>300.1000780635824</v>
      </c>
      <c r="O730" s="11" t="n">
        <v>1</v>
      </c>
      <c r="P730" s="10" t="n">
        <v>300.1000780635824</v>
      </c>
      <c r="Q730" s="10" t="n">
        <v>1.5</v>
      </c>
      <c r="R730" s="12" t="n">
        <v>0.021</v>
      </c>
      <c r="S730" s="13" t="inlineStr">
        <is>
          <t>Success</t>
        </is>
      </c>
      <c r="T730" s="10" t="n">
        <v>0.4501501170953737</v>
      </c>
      <c r="U730" s="10" t="n">
        <v>0.9003002341907473</v>
      </c>
      <c r="V730" s="10" t="n">
        <v>3.601200936762989</v>
      </c>
    </row>
    <row r="731">
      <c r="I731" s="8" t="inlineStr">
        <is>
          <t>ACE-10725</t>
        </is>
      </c>
      <c r="J731" s="8" t="inlineStr">
        <is>
          <t>2026-05-12 19:37:33</t>
        </is>
      </c>
      <c r="K731" s="8" t="inlineStr">
        <is>
          <t>CUST-79510</t>
        </is>
      </c>
      <c r="L731" s="9" t="inlineStr">
        <is>
          <t>USD-PKR</t>
        </is>
      </c>
      <c r="M731" s="8" t="inlineStr">
        <is>
          <t>USD</t>
        </is>
      </c>
      <c r="N731" s="10" t="n">
        <v>222.6751738752232</v>
      </c>
      <c r="O731" s="11" t="n">
        <v>0.8</v>
      </c>
      <c r="P731" s="10" t="n">
        <v>178.1401391001786</v>
      </c>
      <c r="Q731" s="10" t="n">
        <v>1.6</v>
      </c>
      <c r="R731" s="12" t="n">
        <v>0.019</v>
      </c>
      <c r="S731" s="13" t="inlineStr">
        <is>
          <t>Success</t>
        </is>
      </c>
      <c r="T731" s="10" t="n">
        <v>0.2672102086502678</v>
      </c>
      <c r="U731" s="10" t="n">
        <v>0</v>
      </c>
      <c r="V731" s="10" t="n">
        <v>2.137681669202143</v>
      </c>
    </row>
    <row r="732">
      <c r="I732" s="8" t="inlineStr">
        <is>
          <t>ACE-10726</t>
        </is>
      </c>
      <c r="J732" s="8" t="inlineStr">
        <is>
          <t>2026-05-01 10:46:15</t>
        </is>
      </c>
      <c r="K732" s="8" t="inlineStr">
        <is>
          <t>CUST-93386</t>
        </is>
      </c>
      <c r="L732" s="9" t="inlineStr">
        <is>
          <t>GBP-PKR</t>
        </is>
      </c>
      <c r="M732" s="8" t="inlineStr">
        <is>
          <t>GBP</t>
        </is>
      </c>
      <c r="N732" s="10" t="n">
        <v>273.5245197373293</v>
      </c>
      <c r="O732" s="11" t="n">
        <v>1</v>
      </c>
      <c r="P732" s="10" t="n">
        <v>273.5245197373293</v>
      </c>
      <c r="Q732" s="10" t="n">
        <v>1.5</v>
      </c>
      <c r="R732" s="12" t="n">
        <v>0.021</v>
      </c>
      <c r="S732" s="13" t="inlineStr">
        <is>
          <t>Success</t>
        </is>
      </c>
      <c r="T732" s="10" t="n">
        <v>0.4102867796059939</v>
      </c>
      <c r="U732" s="10" t="n">
        <v>0.8205735592119878</v>
      </c>
      <c r="V732" s="10" t="n">
        <v>3.282294236847951</v>
      </c>
    </row>
    <row r="733">
      <c r="I733" s="8" t="inlineStr">
        <is>
          <t>ACE-10727</t>
        </is>
      </c>
      <c r="J733" s="8" t="inlineStr">
        <is>
          <t>2026-05-24 09:13:10</t>
        </is>
      </c>
      <c r="K733" s="8" t="inlineStr">
        <is>
          <t>CUST-76020</t>
        </is>
      </c>
      <c r="L733" s="9" t="inlineStr">
        <is>
          <t>GBP-PKR</t>
        </is>
      </c>
      <c r="M733" s="8" t="inlineStr">
        <is>
          <t>GBP</t>
        </is>
      </c>
      <c r="N733" s="10" t="n">
        <v>279.1175436423985</v>
      </c>
      <c r="O733" s="11" t="n">
        <v>1</v>
      </c>
      <c r="P733" s="10" t="n">
        <v>279.1175436423985</v>
      </c>
      <c r="Q733" s="10" t="n">
        <v>1.5</v>
      </c>
      <c r="R733" s="12" t="n">
        <v>0.021</v>
      </c>
      <c r="S733" s="13" t="inlineStr">
        <is>
          <t>Success</t>
        </is>
      </c>
      <c r="T733" s="10" t="n">
        <v>0.4186763154635978</v>
      </c>
      <c r="U733" s="10" t="n">
        <v>0</v>
      </c>
      <c r="V733" s="10" t="n">
        <v>3.349410523708782</v>
      </c>
    </row>
    <row r="734">
      <c r="I734" s="8" t="inlineStr">
        <is>
          <t>ACE-10728</t>
        </is>
      </c>
      <c r="J734" s="8" t="inlineStr">
        <is>
          <t>2026-05-16 16:03:01</t>
        </is>
      </c>
      <c r="K734" s="8" t="inlineStr">
        <is>
          <t>CUST-76018</t>
        </is>
      </c>
      <c r="L734" s="9" t="inlineStr">
        <is>
          <t>USD-PKR</t>
        </is>
      </c>
      <c r="M734" s="8" t="inlineStr">
        <is>
          <t>USD</t>
        </is>
      </c>
      <c r="N734" s="10" t="n">
        <v>226.6451813592773</v>
      </c>
      <c r="O734" s="11" t="n">
        <v>0.8</v>
      </c>
      <c r="P734" s="10" t="n">
        <v>181.3161450874219</v>
      </c>
      <c r="Q734" s="10" t="n">
        <v>1.6</v>
      </c>
      <c r="R734" s="12" t="n">
        <v>0.019</v>
      </c>
      <c r="S734" s="13" t="inlineStr">
        <is>
          <t>Success</t>
        </is>
      </c>
      <c r="T734" s="10" t="n">
        <v>0.2719742176311328</v>
      </c>
      <c r="U734" s="10" t="n">
        <v>0.5439484352622657</v>
      </c>
      <c r="V734" s="10" t="n">
        <v>2.175793741049063</v>
      </c>
    </row>
    <row r="735">
      <c r="I735" s="8" t="inlineStr">
        <is>
          <t>ACE-10729</t>
        </is>
      </c>
      <c r="J735" s="8" t="inlineStr">
        <is>
          <t>2026-05-04 12:39:09</t>
        </is>
      </c>
      <c r="K735" s="8" t="inlineStr">
        <is>
          <t>CUST-55525</t>
        </is>
      </c>
      <c r="L735" s="9" t="inlineStr">
        <is>
          <t>GBP-PKR</t>
        </is>
      </c>
      <c r="M735" s="8" t="inlineStr">
        <is>
          <t>GBP</t>
        </is>
      </c>
      <c r="N735" s="10" t="n">
        <v>263.9642388681867</v>
      </c>
      <c r="O735" s="11" t="n">
        <v>1</v>
      </c>
      <c r="P735" s="10" t="n">
        <v>263.9642388681867</v>
      </c>
      <c r="Q735" s="10" t="n">
        <v>1.5</v>
      </c>
      <c r="R735" s="12" t="n">
        <v>0.021</v>
      </c>
      <c r="S735" s="13" t="inlineStr">
        <is>
          <t>Success</t>
        </is>
      </c>
      <c r="T735" s="10" t="n">
        <v>0.39594635830228</v>
      </c>
      <c r="U735" s="10" t="n">
        <v>0.7918927166045601</v>
      </c>
      <c r="V735" s="10" t="n">
        <v>3.16757086641824</v>
      </c>
    </row>
    <row r="736">
      <c r="I736" s="8" t="inlineStr">
        <is>
          <t>ACE-10730</t>
        </is>
      </c>
      <c r="J736" s="8" t="inlineStr">
        <is>
          <t>2026-05-10 11:15:47</t>
        </is>
      </c>
      <c r="K736" s="8" t="inlineStr">
        <is>
          <t>CUST-68623</t>
        </is>
      </c>
      <c r="L736" s="9" t="inlineStr">
        <is>
          <t>GBP-PKR</t>
        </is>
      </c>
      <c r="M736" s="8" t="inlineStr">
        <is>
          <t>GBP</t>
        </is>
      </c>
      <c r="N736" s="10" t="n">
        <v>257.7420118666956</v>
      </c>
      <c r="O736" s="11" t="n">
        <v>1</v>
      </c>
      <c r="P736" s="10" t="n">
        <v>257.7420118666956</v>
      </c>
      <c r="Q736" s="10" t="n">
        <v>1.5</v>
      </c>
      <c r="R736" s="12" t="n">
        <v>0.021</v>
      </c>
      <c r="S736" s="13" t="inlineStr">
        <is>
          <t>Success</t>
        </is>
      </c>
      <c r="T736" s="10" t="n">
        <v>0.3866130178000434</v>
      </c>
      <c r="U736" s="10" t="n">
        <v>0</v>
      </c>
      <c r="V736" s="10" t="n">
        <v>3.092904142400347</v>
      </c>
    </row>
    <row r="737">
      <c r="I737" s="8" t="inlineStr">
        <is>
          <t>ACE-10731</t>
        </is>
      </c>
      <c r="J737" s="8" t="inlineStr">
        <is>
          <t>2026-05-17 10:01:02</t>
        </is>
      </c>
      <c r="K737" s="8" t="inlineStr">
        <is>
          <t>CUST-93486</t>
        </is>
      </c>
      <c r="L737" s="9" t="inlineStr">
        <is>
          <t>EUR-PKR</t>
        </is>
      </c>
      <c r="M737" s="8" t="inlineStr">
        <is>
          <t>EUR</t>
        </is>
      </c>
      <c r="N737" s="10" t="n">
        <v>192.7913657405484</v>
      </c>
      <c r="O737" s="11" t="n">
        <v>0.85</v>
      </c>
      <c r="P737" s="10" t="n">
        <v>163.8726608794661</v>
      </c>
      <c r="Q737" s="10" t="n">
        <v>1.275</v>
      </c>
      <c r="R737" s="12" t="n">
        <v>0.023</v>
      </c>
      <c r="S737" s="13" t="inlineStr">
        <is>
          <t>Success</t>
        </is>
      </c>
      <c r="T737" s="10" t="n">
        <v>0.2458089913191992</v>
      </c>
      <c r="U737" s="10" t="n">
        <v>0.4916179826383983</v>
      </c>
      <c r="V737" s="10" t="n">
        <v>2.458089913191992</v>
      </c>
    </row>
    <row r="738">
      <c r="I738" s="8" t="inlineStr">
        <is>
          <t>ACE-10732</t>
        </is>
      </c>
      <c r="J738" s="8" t="inlineStr">
        <is>
          <t>2026-05-16 15:55:34</t>
        </is>
      </c>
      <c r="K738" s="8" t="inlineStr">
        <is>
          <t>CUST-67852</t>
        </is>
      </c>
      <c r="L738" s="9" t="inlineStr">
        <is>
          <t>USD-PKR</t>
        </is>
      </c>
      <c r="M738" s="8" t="inlineStr">
        <is>
          <t>USD</t>
        </is>
      </c>
      <c r="N738" s="10" t="n">
        <v>198.5002319401629</v>
      </c>
      <c r="O738" s="11" t="n">
        <v>0.8</v>
      </c>
      <c r="P738" s="10" t="n">
        <v>158.8001855521303</v>
      </c>
      <c r="Q738" s="10" t="n">
        <v>1.6</v>
      </c>
      <c r="R738" s="12" t="n">
        <v>0.019</v>
      </c>
      <c r="S738" s="13" t="inlineStr">
        <is>
          <t>Success</t>
        </is>
      </c>
      <c r="T738" s="10" t="n">
        <v>0.2382002783281955</v>
      </c>
      <c r="U738" s="10" t="n">
        <v>0</v>
      </c>
      <c r="V738" s="10" t="n">
        <v>1.905602226625564</v>
      </c>
    </row>
    <row r="739">
      <c r="I739" s="8" t="inlineStr">
        <is>
          <t>ACE-10733</t>
        </is>
      </c>
      <c r="J739" s="8" t="inlineStr">
        <is>
          <t>2026-05-23 16:11:37</t>
        </is>
      </c>
      <c r="K739" s="8" t="inlineStr">
        <is>
          <t>CUST-89163</t>
        </is>
      </c>
      <c r="L739" s="9" t="inlineStr">
        <is>
          <t>GBP-PKR</t>
        </is>
      </c>
      <c r="M739" s="8" t="inlineStr">
        <is>
          <t>GBP</t>
        </is>
      </c>
      <c r="N739" s="10" t="n">
        <v>290.212925299768</v>
      </c>
      <c r="O739" s="11" t="n">
        <v>1</v>
      </c>
      <c r="P739" s="10" t="n">
        <v>290.212925299768</v>
      </c>
      <c r="Q739" s="10" t="n">
        <v>1.5</v>
      </c>
      <c r="R739" s="12" t="n">
        <v>0.021</v>
      </c>
      <c r="S739" s="13" t="inlineStr">
        <is>
          <t>Success</t>
        </is>
      </c>
      <c r="T739" s="10" t="n">
        <v>0.435319387949652</v>
      </c>
      <c r="U739" s="10" t="n">
        <v>0.8706387758993041</v>
      </c>
      <c r="V739" s="10" t="n">
        <v>3.482555103597216</v>
      </c>
    </row>
    <row r="740">
      <c r="I740" s="8" t="inlineStr">
        <is>
          <t>ACE-10734</t>
        </is>
      </c>
      <c r="J740" s="8" t="inlineStr">
        <is>
          <t>2026-05-19 14:33:40</t>
        </is>
      </c>
      <c r="K740" s="8" t="inlineStr">
        <is>
          <t>CUST-91912</t>
        </is>
      </c>
      <c r="L740" s="9" t="inlineStr">
        <is>
          <t>GBP-PKR</t>
        </is>
      </c>
      <c r="M740" s="8" t="inlineStr">
        <is>
          <t>GBP</t>
        </is>
      </c>
      <c r="N740" s="10" t="n">
        <v>234.9872465673835</v>
      </c>
      <c r="O740" s="11" t="n">
        <v>1</v>
      </c>
      <c r="P740" s="10" t="n">
        <v>234.9872465673835</v>
      </c>
      <c r="Q740" s="10" t="n">
        <v>1.5</v>
      </c>
      <c r="R740" s="12" t="n">
        <v>0.021</v>
      </c>
      <c r="S740" s="13" t="inlineStr">
        <is>
          <t>Success</t>
        </is>
      </c>
      <c r="T740" s="10" t="n">
        <v>0.3524808698510753</v>
      </c>
      <c r="U740" s="10" t="n">
        <v>0.7049617397021506</v>
      </c>
      <c r="V740" s="10" t="n">
        <v>2.819846958808602</v>
      </c>
    </row>
    <row r="741">
      <c r="I741" s="8" t="inlineStr">
        <is>
          <t>ACE-10735</t>
        </is>
      </c>
      <c r="J741" s="8" t="inlineStr">
        <is>
          <t>2026-05-16 16:14:51</t>
        </is>
      </c>
      <c r="K741" s="8" t="inlineStr">
        <is>
          <t>CUST-55869</t>
        </is>
      </c>
      <c r="L741" s="9" t="inlineStr">
        <is>
          <t>GBP-PKR</t>
        </is>
      </c>
      <c r="M741" s="8" t="inlineStr">
        <is>
          <t>GBP</t>
        </is>
      </c>
      <c r="N741" s="10" t="n">
        <v>308.8035045142541</v>
      </c>
      <c r="O741" s="11" t="n">
        <v>1</v>
      </c>
      <c r="P741" s="10" t="n">
        <v>308.8035045142541</v>
      </c>
      <c r="Q741" s="10" t="n">
        <v>1.5</v>
      </c>
      <c r="R741" s="12" t="n">
        <v>0.021</v>
      </c>
      <c r="S741" s="13" t="inlineStr">
        <is>
          <t>Success</t>
        </is>
      </c>
      <c r="T741" s="10" t="n">
        <v>0.4632052567713811</v>
      </c>
      <c r="U741" s="10" t="n">
        <v>0</v>
      </c>
      <c r="V741" s="10" t="n">
        <v>3.705642054171049</v>
      </c>
    </row>
    <row r="742">
      <c r="I742" s="8" t="inlineStr">
        <is>
          <t>ACE-10736</t>
        </is>
      </c>
      <c r="J742" s="8" t="inlineStr">
        <is>
          <t>2026-05-09 10:19:00</t>
        </is>
      </c>
      <c r="K742" s="8" t="inlineStr">
        <is>
          <t>CUST-50006</t>
        </is>
      </c>
      <c r="L742" s="9" t="inlineStr">
        <is>
          <t>GBP-PKR</t>
        </is>
      </c>
      <c r="M742" s="8" t="inlineStr">
        <is>
          <t>GBP</t>
        </is>
      </c>
      <c r="N742" s="10" t="n">
        <v>292.0863131037969</v>
      </c>
      <c r="O742" s="11" t="n">
        <v>1</v>
      </c>
      <c r="P742" s="10" t="n">
        <v>292.0863131037969</v>
      </c>
      <c r="Q742" s="10" t="n">
        <v>1.5</v>
      </c>
      <c r="R742" s="12" t="n">
        <v>0.021</v>
      </c>
      <c r="S742" s="13" t="inlineStr">
        <is>
          <t>Success</t>
        </is>
      </c>
      <c r="T742" s="10" t="n">
        <v>0.4381294696556954</v>
      </c>
      <c r="U742" s="10" t="n">
        <v>0.8762589393113908</v>
      </c>
      <c r="V742" s="10" t="n">
        <v>3.505035757245563</v>
      </c>
    </row>
    <row r="743">
      <c r="I743" s="8" t="inlineStr">
        <is>
          <t>ACE-10737</t>
        </is>
      </c>
      <c r="J743" s="8" t="inlineStr">
        <is>
          <t>2026-05-05 13:18:30</t>
        </is>
      </c>
      <c r="K743" s="8" t="inlineStr">
        <is>
          <t>CUST-85068</t>
        </is>
      </c>
      <c r="L743" s="9" t="inlineStr">
        <is>
          <t>GBP-PKR</t>
        </is>
      </c>
      <c r="M743" s="8" t="inlineStr">
        <is>
          <t>GBP</t>
        </is>
      </c>
      <c r="N743" s="10" t="n">
        <v>285.828670351725</v>
      </c>
      <c r="O743" s="11" t="n">
        <v>1</v>
      </c>
      <c r="P743" s="10" t="n">
        <v>285.828670351725</v>
      </c>
      <c r="Q743" s="10" t="n">
        <v>1.5</v>
      </c>
      <c r="R743" s="12" t="n">
        <v>0.021</v>
      </c>
      <c r="S743" s="13" t="inlineStr">
        <is>
          <t>Failed</t>
        </is>
      </c>
      <c r="T743" s="10" t="n">
        <v>0</v>
      </c>
      <c r="U743" s="10" t="n">
        <v>0</v>
      </c>
      <c r="V743" s="10" t="n">
        <v>0.5</v>
      </c>
    </row>
    <row r="744">
      <c r="I744" s="8" t="inlineStr">
        <is>
          <t>ACE-10738</t>
        </is>
      </c>
      <c r="J744" s="8" t="inlineStr">
        <is>
          <t>2026-05-16 20:30:19</t>
        </is>
      </c>
      <c r="K744" s="8" t="inlineStr">
        <is>
          <t>CUST-50598</t>
        </is>
      </c>
      <c r="L744" s="9" t="inlineStr">
        <is>
          <t>USD-PKR</t>
        </is>
      </c>
      <c r="M744" s="8" t="inlineStr">
        <is>
          <t>USD</t>
        </is>
      </c>
      <c r="N744" s="10" t="n">
        <v>241.5065620436605</v>
      </c>
      <c r="O744" s="11" t="n">
        <v>0.8</v>
      </c>
      <c r="P744" s="10" t="n">
        <v>193.2052496349284</v>
      </c>
      <c r="Q744" s="10" t="n">
        <v>1.6</v>
      </c>
      <c r="R744" s="12" t="n">
        <v>0.019</v>
      </c>
      <c r="S744" s="13" t="inlineStr">
        <is>
          <t>Success</t>
        </is>
      </c>
      <c r="T744" s="10" t="n">
        <v>0.2898078744523926</v>
      </c>
      <c r="U744" s="10" t="n">
        <v>0.5796157489047852</v>
      </c>
      <c r="V744" s="10" t="n">
        <v>2.318462995619141</v>
      </c>
    </row>
    <row r="745">
      <c r="I745" s="8" t="inlineStr">
        <is>
          <t>ACE-10739</t>
        </is>
      </c>
      <c r="J745" s="8" t="inlineStr">
        <is>
          <t>2026-05-20 11:50:00</t>
        </is>
      </c>
      <c r="K745" s="8" t="inlineStr">
        <is>
          <t>CUST-85927</t>
        </is>
      </c>
      <c r="L745" s="9" t="inlineStr">
        <is>
          <t>GBP-PKR</t>
        </is>
      </c>
      <c r="M745" s="8" t="inlineStr">
        <is>
          <t>GBP</t>
        </is>
      </c>
      <c r="N745" s="10" t="n">
        <v>329.0919014969965</v>
      </c>
      <c r="O745" s="11" t="n">
        <v>1</v>
      </c>
      <c r="P745" s="10" t="n">
        <v>329.0919014969965</v>
      </c>
      <c r="Q745" s="10" t="n">
        <v>1.5</v>
      </c>
      <c r="R745" s="12" t="n">
        <v>0.021</v>
      </c>
      <c r="S745" s="13" t="inlineStr">
        <is>
          <t>Success</t>
        </is>
      </c>
      <c r="T745" s="10" t="n">
        <v>0.4936378522454947</v>
      </c>
      <c r="U745" s="10" t="n">
        <v>0</v>
      </c>
      <c r="V745" s="10" t="n">
        <v>3.949102817963957</v>
      </c>
    </row>
    <row r="746">
      <c r="I746" s="8" t="inlineStr">
        <is>
          <t>ACE-10740</t>
        </is>
      </c>
      <c r="J746" s="8" t="inlineStr">
        <is>
          <t>2026-05-18 14:25:15</t>
        </is>
      </c>
      <c r="K746" s="8" t="inlineStr">
        <is>
          <t>CUST-60700</t>
        </is>
      </c>
      <c r="L746" s="9" t="inlineStr">
        <is>
          <t>GBP-PKR</t>
        </is>
      </c>
      <c r="M746" s="8" t="inlineStr">
        <is>
          <t>GBP</t>
        </is>
      </c>
      <c r="N746" s="10" t="n">
        <v>308.347258236008</v>
      </c>
      <c r="O746" s="11" t="n">
        <v>1</v>
      </c>
      <c r="P746" s="10" t="n">
        <v>308.347258236008</v>
      </c>
      <c r="Q746" s="10" t="n">
        <v>1.5</v>
      </c>
      <c r="R746" s="12" t="n">
        <v>0.021</v>
      </c>
      <c r="S746" s="13" t="inlineStr">
        <is>
          <t>Success</t>
        </is>
      </c>
      <c r="T746" s="10" t="n">
        <v>0.462520887354012</v>
      </c>
      <c r="U746" s="10" t="n">
        <v>0.925041774708024</v>
      </c>
      <c r="V746" s="10" t="n">
        <v>3.700167098832096</v>
      </c>
    </row>
    <row r="747">
      <c r="I747" s="8" t="inlineStr">
        <is>
          <t>ACE-10741</t>
        </is>
      </c>
      <c r="J747" s="8" t="inlineStr">
        <is>
          <t>2026-05-13 11:16:05</t>
        </is>
      </c>
      <c r="K747" s="8" t="inlineStr">
        <is>
          <t>CUST-77671</t>
        </is>
      </c>
      <c r="L747" s="9" t="inlineStr">
        <is>
          <t>GBP-PKR</t>
        </is>
      </c>
      <c r="M747" s="8" t="inlineStr">
        <is>
          <t>GBP</t>
        </is>
      </c>
      <c r="N747" s="10" t="n">
        <v>231.7599598070231</v>
      </c>
      <c r="O747" s="11" t="n">
        <v>1</v>
      </c>
      <c r="P747" s="10" t="n">
        <v>231.7599598070231</v>
      </c>
      <c r="Q747" s="10" t="n">
        <v>1.5</v>
      </c>
      <c r="R747" s="12" t="n">
        <v>0.021</v>
      </c>
      <c r="S747" s="13" t="inlineStr">
        <is>
          <t>Success</t>
        </is>
      </c>
      <c r="T747" s="10" t="n">
        <v>0.3476399397105346</v>
      </c>
      <c r="U747" s="10" t="n">
        <v>0</v>
      </c>
      <c r="V747" s="10" t="n">
        <v>2.781119517684277</v>
      </c>
    </row>
    <row r="748">
      <c r="I748" s="8" t="inlineStr">
        <is>
          <t>ACE-10742</t>
        </is>
      </c>
      <c r="J748" s="8" t="inlineStr">
        <is>
          <t>2026-05-20 20:44:43</t>
        </is>
      </c>
      <c r="K748" s="8" t="inlineStr">
        <is>
          <t>CUST-67816</t>
        </is>
      </c>
      <c r="L748" s="9" t="inlineStr">
        <is>
          <t>GBP-PKR</t>
        </is>
      </c>
      <c r="M748" s="8" t="inlineStr">
        <is>
          <t>GBP</t>
        </is>
      </c>
      <c r="N748" s="10" t="n">
        <v>245.1405958337575</v>
      </c>
      <c r="O748" s="11" t="n">
        <v>1</v>
      </c>
      <c r="P748" s="10" t="n">
        <v>245.1405958337575</v>
      </c>
      <c r="Q748" s="10" t="n">
        <v>1.5</v>
      </c>
      <c r="R748" s="12" t="n">
        <v>0.021</v>
      </c>
      <c r="S748" s="13" t="inlineStr">
        <is>
          <t>Success</t>
        </is>
      </c>
      <c r="T748" s="10" t="n">
        <v>0.3677108937506363</v>
      </c>
      <c r="U748" s="10" t="n">
        <v>0.7354217875012725</v>
      </c>
      <c r="V748" s="10" t="n">
        <v>2.94168715000509</v>
      </c>
    </row>
    <row r="749">
      <c r="I749" s="8" t="inlineStr">
        <is>
          <t>ACE-10743</t>
        </is>
      </c>
      <c r="J749" s="8" t="inlineStr">
        <is>
          <t>2026-05-09 14:12:54</t>
        </is>
      </c>
      <c r="K749" s="8" t="inlineStr">
        <is>
          <t>CUST-54486</t>
        </is>
      </c>
      <c r="L749" s="9" t="inlineStr">
        <is>
          <t>GBP-PKR</t>
        </is>
      </c>
      <c r="M749" s="8" t="inlineStr">
        <is>
          <t>GBP</t>
        </is>
      </c>
      <c r="N749" s="10" t="n">
        <v>261.7285100683554</v>
      </c>
      <c r="O749" s="11" t="n">
        <v>1</v>
      </c>
      <c r="P749" s="10" t="n">
        <v>261.7285100683554</v>
      </c>
      <c r="Q749" s="10" t="n">
        <v>1.5</v>
      </c>
      <c r="R749" s="12" t="n">
        <v>0.021</v>
      </c>
      <c r="S749" s="13" t="inlineStr">
        <is>
          <t>Success</t>
        </is>
      </c>
      <c r="T749" s="10" t="n">
        <v>0.392592765102533</v>
      </c>
      <c r="U749" s="10" t="n">
        <v>0</v>
      </c>
      <c r="V749" s="10" t="n">
        <v>3.140742120820264</v>
      </c>
    </row>
    <row r="750">
      <c r="I750" s="8" t="inlineStr">
        <is>
          <t>ACE-10744</t>
        </is>
      </c>
      <c r="J750" s="8" t="inlineStr">
        <is>
          <t>2026-05-21 15:39:28</t>
        </is>
      </c>
      <c r="K750" s="8" t="inlineStr">
        <is>
          <t>CUST-67834</t>
        </is>
      </c>
      <c r="L750" s="9" t="inlineStr">
        <is>
          <t>GBP-PKR</t>
        </is>
      </c>
      <c r="M750" s="8" t="inlineStr">
        <is>
          <t>GBP</t>
        </is>
      </c>
      <c r="N750" s="10" t="n">
        <v>279.3313490615107</v>
      </c>
      <c r="O750" s="11" t="n">
        <v>1</v>
      </c>
      <c r="P750" s="10" t="n">
        <v>279.3313490615107</v>
      </c>
      <c r="Q750" s="10" t="n">
        <v>1.5</v>
      </c>
      <c r="R750" s="12" t="n">
        <v>0.021</v>
      </c>
      <c r="S750" s="13" t="inlineStr">
        <is>
          <t>Success</t>
        </is>
      </c>
      <c r="T750" s="10" t="n">
        <v>0.4189970235922661</v>
      </c>
      <c r="U750" s="10" t="n">
        <v>0</v>
      </c>
      <c r="V750" s="10" t="n">
        <v>3.351976188738129</v>
      </c>
    </row>
    <row r="751">
      <c r="I751" s="8" t="inlineStr">
        <is>
          <t>ACE-10745</t>
        </is>
      </c>
      <c r="J751" s="8" t="inlineStr">
        <is>
          <t>2026-05-11 08:09:03</t>
        </is>
      </c>
      <c r="K751" s="8" t="inlineStr">
        <is>
          <t>CUST-85059</t>
        </is>
      </c>
      <c r="L751" s="9" t="inlineStr">
        <is>
          <t>USD-PKR</t>
        </is>
      </c>
      <c r="M751" s="8" t="inlineStr">
        <is>
          <t>USD</t>
        </is>
      </c>
      <c r="N751" s="10" t="n">
        <v>230.5328684076038</v>
      </c>
      <c r="O751" s="11" t="n">
        <v>0.8</v>
      </c>
      <c r="P751" s="10" t="n">
        <v>184.426294726083</v>
      </c>
      <c r="Q751" s="10" t="n">
        <v>1.6</v>
      </c>
      <c r="R751" s="12" t="n">
        <v>0.019</v>
      </c>
      <c r="S751" s="13" t="inlineStr">
        <is>
          <t>Success</t>
        </is>
      </c>
      <c r="T751" s="10" t="n">
        <v>0.2766394420891246</v>
      </c>
      <c r="U751" s="10" t="n">
        <v>0.5532788841782491</v>
      </c>
      <c r="V751" s="10" t="n">
        <v>2.213115536712996</v>
      </c>
    </row>
    <row r="752">
      <c r="I752" s="8" t="inlineStr">
        <is>
          <t>ACE-10746</t>
        </is>
      </c>
      <c r="J752" s="8" t="inlineStr">
        <is>
          <t>2026-05-10 12:08:45</t>
        </is>
      </c>
      <c r="K752" s="8" t="inlineStr">
        <is>
          <t>CUST-78732</t>
        </is>
      </c>
      <c r="L752" s="9" t="inlineStr">
        <is>
          <t>EUR-PKR</t>
        </is>
      </c>
      <c r="M752" s="8" t="inlineStr">
        <is>
          <t>EUR</t>
        </is>
      </c>
      <c r="N752" s="10" t="n">
        <v>175.8180565706758</v>
      </c>
      <c r="O752" s="11" t="n">
        <v>0.85</v>
      </c>
      <c r="P752" s="10" t="n">
        <v>149.4453480850744</v>
      </c>
      <c r="Q752" s="10" t="n">
        <v>1.275</v>
      </c>
      <c r="R752" s="12" t="n">
        <v>0.023</v>
      </c>
      <c r="S752" s="13" t="inlineStr">
        <is>
          <t>Success</t>
        </is>
      </c>
      <c r="T752" s="10" t="n">
        <v>0.2241680221276116</v>
      </c>
      <c r="U752" s="10" t="n">
        <v>0</v>
      </c>
      <c r="V752" s="10" t="n">
        <v>2.241680221276116</v>
      </c>
    </row>
    <row r="753">
      <c r="I753" s="8" t="inlineStr">
        <is>
          <t>ACE-10747</t>
        </is>
      </c>
      <c r="J753" s="8" t="inlineStr">
        <is>
          <t>2026-05-05 08:31:13</t>
        </is>
      </c>
      <c r="K753" s="8" t="inlineStr">
        <is>
          <t>CUST-72407</t>
        </is>
      </c>
      <c r="L753" s="9" t="inlineStr">
        <is>
          <t>GBP-PKR</t>
        </is>
      </c>
      <c r="M753" s="8" t="inlineStr">
        <is>
          <t>GBP</t>
        </is>
      </c>
      <c r="N753" s="10" t="n">
        <v>283.8557764063377</v>
      </c>
      <c r="O753" s="11" t="n">
        <v>1</v>
      </c>
      <c r="P753" s="10" t="n">
        <v>283.8557764063377</v>
      </c>
      <c r="Q753" s="10" t="n">
        <v>1.5</v>
      </c>
      <c r="R753" s="12" t="n">
        <v>0.021</v>
      </c>
      <c r="S753" s="13" t="inlineStr">
        <is>
          <t>Success</t>
        </is>
      </c>
      <c r="T753" s="10" t="n">
        <v>0.4257836646095066</v>
      </c>
      <c r="U753" s="10" t="n">
        <v>0.8515673292190132</v>
      </c>
      <c r="V753" s="10" t="n">
        <v>3.406269316876053</v>
      </c>
    </row>
    <row r="754">
      <c r="I754" s="8" t="inlineStr">
        <is>
          <t>ACE-10748</t>
        </is>
      </c>
      <c r="J754" s="8" t="inlineStr">
        <is>
          <t>2026-05-16 13:29:44</t>
        </is>
      </c>
      <c r="K754" s="8" t="inlineStr">
        <is>
          <t>CUST-52079</t>
        </is>
      </c>
      <c r="L754" s="9" t="inlineStr">
        <is>
          <t>USD-PKR</t>
        </is>
      </c>
      <c r="M754" s="8" t="inlineStr">
        <is>
          <t>USD</t>
        </is>
      </c>
      <c r="N754" s="10" t="n">
        <v>202.9763060201521</v>
      </c>
      <c r="O754" s="11" t="n">
        <v>0.8</v>
      </c>
      <c r="P754" s="10" t="n">
        <v>162.3810448161217</v>
      </c>
      <c r="Q754" s="10" t="n">
        <v>1.6</v>
      </c>
      <c r="R754" s="12" t="n">
        <v>0.019</v>
      </c>
      <c r="S754" s="13" t="inlineStr">
        <is>
          <t>Success</t>
        </is>
      </c>
      <c r="T754" s="10" t="n">
        <v>0.2435715672241825</v>
      </c>
      <c r="U754" s="10" t="n">
        <v>0.487143134448365</v>
      </c>
      <c r="V754" s="10" t="n">
        <v>1.94857253779346</v>
      </c>
    </row>
    <row r="755">
      <c r="I755" s="8" t="inlineStr">
        <is>
          <t>ACE-10749</t>
        </is>
      </c>
      <c r="J755" s="8" t="inlineStr">
        <is>
          <t>2026-05-05 08:17:49</t>
        </is>
      </c>
      <c r="K755" s="8" t="inlineStr">
        <is>
          <t>CUST-75717</t>
        </is>
      </c>
      <c r="L755" s="9" t="inlineStr">
        <is>
          <t>GBP-PKR</t>
        </is>
      </c>
      <c r="M755" s="8" t="inlineStr">
        <is>
          <t>GBP</t>
        </is>
      </c>
      <c r="N755" s="10" t="n">
        <v>262.0768608783781</v>
      </c>
      <c r="O755" s="11" t="n">
        <v>1</v>
      </c>
      <c r="P755" s="10" t="n">
        <v>262.0768608783781</v>
      </c>
      <c r="Q755" s="10" t="n">
        <v>1.5</v>
      </c>
      <c r="R755" s="12" t="n">
        <v>0.021</v>
      </c>
      <c r="S755" s="13" t="inlineStr">
        <is>
          <t>Success</t>
        </is>
      </c>
      <c r="T755" s="10" t="n">
        <v>0.3931152913175671</v>
      </c>
      <c r="U755" s="10" t="n">
        <v>0</v>
      </c>
      <c r="V755" s="10" t="n">
        <v>3.144922330540537</v>
      </c>
    </row>
    <row r="756">
      <c r="I756" s="8" t="inlineStr">
        <is>
          <t>ACE-10750</t>
        </is>
      </c>
      <c r="J756" s="8" t="inlineStr">
        <is>
          <t>2026-05-07 12:52:24</t>
        </is>
      </c>
      <c r="K756" s="8" t="inlineStr">
        <is>
          <t>CUST-50826</t>
        </is>
      </c>
      <c r="L756" s="9" t="inlineStr">
        <is>
          <t>USD-PKR</t>
        </is>
      </c>
      <c r="M756" s="8" t="inlineStr">
        <is>
          <t>USD</t>
        </is>
      </c>
      <c r="N756" s="10" t="n">
        <v>190.1781827543883</v>
      </c>
      <c r="O756" s="11" t="n">
        <v>0.8</v>
      </c>
      <c r="P756" s="10" t="n">
        <v>152.1425462035106</v>
      </c>
      <c r="Q756" s="10" t="n">
        <v>1.6</v>
      </c>
      <c r="R756" s="12" t="n">
        <v>0.019</v>
      </c>
      <c r="S756" s="13" t="inlineStr">
        <is>
          <t>Success</t>
        </is>
      </c>
      <c r="T756" s="10" t="n">
        <v>0.228213819305266</v>
      </c>
      <c r="U756" s="10" t="n">
        <v>0.4564276386105319</v>
      </c>
      <c r="V756" s="10" t="n">
        <v>1.825710554442128</v>
      </c>
    </row>
    <row r="757">
      <c r="I757" s="8" t="inlineStr">
        <is>
          <t>ACE-10751</t>
        </is>
      </c>
      <c r="J757" s="8" t="inlineStr">
        <is>
          <t>2026-05-08 14:49:28</t>
        </is>
      </c>
      <c r="K757" s="8" t="inlineStr">
        <is>
          <t>CUST-66198</t>
        </is>
      </c>
      <c r="L757" s="9" t="inlineStr">
        <is>
          <t>GBP-PKR</t>
        </is>
      </c>
      <c r="M757" s="8" t="inlineStr">
        <is>
          <t>GBP</t>
        </is>
      </c>
      <c r="N757" s="10" t="n">
        <v>254.0335331443964</v>
      </c>
      <c r="O757" s="11" t="n">
        <v>1</v>
      </c>
      <c r="P757" s="10" t="n">
        <v>254.0335331443964</v>
      </c>
      <c r="Q757" s="10" t="n">
        <v>1.5</v>
      </c>
      <c r="R757" s="12" t="n">
        <v>0.021</v>
      </c>
      <c r="S757" s="13" t="inlineStr">
        <is>
          <t>Success</t>
        </is>
      </c>
      <c r="T757" s="10" t="n">
        <v>0.3810502997165947</v>
      </c>
      <c r="U757" s="10" t="n">
        <v>0</v>
      </c>
      <c r="V757" s="10" t="n">
        <v>3.048402397732757</v>
      </c>
    </row>
    <row r="758">
      <c r="I758" s="8" t="inlineStr">
        <is>
          <t>ACE-10752</t>
        </is>
      </c>
      <c r="J758" s="8" t="inlineStr">
        <is>
          <t>2026-05-15 19:49:06</t>
        </is>
      </c>
      <c r="K758" s="8" t="inlineStr">
        <is>
          <t>CUST-84153</t>
        </is>
      </c>
      <c r="L758" s="9" t="inlineStr">
        <is>
          <t>USD-PKR</t>
        </is>
      </c>
      <c r="M758" s="8" t="inlineStr">
        <is>
          <t>USD</t>
        </is>
      </c>
      <c r="N758" s="10" t="n">
        <v>191.226594934597</v>
      </c>
      <c r="O758" s="11" t="n">
        <v>0.8</v>
      </c>
      <c r="P758" s="10" t="n">
        <v>152.9812759476776</v>
      </c>
      <c r="Q758" s="10" t="n">
        <v>1.6</v>
      </c>
      <c r="R758" s="12" t="n">
        <v>0.019</v>
      </c>
      <c r="S758" s="13" t="inlineStr">
        <is>
          <t>Success</t>
        </is>
      </c>
      <c r="T758" s="10" t="n">
        <v>0.2294719139215164</v>
      </c>
      <c r="U758" s="10" t="n">
        <v>0</v>
      </c>
      <c r="V758" s="10" t="n">
        <v>1.835775311372132</v>
      </c>
    </row>
    <row r="759">
      <c r="I759" s="8" t="inlineStr">
        <is>
          <t>ACE-10753</t>
        </is>
      </c>
      <c r="J759" s="8" t="inlineStr">
        <is>
          <t>2026-05-13 18:19:59</t>
        </is>
      </c>
      <c r="K759" s="8" t="inlineStr">
        <is>
          <t>CUST-71172</t>
        </is>
      </c>
      <c r="L759" s="9" t="inlineStr">
        <is>
          <t>EUR-PKR</t>
        </is>
      </c>
      <c r="M759" s="8" t="inlineStr">
        <is>
          <t>EUR</t>
        </is>
      </c>
      <c r="N759" s="10" t="n">
        <v>171.4748737048281</v>
      </c>
      <c r="O759" s="11" t="n">
        <v>0.85</v>
      </c>
      <c r="P759" s="10" t="n">
        <v>145.7536426491039</v>
      </c>
      <c r="Q759" s="10" t="n">
        <v>1.275</v>
      </c>
      <c r="R759" s="12" t="n">
        <v>0.023</v>
      </c>
      <c r="S759" s="13" t="inlineStr">
        <is>
          <t>Success</t>
        </is>
      </c>
      <c r="T759" s="10" t="n">
        <v>0.2186304639736559</v>
      </c>
      <c r="U759" s="10" t="n">
        <v>0.4372609279473118</v>
      </c>
      <c r="V759" s="10" t="n">
        <v>2.186304639736559</v>
      </c>
    </row>
    <row r="760">
      <c r="I760" s="8" t="inlineStr">
        <is>
          <t>ACE-10754</t>
        </is>
      </c>
      <c r="J760" s="8" t="inlineStr">
        <is>
          <t>2026-05-24 16:33:07</t>
        </is>
      </c>
      <c r="K760" s="8" t="inlineStr">
        <is>
          <t>CUST-66601</t>
        </is>
      </c>
      <c r="L760" s="9" t="inlineStr">
        <is>
          <t>USD-PKR</t>
        </is>
      </c>
      <c r="M760" s="8" t="inlineStr">
        <is>
          <t>USD</t>
        </is>
      </c>
      <c r="N760" s="10" t="n">
        <v>243.2261638712958</v>
      </c>
      <c r="O760" s="11" t="n">
        <v>0.8</v>
      </c>
      <c r="P760" s="10" t="n">
        <v>194.5809310970367</v>
      </c>
      <c r="Q760" s="10" t="n">
        <v>1.6</v>
      </c>
      <c r="R760" s="12" t="n">
        <v>0.019</v>
      </c>
      <c r="S760" s="13" t="inlineStr">
        <is>
          <t>Success</t>
        </is>
      </c>
      <c r="T760" s="10" t="n">
        <v>0.291871396645555</v>
      </c>
      <c r="U760" s="10" t="n">
        <v>0</v>
      </c>
      <c r="V760" s="10" t="n">
        <v>2.33497117316444</v>
      </c>
    </row>
    <row r="761">
      <c r="I761" s="8" t="inlineStr">
        <is>
          <t>ACE-10755</t>
        </is>
      </c>
      <c r="J761" s="8" t="inlineStr">
        <is>
          <t>2026-05-12 08:55:42</t>
        </is>
      </c>
      <c r="K761" s="8" t="inlineStr">
        <is>
          <t>CUST-64272</t>
        </is>
      </c>
      <c r="L761" s="9" t="inlineStr">
        <is>
          <t>USD-PKR</t>
        </is>
      </c>
      <c r="M761" s="8" t="inlineStr">
        <is>
          <t>USD</t>
        </is>
      </c>
      <c r="N761" s="10" t="n">
        <v>199.076198300862</v>
      </c>
      <c r="O761" s="11" t="n">
        <v>0.8</v>
      </c>
      <c r="P761" s="10" t="n">
        <v>159.2609586406896</v>
      </c>
      <c r="Q761" s="10" t="n">
        <v>1.6</v>
      </c>
      <c r="R761" s="12" t="n">
        <v>0.019</v>
      </c>
      <c r="S761" s="13" t="inlineStr">
        <is>
          <t>Success</t>
        </is>
      </c>
      <c r="T761" s="10" t="n">
        <v>0.2388914379610345</v>
      </c>
      <c r="U761" s="10" t="n">
        <v>0</v>
      </c>
      <c r="V761" s="10" t="n">
        <v>1.911131503688276</v>
      </c>
    </row>
    <row r="762">
      <c r="I762" s="8" t="inlineStr">
        <is>
          <t>ACE-10756</t>
        </is>
      </c>
      <c r="J762" s="8" t="inlineStr">
        <is>
          <t>2026-05-14 13:00:10</t>
        </is>
      </c>
      <c r="K762" s="8" t="inlineStr">
        <is>
          <t>CUST-68094</t>
        </is>
      </c>
      <c r="L762" s="9" t="inlineStr">
        <is>
          <t>GBP-PKR</t>
        </is>
      </c>
      <c r="M762" s="8" t="inlineStr">
        <is>
          <t>GBP</t>
        </is>
      </c>
      <c r="N762" s="10" t="n">
        <v>362.5012090693851</v>
      </c>
      <c r="O762" s="11" t="n">
        <v>1</v>
      </c>
      <c r="P762" s="10" t="n">
        <v>362.5012090693851</v>
      </c>
      <c r="Q762" s="10" t="n">
        <v>1.5</v>
      </c>
      <c r="R762" s="12" t="n">
        <v>0.021</v>
      </c>
      <c r="S762" s="13" t="inlineStr">
        <is>
          <t>Success</t>
        </is>
      </c>
      <c r="T762" s="10" t="n">
        <v>0.5437518136040778</v>
      </c>
      <c r="U762" s="10" t="n">
        <v>0</v>
      </c>
      <c r="V762" s="10" t="n">
        <v>4.350014508832622</v>
      </c>
    </row>
    <row r="763">
      <c r="I763" s="8" t="inlineStr">
        <is>
          <t>ACE-10757</t>
        </is>
      </c>
      <c r="J763" s="8" t="inlineStr">
        <is>
          <t>2026-05-08 08:02:37</t>
        </is>
      </c>
      <c r="K763" s="8" t="inlineStr">
        <is>
          <t>CUST-95269</t>
        </is>
      </c>
      <c r="L763" s="9" t="inlineStr">
        <is>
          <t>GBP-PKR</t>
        </is>
      </c>
      <c r="M763" s="8" t="inlineStr">
        <is>
          <t>GBP</t>
        </is>
      </c>
      <c r="N763" s="10" t="n">
        <v>292.692155616182</v>
      </c>
      <c r="O763" s="11" t="n">
        <v>1</v>
      </c>
      <c r="P763" s="10" t="n">
        <v>292.692155616182</v>
      </c>
      <c r="Q763" s="10" t="n">
        <v>1.5</v>
      </c>
      <c r="R763" s="12" t="n">
        <v>0.021</v>
      </c>
      <c r="S763" s="13" t="inlineStr">
        <is>
          <t>Success</t>
        </is>
      </c>
      <c r="T763" s="10" t="n">
        <v>0.439038233424273</v>
      </c>
      <c r="U763" s="10" t="n">
        <v>0</v>
      </c>
      <c r="V763" s="10" t="n">
        <v>3.512305867394184</v>
      </c>
    </row>
    <row r="764">
      <c r="I764" s="8" t="inlineStr">
        <is>
          <t>ACE-10758</t>
        </is>
      </c>
      <c r="J764" s="8" t="inlineStr">
        <is>
          <t>2026-05-12 20:05:15</t>
        </is>
      </c>
      <c r="K764" s="8" t="inlineStr">
        <is>
          <t>CUST-60334</t>
        </is>
      </c>
      <c r="L764" s="9" t="inlineStr">
        <is>
          <t>GBP-PKR</t>
        </is>
      </c>
      <c r="M764" s="8" t="inlineStr">
        <is>
          <t>GBP</t>
        </is>
      </c>
      <c r="N764" s="10" t="n">
        <v>283.8009793423608</v>
      </c>
      <c r="O764" s="11" t="n">
        <v>1</v>
      </c>
      <c r="P764" s="10" t="n">
        <v>283.8009793423608</v>
      </c>
      <c r="Q764" s="10" t="n">
        <v>1.5</v>
      </c>
      <c r="R764" s="12" t="n">
        <v>0.021</v>
      </c>
      <c r="S764" s="13" t="inlineStr">
        <is>
          <t>Success</t>
        </is>
      </c>
      <c r="T764" s="10" t="n">
        <v>0.4257014690135413</v>
      </c>
      <c r="U764" s="10" t="n">
        <v>0.8514029380270826</v>
      </c>
      <c r="V764" s="10" t="n">
        <v>3.40561175210833</v>
      </c>
    </row>
    <row r="765">
      <c r="I765" s="8" t="inlineStr">
        <is>
          <t>ACE-10759</t>
        </is>
      </c>
      <c r="J765" s="8" t="inlineStr">
        <is>
          <t>2026-05-11 20:40:03</t>
        </is>
      </c>
      <c r="K765" s="8" t="inlineStr">
        <is>
          <t>CUST-53917</t>
        </is>
      </c>
      <c r="L765" s="9" t="inlineStr">
        <is>
          <t>USD-PKR</t>
        </is>
      </c>
      <c r="M765" s="8" t="inlineStr">
        <is>
          <t>USD</t>
        </is>
      </c>
      <c r="N765" s="10" t="n">
        <v>200.8968853736763</v>
      </c>
      <c r="O765" s="11" t="n">
        <v>0.8</v>
      </c>
      <c r="P765" s="10" t="n">
        <v>160.717508298941</v>
      </c>
      <c r="Q765" s="10" t="n">
        <v>1.6</v>
      </c>
      <c r="R765" s="12" t="n">
        <v>0.019</v>
      </c>
      <c r="S765" s="13" t="inlineStr">
        <is>
          <t>Success</t>
        </is>
      </c>
      <c r="T765" s="10" t="n">
        <v>0.2410762624484115</v>
      </c>
      <c r="U765" s="10" t="n">
        <v>0</v>
      </c>
      <c r="V765" s="10" t="n">
        <v>1.928610099587292</v>
      </c>
    </row>
    <row r="766">
      <c r="I766" s="8" t="inlineStr">
        <is>
          <t>ACE-10760</t>
        </is>
      </c>
      <c r="J766" s="8" t="inlineStr">
        <is>
          <t>2026-05-18 20:06:08</t>
        </is>
      </c>
      <c r="K766" s="8" t="inlineStr">
        <is>
          <t>CUST-81971</t>
        </is>
      </c>
      <c r="L766" s="9" t="inlineStr">
        <is>
          <t>GBP-PKR</t>
        </is>
      </c>
      <c r="M766" s="8" t="inlineStr">
        <is>
          <t>GBP</t>
        </is>
      </c>
      <c r="N766" s="10" t="n">
        <v>298.8137863080569</v>
      </c>
      <c r="O766" s="11" t="n">
        <v>1</v>
      </c>
      <c r="P766" s="10" t="n">
        <v>298.8137863080569</v>
      </c>
      <c r="Q766" s="10" t="n">
        <v>1.5</v>
      </c>
      <c r="R766" s="12" t="n">
        <v>0.021</v>
      </c>
      <c r="S766" s="13" t="inlineStr">
        <is>
          <t>Success</t>
        </is>
      </c>
      <c r="T766" s="10" t="n">
        <v>0.4482206794620853</v>
      </c>
      <c r="U766" s="10" t="n">
        <v>0.8964413589241707</v>
      </c>
      <c r="V766" s="10" t="n">
        <v>3.585765435696683</v>
      </c>
    </row>
    <row r="767">
      <c r="I767" s="8" t="inlineStr">
        <is>
          <t>ACE-10761</t>
        </is>
      </c>
      <c r="J767" s="8" t="inlineStr">
        <is>
          <t>2026-05-21 20:22:51</t>
        </is>
      </c>
      <c r="K767" s="8" t="inlineStr">
        <is>
          <t>CUST-78751</t>
        </is>
      </c>
      <c r="L767" s="9" t="inlineStr">
        <is>
          <t>GBP-PKR</t>
        </is>
      </c>
      <c r="M767" s="8" t="inlineStr">
        <is>
          <t>GBP</t>
        </is>
      </c>
      <c r="N767" s="10" t="n">
        <v>263.0188810184177</v>
      </c>
      <c r="O767" s="11" t="n">
        <v>1</v>
      </c>
      <c r="P767" s="10" t="n">
        <v>263.0188810184177</v>
      </c>
      <c r="Q767" s="10" t="n">
        <v>1.5</v>
      </c>
      <c r="R767" s="12" t="n">
        <v>0.021</v>
      </c>
      <c r="S767" s="13" t="inlineStr">
        <is>
          <t>Success</t>
        </is>
      </c>
      <c r="T767" s="10" t="n">
        <v>0.3945283215276265</v>
      </c>
      <c r="U767" s="10" t="n">
        <v>0</v>
      </c>
      <c r="V767" s="10" t="n">
        <v>3.156226572221012</v>
      </c>
    </row>
    <row r="768">
      <c r="I768" s="8" t="inlineStr">
        <is>
          <t>ACE-10762</t>
        </is>
      </c>
      <c r="J768" s="8" t="inlineStr">
        <is>
          <t>2026-05-13 13:46:08</t>
        </is>
      </c>
      <c r="K768" s="8" t="inlineStr">
        <is>
          <t>CUST-66429</t>
        </is>
      </c>
      <c r="L768" s="9" t="inlineStr">
        <is>
          <t>GBP-PKR</t>
        </is>
      </c>
      <c r="M768" s="8" t="inlineStr">
        <is>
          <t>GBP</t>
        </is>
      </c>
      <c r="N768" s="10" t="n">
        <v>282.0235518456167</v>
      </c>
      <c r="O768" s="11" t="n">
        <v>1</v>
      </c>
      <c r="P768" s="10" t="n">
        <v>282.0235518456167</v>
      </c>
      <c r="Q768" s="10" t="n">
        <v>1.5</v>
      </c>
      <c r="R768" s="12" t="n">
        <v>0.021</v>
      </c>
      <c r="S768" s="13" t="inlineStr">
        <is>
          <t>Success</t>
        </is>
      </c>
      <c r="T768" s="10" t="n">
        <v>0.423035327768425</v>
      </c>
      <c r="U768" s="10" t="n">
        <v>0</v>
      </c>
      <c r="V768" s="10" t="n">
        <v>3.3842826221474</v>
      </c>
    </row>
    <row r="769">
      <c r="I769" s="8" t="inlineStr">
        <is>
          <t>ACE-10763</t>
        </is>
      </c>
      <c r="J769" s="8" t="inlineStr">
        <is>
          <t>2026-05-15 16:18:34</t>
        </is>
      </c>
      <c r="K769" s="8" t="inlineStr">
        <is>
          <t>CUST-95681</t>
        </is>
      </c>
      <c r="L769" s="9" t="inlineStr">
        <is>
          <t>GBP-PKR</t>
        </is>
      </c>
      <c r="M769" s="8" t="inlineStr">
        <is>
          <t>GBP</t>
        </is>
      </c>
      <c r="N769" s="10" t="n">
        <v>359.8898660464978</v>
      </c>
      <c r="O769" s="11" t="n">
        <v>1</v>
      </c>
      <c r="P769" s="10" t="n">
        <v>359.8898660464978</v>
      </c>
      <c r="Q769" s="10" t="n">
        <v>1.5</v>
      </c>
      <c r="R769" s="12" t="n">
        <v>0.021</v>
      </c>
      <c r="S769" s="13" t="inlineStr">
        <is>
          <t>Success</t>
        </is>
      </c>
      <c r="T769" s="10" t="n">
        <v>0.5398347990697467</v>
      </c>
      <c r="U769" s="10" t="n">
        <v>0</v>
      </c>
      <c r="V769" s="10" t="n">
        <v>4.318678392557974</v>
      </c>
    </row>
    <row r="770">
      <c r="I770" s="8" t="inlineStr">
        <is>
          <t>ACE-10764</t>
        </is>
      </c>
      <c r="J770" s="8" t="inlineStr">
        <is>
          <t>2026-05-18 13:20:46</t>
        </is>
      </c>
      <c r="K770" s="8" t="inlineStr">
        <is>
          <t>CUST-80696</t>
        </is>
      </c>
      <c r="L770" s="9" t="inlineStr">
        <is>
          <t>GBP-PKR</t>
        </is>
      </c>
      <c r="M770" s="8" t="inlineStr">
        <is>
          <t>GBP</t>
        </is>
      </c>
      <c r="N770" s="10" t="n">
        <v>275.9400448173221</v>
      </c>
      <c r="O770" s="11" t="n">
        <v>1</v>
      </c>
      <c r="P770" s="10" t="n">
        <v>275.9400448173221</v>
      </c>
      <c r="Q770" s="10" t="n">
        <v>1.5</v>
      </c>
      <c r="R770" s="12" t="n">
        <v>0.021</v>
      </c>
      <c r="S770" s="13" t="inlineStr">
        <is>
          <t>Success</t>
        </is>
      </c>
      <c r="T770" s="10" t="n">
        <v>0.4139100672259831</v>
      </c>
      <c r="U770" s="10" t="n">
        <v>0.8278201344519662</v>
      </c>
      <c r="V770" s="10" t="n">
        <v>3.311280537807865</v>
      </c>
    </row>
    <row r="771">
      <c r="I771" s="8" t="inlineStr">
        <is>
          <t>ACE-10765</t>
        </is>
      </c>
      <c r="J771" s="8" t="inlineStr">
        <is>
          <t>2026-05-18 10:04:33</t>
        </is>
      </c>
      <c r="K771" s="8" t="inlineStr">
        <is>
          <t>CUST-60159</t>
        </is>
      </c>
      <c r="L771" s="9" t="inlineStr">
        <is>
          <t>GBP-PKR</t>
        </is>
      </c>
      <c r="M771" s="8" t="inlineStr">
        <is>
          <t>GBP</t>
        </is>
      </c>
      <c r="N771" s="10" t="n">
        <v>312.535147795615</v>
      </c>
      <c r="O771" s="11" t="n">
        <v>1</v>
      </c>
      <c r="P771" s="10" t="n">
        <v>312.535147795615</v>
      </c>
      <c r="Q771" s="10" t="n">
        <v>1.5</v>
      </c>
      <c r="R771" s="12" t="n">
        <v>0.021</v>
      </c>
      <c r="S771" s="13" t="inlineStr">
        <is>
          <t>Success</t>
        </is>
      </c>
      <c r="T771" s="10" t="n">
        <v>0.4688027216934225</v>
      </c>
      <c r="U771" s="10" t="n">
        <v>0.937605443386845</v>
      </c>
      <c r="V771" s="10" t="n">
        <v>3.75042177354738</v>
      </c>
    </row>
    <row r="772">
      <c r="I772" s="8" t="inlineStr">
        <is>
          <t>ACE-10766</t>
        </is>
      </c>
      <c r="J772" s="8" t="inlineStr">
        <is>
          <t>2026-05-18 13:29:00</t>
        </is>
      </c>
      <c r="K772" s="8" t="inlineStr">
        <is>
          <t>CUST-91813</t>
        </is>
      </c>
      <c r="L772" s="9" t="inlineStr">
        <is>
          <t>GBP-PKR</t>
        </is>
      </c>
      <c r="M772" s="8" t="inlineStr">
        <is>
          <t>GBP</t>
        </is>
      </c>
      <c r="N772" s="10" t="n">
        <v>259.6856758593217</v>
      </c>
      <c r="O772" s="11" t="n">
        <v>1</v>
      </c>
      <c r="P772" s="10" t="n">
        <v>259.6856758593217</v>
      </c>
      <c r="Q772" s="10" t="n">
        <v>1.5</v>
      </c>
      <c r="R772" s="12" t="n">
        <v>0.021</v>
      </c>
      <c r="S772" s="13" t="inlineStr">
        <is>
          <t>Success</t>
        </is>
      </c>
      <c r="T772" s="10" t="n">
        <v>0.3895285137889826</v>
      </c>
      <c r="U772" s="10" t="n">
        <v>0.7790570275779652</v>
      </c>
      <c r="V772" s="10" t="n">
        <v>3.116228110311861</v>
      </c>
    </row>
    <row r="773">
      <c r="I773" s="8" t="inlineStr">
        <is>
          <t>ACE-10767</t>
        </is>
      </c>
      <c r="J773" s="8" t="inlineStr">
        <is>
          <t>2026-05-01 17:54:23</t>
        </is>
      </c>
      <c r="K773" s="8" t="inlineStr">
        <is>
          <t>CUST-90645</t>
        </is>
      </c>
      <c r="L773" s="9" t="inlineStr">
        <is>
          <t>GBP-PKR</t>
        </is>
      </c>
      <c r="M773" s="8" t="inlineStr">
        <is>
          <t>GBP</t>
        </is>
      </c>
      <c r="N773" s="10" t="n">
        <v>277.6304059402469</v>
      </c>
      <c r="O773" s="11" t="n">
        <v>1</v>
      </c>
      <c r="P773" s="10" t="n">
        <v>277.6304059402469</v>
      </c>
      <c r="Q773" s="10" t="n">
        <v>1.5</v>
      </c>
      <c r="R773" s="12" t="n">
        <v>0.021</v>
      </c>
      <c r="S773" s="13" t="inlineStr">
        <is>
          <t>Success</t>
        </is>
      </c>
      <c r="T773" s="10" t="n">
        <v>0.4164456089103703</v>
      </c>
      <c r="U773" s="10" t="n">
        <v>0.8328912178207406</v>
      </c>
      <c r="V773" s="10" t="n">
        <v>3.331564871282962</v>
      </c>
    </row>
    <row r="774">
      <c r="I774" s="8" t="inlineStr">
        <is>
          <t>ACE-10768</t>
        </is>
      </c>
      <c r="J774" s="8" t="inlineStr">
        <is>
          <t>2026-05-22 16:52:24</t>
        </is>
      </c>
      <c r="K774" s="8" t="inlineStr">
        <is>
          <t>CUST-62443</t>
        </is>
      </c>
      <c r="L774" s="9" t="inlineStr">
        <is>
          <t>GBP-PKR</t>
        </is>
      </c>
      <c r="M774" s="8" t="inlineStr">
        <is>
          <t>GBP</t>
        </is>
      </c>
      <c r="N774" s="10" t="n">
        <v>332.5764194872828</v>
      </c>
      <c r="O774" s="11" t="n">
        <v>1</v>
      </c>
      <c r="P774" s="10" t="n">
        <v>332.5764194872828</v>
      </c>
      <c r="Q774" s="10" t="n">
        <v>1.5</v>
      </c>
      <c r="R774" s="12" t="n">
        <v>0.021</v>
      </c>
      <c r="S774" s="13" t="inlineStr">
        <is>
          <t>Success</t>
        </is>
      </c>
      <c r="T774" s="10" t="n">
        <v>0.4988646292309242</v>
      </c>
      <c r="U774" s="10" t="n">
        <v>0</v>
      </c>
      <c r="V774" s="10" t="n">
        <v>3.990917033847394</v>
      </c>
    </row>
    <row r="775">
      <c r="I775" s="8" t="inlineStr">
        <is>
          <t>ACE-10769</t>
        </is>
      </c>
      <c r="J775" s="8" t="inlineStr">
        <is>
          <t>2026-05-18 10:39:18</t>
        </is>
      </c>
      <c r="K775" s="8" t="inlineStr">
        <is>
          <t>CUST-71141</t>
        </is>
      </c>
      <c r="L775" s="9" t="inlineStr">
        <is>
          <t>USD-PKR</t>
        </is>
      </c>
      <c r="M775" s="8" t="inlineStr">
        <is>
          <t>USD</t>
        </is>
      </c>
      <c r="N775" s="10" t="n">
        <v>205.5996519179681</v>
      </c>
      <c r="O775" s="11" t="n">
        <v>0.8</v>
      </c>
      <c r="P775" s="10" t="n">
        <v>164.4797215343745</v>
      </c>
      <c r="Q775" s="10" t="n">
        <v>1.6</v>
      </c>
      <c r="R775" s="12" t="n">
        <v>0.019</v>
      </c>
      <c r="S775" s="13" t="inlineStr">
        <is>
          <t>Success</t>
        </is>
      </c>
      <c r="T775" s="10" t="n">
        <v>0.2467195823015618</v>
      </c>
      <c r="U775" s="10" t="n">
        <v>0</v>
      </c>
      <c r="V775" s="10" t="n">
        <v>1.973756658412494</v>
      </c>
    </row>
    <row r="776">
      <c r="I776" s="8" t="inlineStr">
        <is>
          <t>ACE-10770</t>
        </is>
      </c>
      <c r="J776" s="8" t="inlineStr">
        <is>
          <t>2026-05-04 16:42:04</t>
        </is>
      </c>
      <c r="K776" s="8" t="inlineStr">
        <is>
          <t>CUST-52868</t>
        </is>
      </c>
      <c r="L776" s="9" t="inlineStr">
        <is>
          <t>GBP-PKR</t>
        </is>
      </c>
      <c r="M776" s="8" t="inlineStr">
        <is>
          <t>GBP</t>
        </is>
      </c>
      <c r="N776" s="10" t="n">
        <v>333.9644195367071</v>
      </c>
      <c r="O776" s="11" t="n">
        <v>1</v>
      </c>
      <c r="P776" s="10" t="n">
        <v>333.9644195367071</v>
      </c>
      <c r="Q776" s="10" t="n">
        <v>1.5</v>
      </c>
      <c r="R776" s="12" t="n">
        <v>0.021</v>
      </c>
      <c r="S776" s="13" t="inlineStr">
        <is>
          <t>Success</t>
        </is>
      </c>
      <c r="T776" s="10" t="n">
        <v>0.5009466293050607</v>
      </c>
      <c r="U776" s="10" t="n">
        <v>0</v>
      </c>
      <c r="V776" s="10" t="n">
        <v>4.007573034440486</v>
      </c>
    </row>
    <row r="777">
      <c r="I777" s="8" t="inlineStr">
        <is>
          <t>ACE-10771</t>
        </is>
      </c>
      <c r="J777" s="8" t="inlineStr">
        <is>
          <t>2026-05-02 11:06:31</t>
        </is>
      </c>
      <c r="K777" s="8" t="inlineStr">
        <is>
          <t>CUST-62557</t>
        </is>
      </c>
      <c r="L777" s="9" t="inlineStr">
        <is>
          <t>EUR-PKR</t>
        </is>
      </c>
      <c r="M777" s="8" t="inlineStr">
        <is>
          <t>EUR</t>
        </is>
      </c>
      <c r="N777" s="10" t="n">
        <v>202.9174539802635</v>
      </c>
      <c r="O777" s="11" t="n">
        <v>0.85</v>
      </c>
      <c r="P777" s="10" t="n">
        <v>172.479835883224</v>
      </c>
      <c r="Q777" s="10" t="n">
        <v>1.275</v>
      </c>
      <c r="R777" s="12" t="n">
        <v>0.023</v>
      </c>
      <c r="S777" s="13" t="inlineStr">
        <is>
          <t>Success</t>
        </is>
      </c>
      <c r="T777" s="10" t="n">
        <v>0.2587197538248359</v>
      </c>
      <c r="U777" s="10" t="n">
        <v>0</v>
      </c>
      <c r="V777" s="10" t="n">
        <v>2.587197538248359</v>
      </c>
    </row>
    <row r="778">
      <c r="I778" s="8" t="inlineStr">
        <is>
          <t>ACE-10772</t>
        </is>
      </c>
      <c r="J778" s="8" t="inlineStr">
        <is>
          <t>2026-05-13 18:31:33</t>
        </is>
      </c>
      <c r="K778" s="8" t="inlineStr">
        <is>
          <t>CUST-90892</t>
        </is>
      </c>
      <c r="L778" s="9" t="inlineStr">
        <is>
          <t>USD-PKR</t>
        </is>
      </c>
      <c r="M778" s="8" t="inlineStr">
        <is>
          <t>USD</t>
        </is>
      </c>
      <c r="N778" s="10" t="n">
        <v>206.9300614456373</v>
      </c>
      <c r="O778" s="11" t="n">
        <v>0.8</v>
      </c>
      <c r="P778" s="10" t="n">
        <v>165.5440491565098</v>
      </c>
      <c r="Q778" s="10" t="n">
        <v>1.6</v>
      </c>
      <c r="R778" s="12" t="n">
        <v>0.019</v>
      </c>
      <c r="S778" s="13" t="inlineStr">
        <is>
          <t>Success</t>
        </is>
      </c>
      <c r="T778" s="10" t="n">
        <v>0.2483160737347647</v>
      </c>
      <c r="U778" s="10" t="n">
        <v>0</v>
      </c>
      <c r="V778" s="10" t="n">
        <v>1.986528589878118</v>
      </c>
    </row>
    <row r="779">
      <c r="I779" s="8" t="inlineStr">
        <is>
          <t>ACE-10773</t>
        </is>
      </c>
      <c r="J779" s="8" t="inlineStr">
        <is>
          <t>2026-05-12 11:38:45</t>
        </is>
      </c>
      <c r="K779" s="8" t="inlineStr">
        <is>
          <t>CUST-54644</t>
        </is>
      </c>
      <c r="L779" s="9" t="inlineStr">
        <is>
          <t>GBP-PKR</t>
        </is>
      </c>
      <c r="M779" s="8" t="inlineStr">
        <is>
          <t>GBP</t>
        </is>
      </c>
      <c r="N779" s="10" t="n">
        <v>296.7916498814345</v>
      </c>
      <c r="O779" s="11" t="n">
        <v>1</v>
      </c>
      <c r="P779" s="10" t="n">
        <v>296.7916498814345</v>
      </c>
      <c r="Q779" s="10" t="n">
        <v>1.5</v>
      </c>
      <c r="R779" s="12" t="n">
        <v>0.021</v>
      </c>
      <c r="S779" s="13" t="inlineStr">
        <is>
          <t>Failed</t>
        </is>
      </c>
      <c r="T779" s="10" t="n">
        <v>0</v>
      </c>
      <c r="U779" s="10" t="n">
        <v>0</v>
      </c>
      <c r="V779" s="10" t="n">
        <v>0.5</v>
      </c>
    </row>
    <row r="780">
      <c r="I780" s="8" t="inlineStr">
        <is>
          <t>ACE-10774</t>
        </is>
      </c>
      <c r="J780" s="8" t="inlineStr">
        <is>
          <t>2026-05-07 18:31:59</t>
        </is>
      </c>
      <c r="K780" s="8" t="inlineStr">
        <is>
          <t>CUST-55240</t>
        </is>
      </c>
      <c r="L780" s="9" t="inlineStr">
        <is>
          <t>GBP-PKR</t>
        </is>
      </c>
      <c r="M780" s="8" t="inlineStr">
        <is>
          <t>GBP</t>
        </is>
      </c>
      <c r="N780" s="10" t="n">
        <v>307.0605772429955</v>
      </c>
      <c r="O780" s="11" t="n">
        <v>1</v>
      </c>
      <c r="P780" s="10" t="n">
        <v>307.0605772429955</v>
      </c>
      <c r="Q780" s="10" t="n">
        <v>1.5</v>
      </c>
      <c r="R780" s="12" t="n">
        <v>0.021</v>
      </c>
      <c r="S780" s="13" t="inlineStr">
        <is>
          <t>Success</t>
        </is>
      </c>
      <c r="T780" s="10" t="n">
        <v>0.4605908658644933</v>
      </c>
      <c r="U780" s="10" t="n">
        <v>0.9211817317289865</v>
      </c>
      <c r="V780" s="10" t="n">
        <v>3.684726926915946</v>
      </c>
    </row>
    <row r="781">
      <c r="I781" s="8" t="inlineStr">
        <is>
          <t>ACE-10775</t>
        </is>
      </c>
      <c r="J781" s="8" t="inlineStr">
        <is>
          <t>2026-05-12 16:47:56</t>
        </is>
      </c>
      <c r="K781" s="8" t="inlineStr">
        <is>
          <t>CUST-77259</t>
        </is>
      </c>
      <c r="L781" s="9" t="inlineStr">
        <is>
          <t>GBP-PKR</t>
        </is>
      </c>
      <c r="M781" s="8" t="inlineStr">
        <is>
          <t>GBP</t>
        </is>
      </c>
      <c r="N781" s="10" t="n">
        <v>296.4772833228968</v>
      </c>
      <c r="O781" s="11" t="n">
        <v>1</v>
      </c>
      <c r="P781" s="10" t="n">
        <v>296.4772833228968</v>
      </c>
      <c r="Q781" s="10" t="n">
        <v>1.5</v>
      </c>
      <c r="R781" s="12" t="n">
        <v>0.021</v>
      </c>
      <c r="S781" s="13" t="inlineStr">
        <is>
          <t>Success</t>
        </is>
      </c>
      <c r="T781" s="10" t="n">
        <v>0.4447159249843451</v>
      </c>
      <c r="U781" s="10" t="n">
        <v>0.8894318499686903</v>
      </c>
      <c r="V781" s="10" t="n">
        <v>3.557727399874761</v>
      </c>
    </row>
    <row r="782">
      <c r="I782" s="8" t="inlineStr">
        <is>
          <t>ACE-10776</t>
        </is>
      </c>
      <c r="J782" s="8" t="inlineStr">
        <is>
          <t>2026-05-02 17:17:33</t>
        </is>
      </c>
      <c r="K782" s="8" t="inlineStr">
        <is>
          <t>CUST-52664</t>
        </is>
      </c>
      <c r="L782" s="9" t="inlineStr">
        <is>
          <t>GBP-PKR</t>
        </is>
      </c>
      <c r="M782" s="8" t="inlineStr">
        <is>
          <t>GBP</t>
        </is>
      </c>
      <c r="N782" s="10" t="n">
        <v>238.1181862218687</v>
      </c>
      <c r="O782" s="11" t="n">
        <v>1</v>
      </c>
      <c r="P782" s="10" t="n">
        <v>238.1181862218687</v>
      </c>
      <c r="Q782" s="10" t="n">
        <v>1.5</v>
      </c>
      <c r="R782" s="12" t="n">
        <v>0.021</v>
      </c>
      <c r="S782" s="13" t="inlineStr">
        <is>
          <t>Success</t>
        </is>
      </c>
      <c r="T782" s="10" t="n">
        <v>0.3571772793328031</v>
      </c>
      <c r="U782" s="10" t="n">
        <v>0.7143545586656062</v>
      </c>
      <c r="V782" s="10" t="n">
        <v>2.857418234662425</v>
      </c>
    </row>
    <row r="783">
      <c r="I783" s="8" t="inlineStr">
        <is>
          <t>ACE-10777</t>
        </is>
      </c>
      <c r="J783" s="8" t="inlineStr">
        <is>
          <t>2026-05-03 11:33:06</t>
        </is>
      </c>
      <c r="K783" s="8" t="inlineStr">
        <is>
          <t>CUST-56633</t>
        </is>
      </c>
      <c r="L783" s="9" t="inlineStr">
        <is>
          <t>GBP-PKR</t>
        </is>
      </c>
      <c r="M783" s="8" t="inlineStr">
        <is>
          <t>GBP</t>
        </is>
      </c>
      <c r="N783" s="10" t="n">
        <v>259.0641943409082</v>
      </c>
      <c r="O783" s="11" t="n">
        <v>1</v>
      </c>
      <c r="P783" s="10" t="n">
        <v>259.0641943409082</v>
      </c>
      <c r="Q783" s="10" t="n">
        <v>1.5</v>
      </c>
      <c r="R783" s="12" t="n">
        <v>0.021</v>
      </c>
      <c r="S783" s="13" t="inlineStr">
        <is>
          <t>Success</t>
        </is>
      </c>
      <c r="T783" s="10" t="n">
        <v>0.3885962915113623</v>
      </c>
      <c r="U783" s="10" t="n">
        <v>0</v>
      </c>
      <c r="V783" s="10" t="n">
        <v>3.108770332090898</v>
      </c>
    </row>
    <row r="784">
      <c r="I784" s="8" t="inlineStr">
        <is>
          <t>ACE-10778</t>
        </is>
      </c>
      <c r="J784" s="8" t="inlineStr">
        <is>
          <t>2026-05-07 11:33:42</t>
        </is>
      </c>
      <c r="K784" s="8" t="inlineStr">
        <is>
          <t>CUST-66302</t>
        </is>
      </c>
      <c r="L784" s="9" t="inlineStr">
        <is>
          <t>USD-PKR</t>
        </is>
      </c>
      <c r="M784" s="8" t="inlineStr">
        <is>
          <t>USD</t>
        </is>
      </c>
      <c r="N784" s="10" t="n">
        <v>213.5510005929483</v>
      </c>
      <c r="O784" s="11" t="n">
        <v>0.8</v>
      </c>
      <c r="P784" s="10" t="n">
        <v>170.8408004743587</v>
      </c>
      <c r="Q784" s="10" t="n">
        <v>1.6</v>
      </c>
      <c r="R784" s="12" t="n">
        <v>0.019</v>
      </c>
      <c r="S784" s="13" t="inlineStr">
        <is>
          <t>Success</t>
        </is>
      </c>
      <c r="T784" s="10" t="n">
        <v>0.256261200711538</v>
      </c>
      <c r="U784" s="10" t="n">
        <v>0.512522401423076</v>
      </c>
      <c r="V784" s="10" t="n">
        <v>2.050089605692304</v>
      </c>
    </row>
    <row r="785">
      <c r="I785" s="8" t="inlineStr">
        <is>
          <t>ACE-10779</t>
        </is>
      </c>
      <c r="J785" s="8" t="inlineStr">
        <is>
          <t>2026-05-18 19:35:26</t>
        </is>
      </c>
      <c r="K785" s="8" t="inlineStr">
        <is>
          <t>CUST-98896</t>
        </is>
      </c>
      <c r="L785" s="9" t="inlineStr">
        <is>
          <t>GBP-PKR</t>
        </is>
      </c>
      <c r="M785" s="8" t="inlineStr">
        <is>
          <t>GBP</t>
        </is>
      </c>
      <c r="N785" s="10" t="n">
        <v>276.5374515017257</v>
      </c>
      <c r="O785" s="11" t="n">
        <v>1</v>
      </c>
      <c r="P785" s="10" t="n">
        <v>276.5374515017257</v>
      </c>
      <c r="Q785" s="10" t="n">
        <v>1.5</v>
      </c>
      <c r="R785" s="12" t="n">
        <v>0.021</v>
      </c>
      <c r="S785" s="13" t="inlineStr">
        <is>
          <t>Success</t>
        </is>
      </c>
      <c r="T785" s="10" t="n">
        <v>0.4148061772525886</v>
      </c>
      <c r="U785" s="10" t="n">
        <v>0.8296123545051772</v>
      </c>
      <c r="V785" s="10" t="n">
        <v>3.318449418020709</v>
      </c>
    </row>
    <row r="786">
      <c r="I786" s="8" t="inlineStr">
        <is>
          <t>ACE-10780</t>
        </is>
      </c>
      <c r="J786" s="8" t="inlineStr">
        <is>
          <t>2026-05-12 18:29:44</t>
        </is>
      </c>
      <c r="K786" s="8" t="inlineStr">
        <is>
          <t>CUST-93597</t>
        </is>
      </c>
      <c r="L786" s="9" t="inlineStr">
        <is>
          <t>GBP-PKR</t>
        </is>
      </c>
      <c r="M786" s="8" t="inlineStr">
        <is>
          <t>GBP</t>
        </is>
      </c>
      <c r="N786" s="10" t="n">
        <v>296.443550139611</v>
      </c>
      <c r="O786" s="11" t="n">
        <v>1</v>
      </c>
      <c r="P786" s="10" t="n">
        <v>296.443550139611</v>
      </c>
      <c r="Q786" s="10" t="n">
        <v>1.5</v>
      </c>
      <c r="R786" s="12" t="n">
        <v>0.021</v>
      </c>
      <c r="S786" s="13" t="inlineStr">
        <is>
          <t>Success</t>
        </is>
      </c>
      <c r="T786" s="10" t="n">
        <v>0.4446653252094165</v>
      </c>
      <c r="U786" s="10" t="n">
        <v>0</v>
      </c>
      <c r="V786" s="10" t="n">
        <v>3.557322601675332</v>
      </c>
    </row>
    <row r="787">
      <c r="I787" s="8" t="inlineStr">
        <is>
          <t>ACE-10781</t>
        </is>
      </c>
      <c r="J787" s="8" t="inlineStr">
        <is>
          <t>2026-05-06 16:25:32</t>
        </is>
      </c>
      <c r="K787" s="8" t="inlineStr">
        <is>
          <t>CUST-72119</t>
        </is>
      </c>
      <c r="L787" s="9" t="inlineStr">
        <is>
          <t>GBP-PKR</t>
        </is>
      </c>
      <c r="M787" s="8" t="inlineStr">
        <is>
          <t>GBP</t>
        </is>
      </c>
      <c r="N787" s="10" t="n">
        <v>283.5985560839409</v>
      </c>
      <c r="O787" s="11" t="n">
        <v>1</v>
      </c>
      <c r="P787" s="10" t="n">
        <v>283.5985560839409</v>
      </c>
      <c r="Q787" s="10" t="n">
        <v>1.5</v>
      </c>
      <c r="R787" s="12" t="n">
        <v>0.021</v>
      </c>
      <c r="S787" s="13" t="inlineStr">
        <is>
          <t>Success</t>
        </is>
      </c>
      <c r="T787" s="10" t="n">
        <v>0.4253978341259114</v>
      </c>
      <c r="U787" s="10" t="n">
        <v>0</v>
      </c>
      <c r="V787" s="10" t="n">
        <v>3.403182673007291</v>
      </c>
    </row>
    <row r="788">
      <c r="I788" s="8" t="inlineStr">
        <is>
          <t>ACE-10782</t>
        </is>
      </c>
      <c r="J788" s="8" t="inlineStr">
        <is>
          <t>2026-05-20 15:59:22</t>
        </is>
      </c>
      <c r="K788" s="8" t="inlineStr">
        <is>
          <t>CUST-70653</t>
        </is>
      </c>
      <c r="L788" s="9" t="inlineStr">
        <is>
          <t>GBP-PKR</t>
        </is>
      </c>
      <c r="M788" s="8" t="inlineStr">
        <is>
          <t>GBP</t>
        </is>
      </c>
      <c r="N788" s="10" t="n">
        <v>243.777315526619</v>
      </c>
      <c r="O788" s="11" t="n">
        <v>1</v>
      </c>
      <c r="P788" s="10" t="n">
        <v>243.777315526619</v>
      </c>
      <c r="Q788" s="10" t="n">
        <v>1.5</v>
      </c>
      <c r="R788" s="12" t="n">
        <v>0.021</v>
      </c>
      <c r="S788" s="13" t="inlineStr">
        <is>
          <t>Success</t>
        </is>
      </c>
      <c r="T788" s="10" t="n">
        <v>0.3656659732899284</v>
      </c>
      <c r="U788" s="10" t="n">
        <v>0.7313319465798569</v>
      </c>
      <c r="V788" s="10" t="n">
        <v>2.925327786319428</v>
      </c>
    </row>
    <row r="789">
      <c r="I789" s="8" t="inlineStr">
        <is>
          <t>ACE-10783</t>
        </is>
      </c>
      <c r="J789" s="8" t="inlineStr">
        <is>
          <t>2026-05-12 14:48:40</t>
        </is>
      </c>
      <c r="K789" s="8" t="inlineStr">
        <is>
          <t>CUST-78219</t>
        </is>
      </c>
      <c r="L789" s="9" t="inlineStr">
        <is>
          <t>GBP-PKR</t>
        </is>
      </c>
      <c r="M789" s="8" t="inlineStr">
        <is>
          <t>GBP</t>
        </is>
      </c>
      <c r="N789" s="10" t="n">
        <v>289.3998767365968</v>
      </c>
      <c r="O789" s="11" t="n">
        <v>1</v>
      </c>
      <c r="P789" s="10" t="n">
        <v>289.3998767365968</v>
      </c>
      <c r="Q789" s="10" t="n">
        <v>1.5</v>
      </c>
      <c r="R789" s="12" t="n">
        <v>0.021</v>
      </c>
      <c r="S789" s="13" t="inlineStr">
        <is>
          <t>Success</t>
        </is>
      </c>
      <c r="T789" s="10" t="n">
        <v>0.4340998151048952</v>
      </c>
      <c r="U789" s="10" t="n">
        <v>0</v>
      </c>
      <c r="V789" s="10" t="n">
        <v>3.472798520839162</v>
      </c>
    </row>
    <row r="790">
      <c r="I790" s="8" t="inlineStr">
        <is>
          <t>ACE-10784</t>
        </is>
      </c>
      <c r="J790" s="8" t="inlineStr">
        <is>
          <t>2026-05-08 17:34:13</t>
        </is>
      </c>
      <c r="K790" s="8" t="inlineStr">
        <is>
          <t>CUST-74580</t>
        </is>
      </c>
      <c r="L790" s="9" t="inlineStr">
        <is>
          <t>GBP-PKR</t>
        </is>
      </c>
      <c r="M790" s="8" t="inlineStr">
        <is>
          <t>GBP</t>
        </is>
      </c>
      <c r="N790" s="10" t="n">
        <v>296.1446974742159</v>
      </c>
      <c r="O790" s="11" t="n">
        <v>1</v>
      </c>
      <c r="P790" s="10" t="n">
        <v>296.1446974742159</v>
      </c>
      <c r="Q790" s="10" t="n">
        <v>1.5</v>
      </c>
      <c r="R790" s="12" t="n">
        <v>0.021</v>
      </c>
      <c r="S790" s="13" t="inlineStr">
        <is>
          <t>Success</t>
        </is>
      </c>
      <c r="T790" s="10" t="n">
        <v>0.4442170462113239</v>
      </c>
      <c r="U790" s="10" t="n">
        <v>0.8884340924226477</v>
      </c>
      <c r="V790" s="10" t="n">
        <v>3.553736369690591</v>
      </c>
    </row>
    <row r="791">
      <c r="I791" s="8" t="inlineStr">
        <is>
          <t>ACE-10785</t>
        </is>
      </c>
      <c r="J791" s="8" t="inlineStr">
        <is>
          <t>2026-05-09 13:28:28</t>
        </is>
      </c>
      <c r="K791" s="8" t="inlineStr">
        <is>
          <t>CUST-76023</t>
        </is>
      </c>
      <c r="L791" s="9" t="inlineStr">
        <is>
          <t>GBP-PKR</t>
        </is>
      </c>
      <c r="M791" s="8" t="inlineStr">
        <is>
          <t>GBP</t>
        </is>
      </c>
      <c r="N791" s="10" t="n">
        <v>294.6442357236841</v>
      </c>
      <c r="O791" s="11" t="n">
        <v>1</v>
      </c>
      <c r="P791" s="10" t="n">
        <v>294.6442357236841</v>
      </c>
      <c r="Q791" s="10" t="n">
        <v>1.5</v>
      </c>
      <c r="R791" s="12" t="n">
        <v>0.021</v>
      </c>
      <c r="S791" s="13" t="inlineStr">
        <is>
          <t>Failed</t>
        </is>
      </c>
      <c r="T791" s="10" t="n">
        <v>0</v>
      </c>
      <c r="U791" s="10" t="n">
        <v>0</v>
      </c>
      <c r="V791" s="10" t="n">
        <v>0.5</v>
      </c>
    </row>
    <row r="792">
      <c r="I792" s="8" t="inlineStr">
        <is>
          <t>ACE-10786</t>
        </is>
      </c>
      <c r="J792" s="8" t="inlineStr">
        <is>
          <t>2026-05-02 12:38:01</t>
        </is>
      </c>
      <c r="K792" s="8" t="inlineStr">
        <is>
          <t>CUST-83922</t>
        </is>
      </c>
      <c r="L792" s="9" t="inlineStr">
        <is>
          <t>GBP-PKR</t>
        </is>
      </c>
      <c r="M792" s="8" t="inlineStr">
        <is>
          <t>GBP</t>
        </is>
      </c>
      <c r="N792" s="10" t="n">
        <v>310.4018274591965</v>
      </c>
      <c r="O792" s="11" t="n">
        <v>1</v>
      </c>
      <c r="P792" s="10" t="n">
        <v>310.4018274591965</v>
      </c>
      <c r="Q792" s="10" t="n">
        <v>1.5</v>
      </c>
      <c r="R792" s="12" t="n">
        <v>0.021</v>
      </c>
      <c r="S792" s="13" t="inlineStr">
        <is>
          <t>Success</t>
        </is>
      </c>
      <c r="T792" s="10" t="n">
        <v>0.4656027411887948</v>
      </c>
      <c r="U792" s="10" t="n">
        <v>0.9312054823775896</v>
      </c>
      <c r="V792" s="10" t="n">
        <v>3.724821929510358</v>
      </c>
    </row>
    <row r="793">
      <c r="I793" s="8" t="inlineStr">
        <is>
          <t>ACE-10787</t>
        </is>
      </c>
      <c r="J793" s="8" t="inlineStr">
        <is>
          <t>2026-05-01 12:14:13</t>
        </is>
      </c>
      <c r="K793" s="8" t="inlineStr">
        <is>
          <t>CUST-70637</t>
        </is>
      </c>
      <c r="L793" s="9" t="inlineStr">
        <is>
          <t>USD-PKR</t>
        </is>
      </c>
      <c r="M793" s="8" t="inlineStr">
        <is>
          <t>USD</t>
        </is>
      </c>
      <c r="N793" s="10" t="n">
        <v>237.9402904675434</v>
      </c>
      <c r="O793" s="11" t="n">
        <v>0.8</v>
      </c>
      <c r="P793" s="10" t="n">
        <v>190.3522323740347</v>
      </c>
      <c r="Q793" s="10" t="n">
        <v>1.6</v>
      </c>
      <c r="R793" s="12" t="n">
        <v>0.019</v>
      </c>
      <c r="S793" s="13" t="inlineStr">
        <is>
          <t>Success</t>
        </is>
      </c>
      <c r="T793" s="10" t="n">
        <v>0.2855283485610521</v>
      </c>
      <c r="U793" s="10" t="n">
        <v>0.5710566971221043</v>
      </c>
      <c r="V793" s="10" t="n">
        <v>2.284226788488417</v>
      </c>
    </row>
    <row r="794">
      <c r="I794" s="8" t="inlineStr">
        <is>
          <t>ACE-10788</t>
        </is>
      </c>
      <c r="J794" s="8" t="inlineStr">
        <is>
          <t>2026-05-23 12:58:35</t>
        </is>
      </c>
      <c r="K794" s="8" t="inlineStr">
        <is>
          <t>CUST-83506</t>
        </is>
      </c>
      <c r="L794" s="9" t="inlineStr">
        <is>
          <t>GBP-PKR</t>
        </is>
      </c>
      <c r="M794" s="8" t="inlineStr">
        <is>
          <t>GBP</t>
        </is>
      </c>
      <c r="N794" s="10" t="n">
        <v>291.6946719201733</v>
      </c>
      <c r="O794" s="11" t="n">
        <v>1</v>
      </c>
      <c r="P794" s="10" t="n">
        <v>291.6946719201733</v>
      </c>
      <c r="Q794" s="10" t="n">
        <v>1.5</v>
      </c>
      <c r="R794" s="12" t="n">
        <v>0.021</v>
      </c>
      <c r="S794" s="13" t="inlineStr">
        <is>
          <t>Success</t>
        </is>
      </c>
      <c r="T794" s="10" t="n">
        <v>0.43754200788026</v>
      </c>
      <c r="U794" s="10" t="n">
        <v>0.87508401576052</v>
      </c>
      <c r="V794" s="10" t="n">
        <v>3.50033606304208</v>
      </c>
    </row>
    <row r="795">
      <c r="I795" s="8" t="inlineStr">
        <is>
          <t>ACE-10789</t>
        </is>
      </c>
      <c r="J795" s="8" t="inlineStr">
        <is>
          <t>2026-05-05 09:02:29</t>
        </is>
      </c>
      <c r="K795" s="8" t="inlineStr">
        <is>
          <t>CUST-73308</t>
        </is>
      </c>
      <c r="L795" s="9" t="inlineStr">
        <is>
          <t>USD-PKR</t>
        </is>
      </c>
      <c r="M795" s="8" t="inlineStr">
        <is>
          <t>USD</t>
        </is>
      </c>
      <c r="N795" s="10" t="n">
        <v>217.3721746937653</v>
      </c>
      <c r="O795" s="11" t="n">
        <v>0.8</v>
      </c>
      <c r="P795" s="10" t="n">
        <v>173.8977397550123</v>
      </c>
      <c r="Q795" s="10" t="n">
        <v>1.6</v>
      </c>
      <c r="R795" s="12" t="n">
        <v>0.019</v>
      </c>
      <c r="S795" s="13" t="inlineStr">
        <is>
          <t>Success</t>
        </is>
      </c>
      <c r="T795" s="10" t="n">
        <v>0.2608466096325184</v>
      </c>
      <c r="U795" s="10" t="n">
        <v>0</v>
      </c>
      <c r="V795" s="10" t="n">
        <v>2.086772877060147</v>
      </c>
    </row>
    <row r="796">
      <c r="I796" s="8" t="inlineStr">
        <is>
          <t>ACE-10790</t>
        </is>
      </c>
      <c r="J796" s="8" t="inlineStr">
        <is>
          <t>2026-05-19 11:14:16</t>
        </is>
      </c>
      <c r="K796" s="8" t="inlineStr">
        <is>
          <t>CUST-69680</t>
        </is>
      </c>
      <c r="L796" s="9" t="inlineStr">
        <is>
          <t>EUR-PKR</t>
        </is>
      </c>
      <c r="M796" s="8" t="inlineStr">
        <is>
          <t>EUR</t>
        </is>
      </c>
      <c r="N796" s="10" t="n">
        <v>160.1207116844661</v>
      </c>
      <c r="O796" s="11" t="n">
        <v>0.85</v>
      </c>
      <c r="P796" s="10" t="n">
        <v>136.1026049317962</v>
      </c>
      <c r="Q796" s="10" t="n">
        <v>1.275</v>
      </c>
      <c r="R796" s="12" t="n">
        <v>0.023</v>
      </c>
      <c r="S796" s="13" t="inlineStr">
        <is>
          <t>Success</t>
        </is>
      </c>
      <c r="T796" s="10" t="n">
        <v>0.2041539073976942</v>
      </c>
      <c r="U796" s="10" t="n">
        <v>0</v>
      </c>
      <c r="V796" s="10" t="n">
        <v>2.041539073976942</v>
      </c>
    </row>
    <row r="797">
      <c r="I797" s="8" t="inlineStr">
        <is>
          <t>ACE-10791</t>
        </is>
      </c>
      <c r="J797" s="8" t="inlineStr">
        <is>
          <t>2026-05-07 19:04:46</t>
        </is>
      </c>
      <c r="K797" s="8" t="inlineStr">
        <is>
          <t>CUST-71279</t>
        </is>
      </c>
      <c r="L797" s="9" t="inlineStr">
        <is>
          <t>USD-PKR</t>
        </is>
      </c>
      <c r="M797" s="8" t="inlineStr">
        <is>
          <t>USD</t>
        </is>
      </c>
      <c r="N797" s="10" t="n">
        <v>228.5121469101655</v>
      </c>
      <c r="O797" s="11" t="n">
        <v>0.8</v>
      </c>
      <c r="P797" s="10" t="n">
        <v>182.8097175281324</v>
      </c>
      <c r="Q797" s="10" t="n">
        <v>1.6</v>
      </c>
      <c r="R797" s="12" t="n">
        <v>0.019</v>
      </c>
      <c r="S797" s="13" t="inlineStr">
        <is>
          <t>Success</t>
        </is>
      </c>
      <c r="T797" s="10" t="n">
        <v>0.2742145762921986</v>
      </c>
      <c r="U797" s="10" t="n">
        <v>0</v>
      </c>
      <c r="V797" s="10" t="n">
        <v>2.193716610337589</v>
      </c>
    </row>
    <row r="798">
      <c r="I798" s="8" t="inlineStr">
        <is>
          <t>ACE-10792</t>
        </is>
      </c>
      <c r="J798" s="8" t="inlineStr">
        <is>
          <t>2026-05-23 19:36:52</t>
        </is>
      </c>
      <c r="K798" s="8" t="inlineStr">
        <is>
          <t>CUST-56249</t>
        </is>
      </c>
      <c r="L798" s="9" t="inlineStr">
        <is>
          <t>USD-PKR</t>
        </is>
      </c>
      <c r="M798" s="8" t="inlineStr">
        <is>
          <t>USD</t>
        </is>
      </c>
      <c r="N798" s="10" t="n">
        <v>223.4966254023402</v>
      </c>
      <c r="O798" s="11" t="n">
        <v>0.8</v>
      </c>
      <c r="P798" s="10" t="n">
        <v>178.7973003218722</v>
      </c>
      <c r="Q798" s="10" t="n">
        <v>1.6</v>
      </c>
      <c r="R798" s="12" t="n">
        <v>0.019</v>
      </c>
      <c r="S798" s="13" t="inlineStr">
        <is>
          <t>Success</t>
        </is>
      </c>
      <c r="T798" s="10" t="n">
        <v>0.2681959504828083</v>
      </c>
      <c r="U798" s="10" t="n">
        <v>0</v>
      </c>
      <c r="V798" s="10" t="n">
        <v>2.145567603862466</v>
      </c>
    </row>
    <row r="799">
      <c r="I799" s="8" t="inlineStr">
        <is>
          <t>ACE-10793</t>
        </is>
      </c>
      <c r="J799" s="8" t="inlineStr">
        <is>
          <t>2026-05-24 20:36:24</t>
        </is>
      </c>
      <c r="K799" s="8" t="inlineStr">
        <is>
          <t>CUST-55143</t>
        </is>
      </c>
      <c r="L799" s="9" t="inlineStr">
        <is>
          <t>EUR-PKR</t>
        </is>
      </c>
      <c r="M799" s="8" t="inlineStr">
        <is>
          <t>EUR</t>
        </is>
      </c>
      <c r="N799" s="10" t="n">
        <v>194.2569866439601</v>
      </c>
      <c r="O799" s="11" t="n">
        <v>0.85</v>
      </c>
      <c r="P799" s="10" t="n">
        <v>165.1184386473661</v>
      </c>
      <c r="Q799" s="10" t="n">
        <v>1.275</v>
      </c>
      <c r="R799" s="12" t="n">
        <v>0.023</v>
      </c>
      <c r="S799" s="13" t="inlineStr">
        <is>
          <t>Success</t>
        </is>
      </c>
      <c r="T799" s="10" t="n">
        <v>0.2476776579710492</v>
      </c>
      <c r="U799" s="10" t="n">
        <v>0.4953553159420983</v>
      </c>
      <c r="V799" s="10" t="n">
        <v>2.476776579710492</v>
      </c>
    </row>
    <row r="800">
      <c r="I800" s="8" t="inlineStr">
        <is>
          <t>ACE-10794</t>
        </is>
      </c>
      <c r="J800" s="8" t="inlineStr">
        <is>
          <t>2026-05-11 13:56:52</t>
        </is>
      </c>
      <c r="K800" s="8" t="inlineStr">
        <is>
          <t>CUST-78462</t>
        </is>
      </c>
      <c r="L800" s="9" t="inlineStr">
        <is>
          <t>GBP-PKR</t>
        </is>
      </c>
      <c r="M800" s="8" t="inlineStr">
        <is>
          <t>GBP</t>
        </is>
      </c>
      <c r="N800" s="10" t="n">
        <v>245.2099409834797</v>
      </c>
      <c r="O800" s="11" t="n">
        <v>1</v>
      </c>
      <c r="P800" s="10" t="n">
        <v>245.2099409834797</v>
      </c>
      <c r="Q800" s="10" t="n">
        <v>1.5</v>
      </c>
      <c r="R800" s="12" t="n">
        <v>0.021</v>
      </c>
      <c r="S800" s="13" t="inlineStr">
        <is>
          <t>Success</t>
        </is>
      </c>
      <c r="T800" s="10" t="n">
        <v>0.3678149114752195</v>
      </c>
      <c r="U800" s="10" t="n">
        <v>0.735629822950439</v>
      </c>
      <c r="V800" s="10" t="n">
        <v>2.942519291801756</v>
      </c>
    </row>
    <row r="801">
      <c r="I801" s="8" t="inlineStr">
        <is>
          <t>ACE-10795</t>
        </is>
      </c>
      <c r="J801" s="8" t="inlineStr">
        <is>
          <t>2026-05-08 19:41:54</t>
        </is>
      </c>
      <c r="K801" s="8" t="inlineStr">
        <is>
          <t>CUST-89472</t>
        </is>
      </c>
      <c r="L801" s="9" t="inlineStr">
        <is>
          <t>GBP-PKR</t>
        </is>
      </c>
      <c r="M801" s="8" t="inlineStr">
        <is>
          <t>GBP</t>
        </is>
      </c>
      <c r="N801" s="10" t="n">
        <v>250.0557640348747</v>
      </c>
      <c r="O801" s="11" t="n">
        <v>1</v>
      </c>
      <c r="P801" s="10" t="n">
        <v>250.0557640348747</v>
      </c>
      <c r="Q801" s="10" t="n">
        <v>1.5</v>
      </c>
      <c r="R801" s="12" t="n">
        <v>0.021</v>
      </c>
      <c r="S801" s="13" t="inlineStr">
        <is>
          <t>Success</t>
        </is>
      </c>
      <c r="T801" s="10" t="n">
        <v>0.3750836460523121</v>
      </c>
      <c r="U801" s="10" t="n">
        <v>0.7501672921046242</v>
      </c>
      <c r="V801" s="10" t="n">
        <v>3.000669168418497</v>
      </c>
    </row>
    <row r="802">
      <c r="I802" s="8" t="inlineStr">
        <is>
          <t>ACE-10796</t>
        </is>
      </c>
      <c r="J802" s="8" t="inlineStr">
        <is>
          <t>2026-05-21 14:03:19</t>
        </is>
      </c>
      <c r="K802" s="8" t="inlineStr">
        <is>
          <t>CUST-84365</t>
        </is>
      </c>
      <c r="L802" s="9" t="inlineStr">
        <is>
          <t>GBP-PKR</t>
        </is>
      </c>
      <c r="M802" s="8" t="inlineStr">
        <is>
          <t>GBP</t>
        </is>
      </c>
      <c r="N802" s="10" t="n">
        <v>309.5454368138549</v>
      </c>
      <c r="O802" s="11" t="n">
        <v>1</v>
      </c>
      <c r="P802" s="10" t="n">
        <v>309.5454368138549</v>
      </c>
      <c r="Q802" s="10" t="n">
        <v>1.5</v>
      </c>
      <c r="R802" s="12" t="n">
        <v>0.021</v>
      </c>
      <c r="S802" s="13" t="inlineStr">
        <is>
          <t>Success</t>
        </is>
      </c>
      <c r="T802" s="10" t="n">
        <v>0.4643181552207823</v>
      </c>
      <c r="U802" s="10" t="n">
        <v>0</v>
      </c>
      <c r="V802" s="10" t="n">
        <v>3.714545241766259</v>
      </c>
    </row>
    <row r="803">
      <c r="I803" s="8" t="inlineStr">
        <is>
          <t>ACE-10797</t>
        </is>
      </c>
      <c r="J803" s="8" t="inlineStr">
        <is>
          <t>2026-05-05 13:32:44</t>
        </is>
      </c>
      <c r="K803" s="8" t="inlineStr">
        <is>
          <t>CUST-64470</t>
        </is>
      </c>
      <c r="L803" s="9" t="inlineStr">
        <is>
          <t>GBP-PKR</t>
        </is>
      </c>
      <c r="M803" s="8" t="inlineStr">
        <is>
          <t>GBP</t>
        </is>
      </c>
      <c r="N803" s="10" t="n">
        <v>277.5036504247037</v>
      </c>
      <c r="O803" s="11" t="n">
        <v>1</v>
      </c>
      <c r="P803" s="10" t="n">
        <v>277.5036504247037</v>
      </c>
      <c r="Q803" s="10" t="n">
        <v>1.5</v>
      </c>
      <c r="R803" s="12" t="n">
        <v>0.021</v>
      </c>
      <c r="S803" s="13" t="inlineStr">
        <is>
          <t>Success</t>
        </is>
      </c>
      <c r="T803" s="10" t="n">
        <v>0.4162554756370556</v>
      </c>
      <c r="U803" s="10" t="n">
        <v>0.8325109512741112</v>
      </c>
      <c r="V803" s="10" t="n">
        <v>3.330043805096445</v>
      </c>
    </row>
    <row r="804">
      <c r="I804" s="8" t="inlineStr">
        <is>
          <t>ACE-10798</t>
        </is>
      </c>
      <c r="J804" s="8" t="inlineStr">
        <is>
          <t>2026-05-13 15:48:38</t>
        </is>
      </c>
      <c r="K804" s="8" t="inlineStr">
        <is>
          <t>CUST-87699</t>
        </is>
      </c>
      <c r="L804" s="9" t="inlineStr">
        <is>
          <t>GBP-PKR</t>
        </is>
      </c>
      <c r="M804" s="8" t="inlineStr">
        <is>
          <t>GBP</t>
        </is>
      </c>
      <c r="N804" s="10" t="n">
        <v>298.2522702663115</v>
      </c>
      <c r="O804" s="11" t="n">
        <v>1</v>
      </c>
      <c r="P804" s="10" t="n">
        <v>298.2522702663115</v>
      </c>
      <c r="Q804" s="10" t="n">
        <v>1.5</v>
      </c>
      <c r="R804" s="12" t="n">
        <v>0.021</v>
      </c>
      <c r="S804" s="13" t="inlineStr">
        <is>
          <t>Success</t>
        </is>
      </c>
      <c r="T804" s="10" t="n">
        <v>0.4473784053994673</v>
      </c>
      <c r="U804" s="10" t="n">
        <v>0</v>
      </c>
      <c r="V804" s="10" t="n">
        <v>3.579027243195739</v>
      </c>
    </row>
    <row r="805">
      <c r="I805" s="8" t="inlineStr">
        <is>
          <t>ACE-10799</t>
        </is>
      </c>
      <c r="J805" s="8" t="inlineStr">
        <is>
          <t>2026-05-10 20:25:09</t>
        </is>
      </c>
      <c r="K805" s="8" t="inlineStr">
        <is>
          <t>CUST-58663</t>
        </is>
      </c>
      <c r="L805" s="9" t="inlineStr">
        <is>
          <t>USD-PKR</t>
        </is>
      </c>
      <c r="M805" s="8" t="inlineStr">
        <is>
          <t>USD</t>
        </is>
      </c>
      <c r="N805" s="10" t="n">
        <v>219.5235210034473</v>
      </c>
      <c r="O805" s="11" t="n">
        <v>0.8</v>
      </c>
      <c r="P805" s="10" t="n">
        <v>175.6188168027578</v>
      </c>
      <c r="Q805" s="10" t="n">
        <v>1.6</v>
      </c>
      <c r="R805" s="12" t="n">
        <v>0.019</v>
      </c>
      <c r="S805" s="13" t="inlineStr">
        <is>
          <t>Success</t>
        </is>
      </c>
      <c r="T805" s="10" t="n">
        <v>0.2634282252041368</v>
      </c>
      <c r="U805" s="10" t="n">
        <v>0</v>
      </c>
      <c r="V805" s="10" t="n">
        <v>2.107425801633094</v>
      </c>
    </row>
    <row r="806">
      <c r="I806" s="8" t="inlineStr">
        <is>
          <t>ACE-10800</t>
        </is>
      </c>
      <c r="J806" s="8" t="inlineStr">
        <is>
          <t>2026-05-24 08:35:25</t>
        </is>
      </c>
      <c r="K806" s="8" t="inlineStr">
        <is>
          <t>CUST-67206</t>
        </is>
      </c>
      <c r="L806" s="9" t="inlineStr">
        <is>
          <t>GBP-PKR</t>
        </is>
      </c>
      <c r="M806" s="8" t="inlineStr">
        <is>
          <t>GBP</t>
        </is>
      </c>
      <c r="N806" s="10" t="n">
        <v>279.4337452583634</v>
      </c>
      <c r="O806" s="11" t="n">
        <v>1</v>
      </c>
      <c r="P806" s="10" t="n">
        <v>279.4337452583634</v>
      </c>
      <c r="Q806" s="10" t="n">
        <v>1.5</v>
      </c>
      <c r="R806" s="12" t="n">
        <v>0.021</v>
      </c>
      <c r="S806" s="13" t="inlineStr">
        <is>
          <t>Success</t>
        </is>
      </c>
      <c r="T806" s="10" t="n">
        <v>0.4191506178875452</v>
      </c>
      <c r="U806" s="10" t="n">
        <v>0</v>
      </c>
      <c r="V806" s="10" t="n">
        <v>3.353204943100361</v>
      </c>
    </row>
    <row r="807">
      <c r="I807" s="8" t="inlineStr">
        <is>
          <t>ACE-10801</t>
        </is>
      </c>
      <c r="J807" s="8" t="inlineStr">
        <is>
          <t>2026-05-23 10:48:08</t>
        </is>
      </c>
      <c r="K807" s="8" t="inlineStr">
        <is>
          <t>CUST-81517</t>
        </is>
      </c>
      <c r="L807" s="9" t="inlineStr">
        <is>
          <t>EUR-PKR</t>
        </is>
      </c>
      <c r="M807" s="8" t="inlineStr">
        <is>
          <t>EUR</t>
        </is>
      </c>
      <c r="N807" s="10" t="n">
        <v>207.6496849290159</v>
      </c>
      <c r="O807" s="11" t="n">
        <v>0.85</v>
      </c>
      <c r="P807" s="10" t="n">
        <v>176.5022321896635</v>
      </c>
      <c r="Q807" s="10" t="n">
        <v>1.275</v>
      </c>
      <c r="R807" s="12" t="n">
        <v>0.023</v>
      </c>
      <c r="S807" s="13" t="inlineStr">
        <is>
          <t>Success</t>
        </is>
      </c>
      <c r="T807" s="10" t="n">
        <v>0.2647533482844953</v>
      </c>
      <c r="U807" s="10" t="n">
        <v>0</v>
      </c>
      <c r="V807" s="10" t="n">
        <v>2.647533482844952</v>
      </c>
    </row>
    <row r="808">
      <c r="I808" s="8" t="inlineStr">
        <is>
          <t>ACE-10802</t>
        </is>
      </c>
      <c r="J808" s="8" t="inlineStr">
        <is>
          <t>2026-05-21 17:12:35</t>
        </is>
      </c>
      <c r="K808" s="8" t="inlineStr">
        <is>
          <t>CUST-90369</t>
        </is>
      </c>
      <c r="L808" s="9" t="inlineStr">
        <is>
          <t>USD-PKR</t>
        </is>
      </c>
      <c r="M808" s="8" t="inlineStr">
        <is>
          <t>USD</t>
        </is>
      </c>
      <c r="N808" s="10" t="n">
        <v>207.8929062958221</v>
      </c>
      <c r="O808" s="11" t="n">
        <v>0.8</v>
      </c>
      <c r="P808" s="10" t="n">
        <v>166.3143250366577</v>
      </c>
      <c r="Q808" s="10" t="n">
        <v>1.6</v>
      </c>
      <c r="R808" s="12" t="n">
        <v>0.019</v>
      </c>
      <c r="S808" s="13" t="inlineStr">
        <is>
          <t>Success</t>
        </is>
      </c>
      <c r="T808" s="10" t="n">
        <v>0.2494714875549865</v>
      </c>
      <c r="U808" s="10" t="n">
        <v>0</v>
      </c>
      <c r="V808" s="10" t="n">
        <v>1.995771900439892</v>
      </c>
    </row>
    <row r="809">
      <c r="I809" s="8" t="inlineStr">
        <is>
          <t>ACE-10803</t>
        </is>
      </c>
      <c r="J809" s="8" t="inlineStr">
        <is>
          <t>2026-05-08 09:17:49</t>
        </is>
      </c>
      <c r="K809" s="8" t="inlineStr">
        <is>
          <t>CUST-78184</t>
        </is>
      </c>
      <c r="L809" s="9" t="inlineStr">
        <is>
          <t>USD-PKR</t>
        </is>
      </c>
      <c r="M809" s="8" t="inlineStr">
        <is>
          <t>USD</t>
        </is>
      </c>
      <c r="N809" s="10" t="n">
        <v>221.0170005326979</v>
      </c>
      <c r="O809" s="11" t="n">
        <v>0.8</v>
      </c>
      <c r="P809" s="10" t="n">
        <v>176.8136004261583</v>
      </c>
      <c r="Q809" s="10" t="n">
        <v>1.6</v>
      </c>
      <c r="R809" s="12" t="n">
        <v>0.019</v>
      </c>
      <c r="S809" s="13" t="inlineStr">
        <is>
          <t>Success</t>
        </is>
      </c>
      <c r="T809" s="10" t="n">
        <v>0.2652204006392375</v>
      </c>
      <c r="U809" s="10" t="n">
        <v>0.530440801278475</v>
      </c>
      <c r="V809" s="10" t="n">
        <v>2.1217632051139</v>
      </c>
    </row>
    <row r="810">
      <c r="I810" s="8" t="inlineStr">
        <is>
          <t>ACE-10804</t>
        </is>
      </c>
      <c r="J810" s="8" t="inlineStr">
        <is>
          <t>2026-05-03 09:42:26</t>
        </is>
      </c>
      <c r="K810" s="8" t="inlineStr">
        <is>
          <t>CUST-77757</t>
        </is>
      </c>
      <c r="L810" s="9" t="inlineStr">
        <is>
          <t>GBP-PKR</t>
        </is>
      </c>
      <c r="M810" s="8" t="inlineStr">
        <is>
          <t>GBP</t>
        </is>
      </c>
      <c r="N810" s="10" t="n">
        <v>266.0174942027857</v>
      </c>
      <c r="O810" s="11" t="n">
        <v>1</v>
      </c>
      <c r="P810" s="10" t="n">
        <v>266.0174942027857</v>
      </c>
      <c r="Q810" s="10" t="n">
        <v>1.5</v>
      </c>
      <c r="R810" s="12" t="n">
        <v>0.021</v>
      </c>
      <c r="S810" s="13" t="inlineStr">
        <is>
          <t>Success</t>
        </is>
      </c>
      <c r="T810" s="10" t="n">
        <v>0.3990262413041786</v>
      </c>
      <c r="U810" s="10" t="n">
        <v>0</v>
      </c>
      <c r="V810" s="10" t="n">
        <v>3.192209930433429</v>
      </c>
    </row>
    <row r="811">
      <c r="I811" s="8" t="inlineStr">
        <is>
          <t>ACE-10805</t>
        </is>
      </c>
      <c r="J811" s="8" t="inlineStr">
        <is>
          <t>2026-05-12 17:41:01</t>
        </is>
      </c>
      <c r="K811" s="8" t="inlineStr">
        <is>
          <t>CUST-69976</t>
        </is>
      </c>
      <c r="L811" s="9" t="inlineStr">
        <is>
          <t>EUR-PKR</t>
        </is>
      </c>
      <c r="M811" s="8" t="inlineStr">
        <is>
          <t>EUR</t>
        </is>
      </c>
      <c r="N811" s="10" t="n">
        <v>181.0140132278407</v>
      </c>
      <c r="O811" s="11" t="n">
        <v>0.85</v>
      </c>
      <c r="P811" s="10" t="n">
        <v>153.8619112436646</v>
      </c>
      <c r="Q811" s="10" t="n">
        <v>1.275</v>
      </c>
      <c r="R811" s="12" t="n">
        <v>0.023</v>
      </c>
      <c r="S811" s="13" t="inlineStr">
        <is>
          <t>Success</t>
        </is>
      </c>
      <c r="T811" s="10" t="n">
        <v>0.2307928668654969</v>
      </c>
      <c r="U811" s="10" t="n">
        <v>0</v>
      </c>
      <c r="V811" s="10" t="n">
        <v>2.307928668654968</v>
      </c>
    </row>
    <row r="812">
      <c r="I812" s="8" t="inlineStr">
        <is>
          <t>ACE-10806</t>
        </is>
      </c>
      <c r="J812" s="8" t="inlineStr">
        <is>
          <t>2026-05-15 17:09:28</t>
        </is>
      </c>
      <c r="K812" s="8" t="inlineStr">
        <is>
          <t>CUST-52941</t>
        </is>
      </c>
      <c r="L812" s="9" t="inlineStr">
        <is>
          <t>GBP-PKR</t>
        </is>
      </c>
      <c r="M812" s="8" t="inlineStr">
        <is>
          <t>GBP</t>
        </is>
      </c>
      <c r="N812" s="10" t="n">
        <v>270.1216439865875</v>
      </c>
      <c r="O812" s="11" t="n">
        <v>1</v>
      </c>
      <c r="P812" s="10" t="n">
        <v>270.1216439865875</v>
      </c>
      <c r="Q812" s="10" t="n">
        <v>1.5</v>
      </c>
      <c r="R812" s="12" t="n">
        <v>0.021</v>
      </c>
      <c r="S812" s="13" t="inlineStr">
        <is>
          <t>Success</t>
        </is>
      </c>
      <c r="T812" s="10" t="n">
        <v>0.4051824659798813</v>
      </c>
      <c r="U812" s="10" t="n">
        <v>0</v>
      </c>
      <c r="V812" s="10" t="n">
        <v>3.24145972783905</v>
      </c>
    </row>
    <row r="813">
      <c r="I813" s="8" t="inlineStr">
        <is>
          <t>ACE-10807</t>
        </is>
      </c>
      <c r="J813" s="8" t="inlineStr">
        <is>
          <t>2026-05-22 13:09:48</t>
        </is>
      </c>
      <c r="K813" s="8" t="inlineStr">
        <is>
          <t>CUST-97742</t>
        </is>
      </c>
      <c r="L813" s="9" t="inlineStr">
        <is>
          <t>GBP-PKR</t>
        </is>
      </c>
      <c r="M813" s="8" t="inlineStr">
        <is>
          <t>GBP</t>
        </is>
      </c>
      <c r="N813" s="10" t="n">
        <v>284.8614666984017</v>
      </c>
      <c r="O813" s="11" t="n">
        <v>1</v>
      </c>
      <c r="P813" s="10" t="n">
        <v>284.8614666984017</v>
      </c>
      <c r="Q813" s="10" t="n">
        <v>1.5</v>
      </c>
      <c r="R813" s="12" t="n">
        <v>0.021</v>
      </c>
      <c r="S813" s="13" t="inlineStr">
        <is>
          <t>Success</t>
        </is>
      </c>
      <c r="T813" s="10" t="n">
        <v>0.4272922000476026</v>
      </c>
      <c r="U813" s="10" t="n">
        <v>0</v>
      </c>
      <c r="V813" s="10" t="n">
        <v>3.418337600380821</v>
      </c>
    </row>
    <row r="814">
      <c r="I814" s="8" t="inlineStr">
        <is>
          <t>ACE-10808</t>
        </is>
      </c>
      <c r="J814" s="8" t="inlineStr">
        <is>
          <t>2026-05-02 11:39:59</t>
        </is>
      </c>
      <c r="K814" s="8" t="inlineStr">
        <is>
          <t>CUST-59678</t>
        </is>
      </c>
      <c r="L814" s="9" t="inlineStr">
        <is>
          <t>EUR-PKR</t>
        </is>
      </c>
      <c r="M814" s="8" t="inlineStr">
        <is>
          <t>EUR</t>
        </is>
      </c>
      <c r="N814" s="10" t="n">
        <v>180.2147526443993</v>
      </c>
      <c r="O814" s="11" t="n">
        <v>0.85</v>
      </c>
      <c r="P814" s="10" t="n">
        <v>153.1825397477394</v>
      </c>
      <c r="Q814" s="10" t="n">
        <v>1.275</v>
      </c>
      <c r="R814" s="12" t="n">
        <v>0.023</v>
      </c>
      <c r="S814" s="13" t="inlineStr">
        <is>
          <t>Success</t>
        </is>
      </c>
      <c r="T814" s="10" t="n">
        <v>0.2297738096216091</v>
      </c>
      <c r="U814" s="10" t="n">
        <v>0.4595476192432182</v>
      </c>
      <c r="V814" s="10" t="n">
        <v>2.29773809621609</v>
      </c>
    </row>
    <row r="815">
      <c r="I815" s="8" t="inlineStr">
        <is>
          <t>ACE-10809</t>
        </is>
      </c>
      <c r="J815" s="8" t="inlineStr">
        <is>
          <t>2026-05-01 13:44:51</t>
        </is>
      </c>
      <c r="K815" s="8" t="inlineStr">
        <is>
          <t>CUST-57292</t>
        </is>
      </c>
      <c r="L815" s="9" t="inlineStr">
        <is>
          <t>EUR-PKR</t>
        </is>
      </c>
      <c r="M815" s="8" t="inlineStr">
        <is>
          <t>EUR</t>
        </is>
      </c>
      <c r="N815" s="10" t="n">
        <v>214.347747552125</v>
      </c>
      <c r="O815" s="11" t="n">
        <v>0.85</v>
      </c>
      <c r="P815" s="10" t="n">
        <v>182.1955854193062</v>
      </c>
      <c r="Q815" s="10" t="n">
        <v>1.275</v>
      </c>
      <c r="R815" s="12" t="n">
        <v>0.023</v>
      </c>
      <c r="S815" s="13" t="inlineStr">
        <is>
          <t>Success</t>
        </is>
      </c>
      <c r="T815" s="10" t="n">
        <v>0.2732933781289593</v>
      </c>
      <c r="U815" s="10" t="n">
        <v>0</v>
      </c>
      <c r="V815" s="10" t="n">
        <v>2.732933781289593</v>
      </c>
    </row>
    <row r="816">
      <c r="I816" s="8" t="inlineStr">
        <is>
          <t>ACE-10810</t>
        </is>
      </c>
      <c r="J816" s="8" t="inlineStr">
        <is>
          <t>2026-05-11 11:47:34</t>
        </is>
      </c>
      <c r="K816" s="8" t="inlineStr">
        <is>
          <t>CUST-63885</t>
        </is>
      </c>
      <c r="L816" s="9" t="inlineStr">
        <is>
          <t>EUR-PKR</t>
        </is>
      </c>
      <c r="M816" s="8" t="inlineStr">
        <is>
          <t>EUR</t>
        </is>
      </c>
      <c r="N816" s="10" t="n">
        <v>172.8740581715465</v>
      </c>
      <c r="O816" s="11" t="n">
        <v>0.85</v>
      </c>
      <c r="P816" s="10" t="n">
        <v>146.9429494458145</v>
      </c>
      <c r="Q816" s="10" t="n">
        <v>1.275</v>
      </c>
      <c r="R816" s="12" t="n">
        <v>0.023</v>
      </c>
      <c r="S816" s="13" t="inlineStr">
        <is>
          <t>Success</t>
        </is>
      </c>
      <c r="T816" s="10" t="n">
        <v>0.2204144241687218</v>
      </c>
      <c r="U816" s="10" t="n">
        <v>0</v>
      </c>
      <c r="V816" s="10" t="n">
        <v>2.204144241687218</v>
      </c>
    </row>
    <row r="817">
      <c r="I817" s="8" t="inlineStr">
        <is>
          <t>ACE-10811</t>
        </is>
      </c>
      <c r="J817" s="8" t="inlineStr">
        <is>
          <t>2026-05-09 16:30:39</t>
        </is>
      </c>
      <c r="K817" s="8" t="inlineStr">
        <is>
          <t>CUST-97836</t>
        </is>
      </c>
      <c r="L817" s="9" t="inlineStr">
        <is>
          <t>GBP-PKR</t>
        </is>
      </c>
      <c r="M817" s="8" t="inlineStr">
        <is>
          <t>GBP</t>
        </is>
      </c>
      <c r="N817" s="10" t="n">
        <v>273.4455288447569</v>
      </c>
      <c r="O817" s="11" t="n">
        <v>1</v>
      </c>
      <c r="P817" s="10" t="n">
        <v>273.4455288447569</v>
      </c>
      <c r="Q817" s="10" t="n">
        <v>1.5</v>
      </c>
      <c r="R817" s="12" t="n">
        <v>0.021</v>
      </c>
      <c r="S817" s="13" t="inlineStr">
        <is>
          <t>Success</t>
        </is>
      </c>
      <c r="T817" s="10" t="n">
        <v>0.4101682932671353</v>
      </c>
      <c r="U817" s="10" t="n">
        <v>0.8203365865342707</v>
      </c>
      <c r="V817" s="10" t="n">
        <v>3.281346346137083</v>
      </c>
    </row>
    <row r="818">
      <c r="I818" s="8" t="inlineStr">
        <is>
          <t>ACE-10812</t>
        </is>
      </c>
      <c r="J818" s="8" t="inlineStr">
        <is>
          <t>2026-05-22 08:24:37</t>
        </is>
      </c>
      <c r="K818" s="8" t="inlineStr">
        <is>
          <t>CUST-93484</t>
        </is>
      </c>
      <c r="L818" s="9" t="inlineStr">
        <is>
          <t>USD-PKR</t>
        </is>
      </c>
      <c r="M818" s="8" t="inlineStr">
        <is>
          <t>USD</t>
        </is>
      </c>
      <c r="N818" s="10" t="n">
        <v>209.485482396629</v>
      </c>
      <c r="O818" s="11" t="n">
        <v>0.8</v>
      </c>
      <c r="P818" s="10" t="n">
        <v>167.5883859173032</v>
      </c>
      <c r="Q818" s="10" t="n">
        <v>1.6</v>
      </c>
      <c r="R818" s="12" t="n">
        <v>0.019</v>
      </c>
      <c r="S818" s="13" t="inlineStr">
        <is>
          <t>Success</t>
        </is>
      </c>
      <c r="T818" s="10" t="n">
        <v>0.2513825788759548</v>
      </c>
      <c r="U818" s="10" t="n">
        <v>0</v>
      </c>
      <c r="V818" s="10" t="n">
        <v>2.011060631007638</v>
      </c>
    </row>
    <row r="819">
      <c r="I819" s="8" t="inlineStr">
        <is>
          <t>ACE-10813</t>
        </is>
      </c>
      <c r="J819" s="8" t="inlineStr">
        <is>
          <t>2026-05-02 12:12:50</t>
        </is>
      </c>
      <c r="K819" s="8" t="inlineStr">
        <is>
          <t>CUST-95647</t>
        </is>
      </c>
      <c r="L819" s="9" t="inlineStr">
        <is>
          <t>USD-PKR</t>
        </is>
      </c>
      <c r="M819" s="8" t="inlineStr">
        <is>
          <t>USD</t>
        </is>
      </c>
      <c r="N819" s="10" t="n">
        <v>252.9837695738628</v>
      </c>
      <c r="O819" s="11" t="n">
        <v>0.8</v>
      </c>
      <c r="P819" s="10" t="n">
        <v>202.3870156590902</v>
      </c>
      <c r="Q819" s="10" t="n">
        <v>1.6</v>
      </c>
      <c r="R819" s="12" t="n">
        <v>0.019</v>
      </c>
      <c r="S819" s="13" t="inlineStr">
        <is>
          <t>Success</t>
        </is>
      </c>
      <c r="T819" s="10" t="n">
        <v>0.3035805234886353</v>
      </c>
      <c r="U819" s="10" t="n">
        <v>0</v>
      </c>
      <c r="V819" s="10" t="n">
        <v>2.428644187909083</v>
      </c>
    </row>
    <row r="820">
      <c r="I820" s="8" t="inlineStr">
        <is>
          <t>ACE-10814</t>
        </is>
      </c>
      <c r="J820" s="8" t="inlineStr">
        <is>
          <t>2026-05-21 08:04:24</t>
        </is>
      </c>
      <c r="K820" s="8" t="inlineStr">
        <is>
          <t>CUST-93278</t>
        </is>
      </c>
      <c r="L820" s="9" t="inlineStr">
        <is>
          <t>USD-PKR</t>
        </is>
      </c>
      <c r="M820" s="8" t="inlineStr">
        <is>
          <t>USD</t>
        </is>
      </c>
      <c r="N820" s="10" t="n">
        <v>223.247947057562</v>
      </c>
      <c r="O820" s="11" t="n">
        <v>0.8</v>
      </c>
      <c r="P820" s="10" t="n">
        <v>178.5983576460496</v>
      </c>
      <c r="Q820" s="10" t="n">
        <v>1.6</v>
      </c>
      <c r="R820" s="12" t="n">
        <v>0.019</v>
      </c>
      <c r="S820" s="13" t="inlineStr">
        <is>
          <t>Success</t>
        </is>
      </c>
      <c r="T820" s="10" t="n">
        <v>0.2678975364690744</v>
      </c>
      <c r="U820" s="10" t="n">
        <v>0.5357950729381489</v>
      </c>
      <c r="V820" s="10" t="n">
        <v>2.143180291752596</v>
      </c>
    </row>
    <row r="821">
      <c r="I821" s="8" t="inlineStr">
        <is>
          <t>ACE-10815</t>
        </is>
      </c>
      <c r="J821" s="8" t="inlineStr">
        <is>
          <t>2026-05-22 13:55:06</t>
        </is>
      </c>
      <c r="K821" s="8" t="inlineStr">
        <is>
          <t>CUST-51250</t>
        </is>
      </c>
      <c r="L821" s="9" t="inlineStr">
        <is>
          <t>EUR-PKR</t>
        </is>
      </c>
      <c r="M821" s="8" t="inlineStr">
        <is>
          <t>EUR</t>
        </is>
      </c>
      <c r="N821" s="10" t="n">
        <v>209.6015874452444</v>
      </c>
      <c r="O821" s="11" t="n">
        <v>0.85</v>
      </c>
      <c r="P821" s="10" t="n">
        <v>178.1613493284578</v>
      </c>
      <c r="Q821" s="10" t="n">
        <v>1.275</v>
      </c>
      <c r="R821" s="12" t="n">
        <v>0.023</v>
      </c>
      <c r="S821" s="13" t="inlineStr">
        <is>
          <t>Success</t>
        </is>
      </c>
      <c r="T821" s="10" t="n">
        <v>0.2672420239926867</v>
      </c>
      <c r="U821" s="10" t="n">
        <v>0.5344840479853733</v>
      </c>
      <c r="V821" s="10" t="n">
        <v>2.672420239926866</v>
      </c>
    </row>
    <row r="822">
      <c r="I822" s="8" t="inlineStr">
        <is>
          <t>ACE-10816</t>
        </is>
      </c>
      <c r="J822" s="8" t="inlineStr">
        <is>
          <t>2026-05-13 11:24:32</t>
        </is>
      </c>
      <c r="K822" s="8" t="inlineStr">
        <is>
          <t>CUST-96510</t>
        </is>
      </c>
      <c r="L822" s="9" t="inlineStr">
        <is>
          <t>GBP-PKR</t>
        </is>
      </c>
      <c r="M822" s="8" t="inlineStr">
        <is>
          <t>GBP</t>
        </is>
      </c>
      <c r="N822" s="10" t="n">
        <v>240.1427566460342</v>
      </c>
      <c r="O822" s="11" t="n">
        <v>1</v>
      </c>
      <c r="P822" s="10" t="n">
        <v>240.1427566460342</v>
      </c>
      <c r="Q822" s="10" t="n">
        <v>1.5</v>
      </c>
      <c r="R822" s="12" t="n">
        <v>0.021</v>
      </c>
      <c r="S822" s="13" t="inlineStr">
        <is>
          <t>Success</t>
        </is>
      </c>
      <c r="T822" s="10" t="n">
        <v>0.3602141349690512</v>
      </c>
      <c r="U822" s="10" t="n">
        <v>0</v>
      </c>
      <c r="V822" s="10" t="n">
        <v>2.88171307975241</v>
      </c>
    </row>
    <row r="823">
      <c r="I823" s="8" t="inlineStr">
        <is>
          <t>ACE-10817</t>
        </is>
      </c>
      <c r="J823" s="8" t="inlineStr">
        <is>
          <t>2026-05-20 16:05:11</t>
        </is>
      </c>
      <c r="K823" s="8" t="inlineStr">
        <is>
          <t>CUST-63033</t>
        </is>
      </c>
      <c r="L823" s="9" t="inlineStr">
        <is>
          <t>GBP-PKR</t>
        </is>
      </c>
      <c r="M823" s="8" t="inlineStr">
        <is>
          <t>GBP</t>
        </is>
      </c>
      <c r="N823" s="10" t="n">
        <v>286.1438423760931</v>
      </c>
      <c r="O823" s="11" t="n">
        <v>1</v>
      </c>
      <c r="P823" s="10" t="n">
        <v>286.1438423760931</v>
      </c>
      <c r="Q823" s="10" t="n">
        <v>1.5</v>
      </c>
      <c r="R823" s="12" t="n">
        <v>0.021</v>
      </c>
      <c r="S823" s="13" t="inlineStr">
        <is>
          <t>Success</t>
        </is>
      </c>
      <c r="T823" s="10" t="n">
        <v>0.4292157635641396</v>
      </c>
      <c r="U823" s="10" t="n">
        <v>0</v>
      </c>
      <c r="V823" s="10" t="n">
        <v>3.433726108513117</v>
      </c>
    </row>
    <row r="824">
      <c r="I824" s="8" t="inlineStr">
        <is>
          <t>ACE-10818</t>
        </is>
      </c>
      <c r="J824" s="8" t="inlineStr">
        <is>
          <t>2026-05-23 08:02:15</t>
        </is>
      </c>
      <c r="K824" s="8" t="inlineStr">
        <is>
          <t>CUST-84695</t>
        </is>
      </c>
      <c r="L824" s="9" t="inlineStr">
        <is>
          <t>USD-PKR</t>
        </is>
      </c>
      <c r="M824" s="8" t="inlineStr">
        <is>
          <t>USD</t>
        </is>
      </c>
      <c r="N824" s="10" t="n">
        <v>239.2695225393736</v>
      </c>
      <c r="O824" s="11" t="n">
        <v>0.8</v>
      </c>
      <c r="P824" s="10" t="n">
        <v>191.4156180314989</v>
      </c>
      <c r="Q824" s="10" t="n">
        <v>1.6</v>
      </c>
      <c r="R824" s="12" t="n">
        <v>0.019</v>
      </c>
      <c r="S824" s="13" t="inlineStr">
        <is>
          <t>Success</t>
        </is>
      </c>
      <c r="T824" s="10" t="n">
        <v>0.2871234270472483</v>
      </c>
      <c r="U824" s="10" t="n">
        <v>0</v>
      </c>
      <c r="V824" s="10" t="n">
        <v>2.296987416377986</v>
      </c>
    </row>
    <row r="825">
      <c r="I825" s="8" t="inlineStr">
        <is>
          <t>ACE-10819</t>
        </is>
      </c>
      <c r="J825" s="8" t="inlineStr">
        <is>
          <t>2026-05-24 10:01:22</t>
        </is>
      </c>
      <c r="K825" s="8" t="inlineStr">
        <is>
          <t>CUST-94847</t>
        </is>
      </c>
      <c r="L825" s="9" t="inlineStr">
        <is>
          <t>USD-PKR</t>
        </is>
      </c>
      <c r="M825" s="8" t="inlineStr">
        <is>
          <t>USD</t>
        </is>
      </c>
      <c r="N825" s="10" t="n">
        <v>220.7113954803824</v>
      </c>
      <c r="O825" s="11" t="n">
        <v>0.8</v>
      </c>
      <c r="P825" s="10" t="n">
        <v>176.5691163843059</v>
      </c>
      <c r="Q825" s="10" t="n">
        <v>1.6</v>
      </c>
      <c r="R825" s="12" t="n">
        <v>0.019</v>
      </c>
      <c r="S825" s="13" t="inlineStr">
        <is>
          <t>Success</t>
        </is>
      </c>
      <c r="T825" s="10" t="n">
        <v>0.2648536745764589</v>
      </c>
      <c r="U825" s="10" t="n">
        <v>0.5297073491529177</v>
      </c>
      <c r="V825" s="10" t="n">
        <v>2.118829396611671</v>
      </c>
    </row>
    <row r="826">
      <c r="I826" s="8" t="inlineStr">
        <is>
          <t>ACE-10820</t>
        </is>
      </c>
      <c r="J826" s="8" t="inlineStr">
        <is>
          <t>2026-05-08 16:17:51</t>
        </is>
      </c>
      <c r="K826" s="8" t="inlineStr">
        <is>
          <t>CUST-54063</t>
        </is>
      </c>
      <c r="L826" s="9" t="inlineStr">
        <is>
          <t>GBP-PKR</t>
        </is>
      </c>
      <c r="M826" s="8" t="inlineStr">
        <is>
          <t>GBP</t>
        </is>
      </c>
      <c r="N826" s="10" t="n">
        <v>309.9272649251674</v>
      </c>
      <c r="O826" s="11" t="n">
        <v>1</v>
      </c>
      <c r="P826" s="10" t="n">
        <v>309.9272649251674</v>
      </c>
      <c r="Q826" s="10" t="n">
        <v>1.5</v>
      </c>
      <c r="R826" s="12" t="n">
        <v>0.021</v>
      </c>
      <c r="S826" s="13" t="inlineStr">
        <is>
          <t>Success</t>
        </is>
      </c>
      <c r="T826" s="10" t="n">
        <v>0.4648908973877512</v>
      </c>
      <c r="U826" s="10" t="n">
        <v>0.9297817947755024</v>
      </c>
      <c r="V826" s="10" t="n">
        <v>3.71912717910201</v>
      </c>
    </row>
    <row r="827">
      <c r="I827" s="8" t="inlineStr">
        <is>
          <t>ACE-10821</t>
        </is>
      </c>
      <c r="J827" s="8" t="inlineStr">
        <is>
          <t>2026-05-01 16:17:14</t>
        </is>
      </c>
      <c r="K827" s="8" t="inlineStr">
        <is>
          <t>CUST-59942</t>
        </is>
      </c>
      <c r="L827" s="9" t="inlineStr">
        <is>
          <t>GBP-PKR</t>
        </is>
      </c>
      <c r="M827" s="8" t="inlineStr">
        <is>
          <t>GBP</t>
        </is>
      </c>
      <c r="N827" s="10" t="n">
        <v>264.5580659373998</v>
      </c>
      <c r="O827" s="11" t="n">
        <v>1</v>
      </c>
      <c r="P827" s="10" t="n">
        <v>264.5580659373998</v>
      </c>
      <c r="Q827" s="10" t="n">
        <v>1.5</v>
      </c>
      <c r="R827" s="12" t="n">
        <v>0.021</v>
      </c>
      <c r="S827" s="13" t="inlineStr">
        <is>
          <t>Success</t>
        </is>
      </c>
      <c r="T827" s="10" t="n">
        <v>0.3968370989060996</v>
      </c>
      <c r="U827" s="10" t="n">
        <v>0</v>
      </c>
      <c r="V827" s="10" t="n">
        <v>3.174696791248797</v>
      </c>
    </row>
    <row r="828">
      <c r="I828" s="8" t="inlineStr">
        <is>
          <t>ACE-10822</t>
        </is>
      </c>
      <c r="J828" s="8" t="inlineStr">
        <is>
          <t>2026-05-05 09:46:24</t>
        </is>
      </c>
      <c r="K828" s="8" t="inlineStr">
        <is>
          <t>CUST-84125</t>
        </is>
      </c>
      <c r="L828" s="9" t="inlineStr">
        <is>
          <t>GBP-PKR</t>
        </is>
      </c>
      <c r="M828" s="8" t="inlineStr">
        <is>
          <t>GBP</t>
        </is>
      </c>
      <c r="N828" s="10" t="n">
        <v>320.7699973625768</v>
      </c>
      <c r="O828" s="11" t="n">
        <v>1</v>
      </c>
      <c r="P828" s="10" t="n">
        <v>320.7699973625768</v>
      </c>
      <c r="Q828" s="10" t="n">
        <v>1.5</v>
      </c>
      <c r="R828" s="12" t="n">
        <v>0.021</v>
      </c>
      <c r="S828" s="13" t="inlineStr">
        <is>
          <t>Success</t>
        </is>
      </c>
      <c r="T828" s="10" t="n">
        <v>0.4811549960438652</v>
      </c>
      <c r="U828" s="10" t="n">
        <v>0.9623099920877305</v>
      </c>
      <c r="V828" s="10" t="n">
        <v>3.849239968350922</v>
      </c>
    </row>
    <row r="829">
      <c r="I829" s="8" t="inlineStr">
        <is>
          <t>ACE-10823</t>
        </is>
      </c>
      <c r="J829" s="8" t="inlineStr">
        <is>
          <t>2026-05-21 18:14:26</t>
        </is>
      </c>
      <c r="K829" s="8" t="inlineStr">
        <is>
          <t>CUST-65752</t>
        </is>
      </c>
      <c r="L829" s="9" t="inlineStr">
        <is>
          <t>GBP-PKR</t>
        </is>
      </c>
      <c r="M829" s="8" t="inlineStr">
        <is>
          <t>GBP</t>
        </is>
      </c>
      <c r="N829" s="10" t="n">
        <v>350.6117253273048</v>
      </c>
      <c r="O829" s="11" t="n">
        <v>1</v>
      </c>
      <c r="P829" s="10" t="n">
        <v>350.6117253273048</v>
      </c>
      <c r="Q829" s="10" t="n">
        <v>1.5</v>
      </c>
      <c r="R829" s="12" t="n">
        <v>0.021</v>
      </c>
      <c r="S829" s="13" t="inlineStr">
        <is>
          <t>Success</t>
        </is>
      </c>
      <c r="T829" s="10" t="n">
        <v>0.5259175879909572</v>
      </c>
      <c r="U829" s="10" t="n">
        <v>0</v>
      </c>
      <c r="V829" s="10" t="n">
        <v>4.207340703927658</v>
      </c>
    </row>
    <row r="830">
      <c r="I830" s="8" t="inlineStr">
        <is>
          <t>ACE-10824</t>
        </is>
      </c>
      <c r="J830" s="8" t="inlineStr">
        <is>
          <t>2026-05-10 17:21:28</t>
        </is>
      </c>
      <c r="K830" s="8" t="inlineStr">
        <is>
          <t>CUST-85535</t>
        </is>
      </c>
      <c r="L830" s="9" t="inlineStr">
        <is>
          <t>GBP-PKR</t>
        </is>
      </c>
      <c r="M830" s="8" t="inlineStr">
        <is>
          <t>GBP</t>
        </is>
      </c>
      <c r="N830" s="10" t="n">
        <v>268.6758802876927</v>
      </c>
      <c r="O830" s="11" t="n">
        <v>1</v>
      </c>
      <c r="P830" s="10" t="n">
        <v>268.6758802876927</v>
      </c>
      <c r="Q830" s="10" t="n">
        <v>1.5</v>
      </c>
      <c r="R830" s="12" t="n">
        <v>0.021</v>
      </c>
      <c r="S830" s="13" t="inlineStr">
        <is>
          <t>Success</t>
        </is>
      </c>
      <c r="T830" s="10" t="n">
        <v>0.403013820431539</v>
      </c>
      <c r="U830" s="10" t="n">
        <v>0.8060276408630781</v>
      </c>
      <c r="V830" s="10" t="n">
        <v>3.224110563452312</v>
      </c>
    </row>
    <row r="831">
      <c r="I831" s="8" t="inlineStr">
        <is>
          <t>ACE-10825</t>
        </is>
      </c>
      <c r="J831" s="8" t="inlineStr">
        <is>
          <t>2026-05-19 16:43:51</t>
        </is>
      </c>
      <c r="K831" s="8" t="inlineStr">
        <is>
          <t>CUST-63258</t>
        </is>
      </c>
      <c r="L831" s="9" t="inlineStr">
        <is>
          <t>EUR-PKR</t>
        </is>
      </c>
      <c r="M831" s="8" t="inlineStr">
        <is>
          <t>EUR</t>
        </is>
      </c>
      <c r="N831" s="10" t="n">
        <v>180.8148934822649</v>
      </c>
      <c r="O831" s="11" t="n">
        <v>0.85</v>
      </c>
      <c r="P831" s="10" t="n">
        <v>153.6926594599251</v>
      </c>
      <c r="Q831" s="10" t="n">
        <v>1.275</v>
      </c>
      <c r="R831" s="12" t="n">
        <v>0.023</v>
      </c>
      <c r="S831" s="13" t="inlineStr">
        <is>
          <t>Success</t>
        </is>
      </c>
      <c r="T831" s="10" t="n">
        <v>0.2305389891898877</v>
      </c>
      <c r="U831" s="10" t="n">
        <v>0</v>
      </c>
      <c r="V831" s="10" t="n">
        <v>2.305389891898877</v>
      </c>
    </row>
    <row r="832">
      <c r="I832" s="8" t="inlineStr">
        <is>
          <t>ACE-10826</t>
        </is>
      </c>
      <c r="J832" s="8" t="inlineStr">
        <is>
          <t>2026-05-23 16:58:08</t>
        </is>
      </c>
      <c r="K832" s="8" t="inlineStr">
        <is>
          <t>CUST-78184</t>
        </is>
      </c>
      <c r="L832" s="9" t="inlineStr">
        <is>
          <t>GBP-PKR</t>
        </is>
      </c>
      <c r="M832" s="8" t="inlineStr">
        <is>
          <t>GBP</t>
        </is>
      </c>
      <c r="N832" s="10" t="n">
        <v>322.1856882383762</v>
      </c>
      <c r="O832" s="11" t="n">
        <v>1</v>
      </c>
      <c r="P832" s="10" t="n">
        <v>322.1856882383762</v>
      </c>
      <c r="Q832" s="10" t="n">
        <v>1.5</v>
      </c>
      <c r="R832" s="12" t="n">
        <v>0.021</v>
      </c>
      <c r="S832" s="13" t="inlineStr">
        <is>
          <t>Success</t>
        </is>
      </c>
      <c r="T832" s="10" t="n">
        <v>0.4832785323575643</v>
      </c>
      <c r="U832" s="10" t="n">
        <v>0.9665570647151286</v>
      </c>
      <c r="V832" s="10" t="n">
        <v>3.866228258860514</v>
      </c>
    </row>
    <row r="833">
      <c r="I833" s="8" t="inlineStr">
        <is>
          <t>ACE-10827</t>
        </is>
      </c>
      <c r="J833" s="8" t="inlineStr">
        <is>
          <t>2026-05-05 18:59:36</t>
        </is>
      </c>
      <c r="K833" s="8" t="inlineStr">
        <is>
          <t>CUST-60357</t>
        </is>
      </c>
      <c r="L833" s="9" t="inlineStr">
        <is>
          <t>GBP-PKR</t>
        </is>
      </c>
      <c r="M833" s="8" t="inlineStr">
        <is>
          <t>GBP</t>
        </is>
      </c>
      <c r="N833" s="10" t="n">
        <v>326.2770339031294</v>
      </c>
      <c r="O833" s="11" t="n">
        <v>1</v>
      </c>
      <c r="P833" s="10" t="n">
        <v>326.2770339031294</v>
      </c>
      <c r="Q833" s="10" t="n">
        <v>1.5</v>
      </c>
      <c r="R833" s="12" t="n">
        <v>0.021</v>
      </c>
      <c r="S833" s="13" t="inlineStr">
        <is>
          <t>Success</t>
        </is>
      </c>
      <c r="T833" s="10" t="n">
        <v>0.4894155508546941</v>
      </c>
      <c r="U833" s="10" t="n">
        <v>0</v>
      </c>
      <c r="V833" s="10" t="n">
        <v>3.915324406837553</v>
      </c>
    </row>
    <row r="834">
      <c r="I834" s="8" t="inlineStr">
        <is>
          <t>ACE-10828</t>
        </is>
      </c>
      <c r="J834" s="8" t="inlineStr">
        <is>
          <t>2026-05-24 09:11:20</t>
        </is>
      </c>
      <c r="K834" s="8" t="inlineStr">
        <is>
          <t>CUST-59536</t>
        </is>
      </c>
      <c r="L834" s="9" t="inlineStr">
        <is>
          <t>GBP-PKR</t>
        </is>
      </c>
      <c r="M834" s="8" t="inlineStr">
        <is>
          <t>GBP</t>
        </is>
      </c>
      <c r="N834" s="10" t="n">
        <v>264.4107064275212</v>
      </c>
      <c r="O834" s="11" t="n">
        <v>1</v>
      </c>
      <c r="P834" s="10" t="n">
        <v>264.4107064275212</v>
      </c>
      <c r="Q834" s="10" t="n">
        <v>1.5</v>
      </c>
      <c r="R834" s="12" t="n">
        <v>0.021</v>
      </c>
      <c r="S834" s="13" t="inlineStr">
        <is>
          <t>Success</t>
        </is>
      </c>
      <c r="T834" s="10" t="n">
        <v>0.3966160596412818</v>
      </c>
      <c r="U834" s="10" t="n">
        <v>0.7932321192825635</v>
      </c>
      <c r="V834" s="10" t="n">
        <v>3.172928477130254</v>
      </c>
    </row>
    <row r="835">
      <c r="I835" s="8" t="inlineStr">
        <is>
          <t>ACE-10829</t>
        </is>
      </c>
      <c r="J835" s="8" t="inlineStr">
        <is>
          <t>2026-05-14 14:19:28</t>
        </is>
      </c>
      <c r="K835" s="8" t="inlineStr">
        <is>
          <t>CUST-98864</t>
        </is>
      </c>
      <c r="L835" s="9" t="inlineStr">
        <is>
          <t>GBP-PKR</t>
        </is>
      </c>
      <c r="M835" s="8" t="inlineStr">
        <is>
          <t>GBP</t>
        </is>
      </c>
      <c r="N835" s="10" t="n">
        <v>267.1394806564905</v>
      </c>
      <c r="O835" s="11" t="n">
        <v>1</v>
      </c>
      <c r="P835" s="10" t="n">
        <v>267.1394806564905</v>
      </c>
      <c r="Q835" s="10" t="n">
        <v>1.5</v>
      </c>
      <c r="R835" s="12" t="n">
        <v>0.021</v>
      </c>
      <c r="S835" s="13" t="inlineStr">
        <is>
          <t>Success</t>
        </is>
      </c>
      <c r="T835" s="10" t="n">
        <v>0.4007092209847358</v>
      </c>
      <c r="U835" s="10" t="n">
        <v>0.8014184419694715</v>
      </c>
      <c r="V835" s="10" t="n">
        <v>3.205673767877886</v>
      </c>
    </row>
    <row r="836">
      <c r="I836" s="8" t="inlineStr">
        <is>
          <t>ACE-10830</t>
        </is>
      </c>
      <c r="J836" s="8" t="inlineStr">
        <is>
          <t>2026-05-24 12:09:49</t>
        </is>
      </c>
      <c r="K836" s="8" t="inlineStr">
        <is>
          <t>CUST-62316</t>
        </is>
      </c>
      <c r="L836" s="9" t="inlineStr">
        <is>
          <t>EUR-PKR</t>
        </is>
      </c>
      <c r="M836" s="8" t="inlineStr">
        <is>
          <t>EUR</t>
        </is>
      </c>
      <c r="N836" s="10" t="n">
        <v>183.7995223692742</v>
      </c>
      <c r="O836" s="11" t="n">
        <v>0.85</v>
      </c>
      <c r="P836" s="10" t="n">
        <v>156.2295940138831</v>
      </c>
      <c r="Q836" s="10" t="n">
        <v>1.275</v>
      </c>
      <c r="R836" s="12" t="n">
        <v>0.023</v>
      </c>
      <c r="S836" s="13" t="inlineStr">
        <is>
          <t>Success</t>
        </is>
      </c>
      <c r="T836" s="10" t="n">
        <v>0.2343443910208246</v>
      </c>
      <c r="U836" s="10" t="n">
        <v>0</v>
      </c>
      <c r="V836" s="10" t="n">
        <v>2.343443910208246</v>
      </c>
    </row>
    <row r="837">
      <c r="I837" s="8" t="inlineStr">
        <is>
          <t>ACE-10831</t>
        </is>
      </c>
      <c r="J837" s="8" t="inlineStr">
        <is>
          <t>2026-05-20 17:17:38</t>
        </is>
      </c>
      <c r="K837" s="8" t="inlineStr">
        <is>
          <t>CUST-87161</t>
        </is>
      </c>
      <c r="L837" s="9" t="inlineStr">
        <is>
          <t>GBP-PKR</t>
        </is>
      </c>
      <c r="M837" s="8" t="inlineStr">
        <is>
          <t>GBP</t>
        </is>
      </c>
      <c r="N837" s="10" t="n">
        <v>243.5554292316354</v>
      </c>
      <c r="O837" s="11" t="n">
        <v>1</v>
      </c>
      <c r="P837" s="10" t="n">
        <v>243.5554292316354</v>
      </c>
      <c r="Q837" s="10" t="n">
        <v>1.5</v>
      </c>
      <c r="R837" s="12" t="n">
        <v>0.021</v>
      </c>
      <c r="S837" s="13" t="inlineStr">
        <is>
          <t>Success</t>
        </is>
      </c>
      <c r="T837" s="10" t="n">
        <v>0.3653331438474531</v>
      </c>
      <c r="U837" s="10" t="n">
        <v>0</v>
      </c>
      <c r="V837" s="10" t="n">
        <v>2.922665150779625</v>
      </c>
    </row>
    <row r="838">
      <c r="I838" s="8" t="inlineStr">
        <is>
          <t>ACE-10832</t>
        </is>
      </c>
      <c r="J838" s="8" t="inlineStr">
        <is>
          <t>2026-05-08 18:01:22</t>
        </is>
      </c>
      <c r="K838" s="8" t="inlineStr">
        <is>
          <t>CUST-55208</t>
        </is>
      </c>
      <c r="L838" s="9" t="inlineStr">
        <is>
          <t>USD-PKR</t>
        </is>
      </c>
      <c r="M838" s="8" t="inlineStr">
        <is>
          <t>USD</t>
        </is>
      </c>
      <c r="N838" s="10" t="n">
        <v>199.6892387130085</v>
      </c>
      <c r="O838" s="11" t="n">
        <v>0.8</v>
      </c>
      <c r="P838" s="10" t="n">
        <v>159.7513909704068</v>
      </c>
      <c r="Q838" s="10" t="n">
        <v>1.6</v>
      </c>
      <c r="R838" s="12" t="n">
        <v>0.019</v>
      </c>
      <c r="S838" s="13" t="inlineStr">
        <is>
          <t>Success</t>
        </is>
      </c>
      <c r="T838" s="10" t="n">
        <v>0.2396270864556103</v>
      </c>
      <c r="U838" s="10" t="n">
        <v>0</v>
      </c>
      <c r="V838" s="10" t="n">
        <v>1.917016691644882</v>
      </c>
    </row>
    <row r="839">
      <c r="I839" s="8" t="inlineStr">
        <is>
          <t>ACE-10833</t>
        </is>
      </c>
      <c r="J839" s="8" t="inlineStr">
        <is>
          <t>2026-05-17 17:30:45</t>
        </is>
      </c>
      <c r="K839" s="8" t="inlineStr">
        <is>
          <t>CUST-92570</t>
        </is>
      </c>
      <c r="L839" s="9" t="inlineStr">
        <is>
          <t>EUR-PKR</t>
        </is>
      </c>
      <c r="M839" s="8" t="inlineStr">
        <is>
          <t>EUR</t>
        </is>
      </c>
      <c r="N839" s="10" t="n">
        <v>170.9908413113046</v>
      </c>
      <c r="O839" s="11" t="n">
        <v>0.85</v>
      </c>
      <c r="P839" s="10" t="n">
        <v>145.3422151146089</v>
      </c>
      <c r="Q839" s="10" t="n">
        <v>1.275</v>
      </c>
      <c r="R839" s="12" t="n">
        <v>0.023</v>
      </c>
      <c r="S839" s="13" t="inlineStr">
        <is>
          <t>Success</t>
        </is>
      </c>
      <c r="T839" s="10" t="n">
        <v>0.2180133226719133</v>
      </c>
      <c r="U839" s="10" t="n">
        <v>0.4360266453438266</v>
      </c>
      <c r="V839" s="10" t="n">
        <v>2.180133226719133</v>
      </c>
    </row>
    <row r="840">
      <c r="I840" s="8" t="inlineStr">
        <is>
          <t>ACE-10834</t>
        </is>
      </c>
      <c r="J840" s="8" t="inlineStr">
        <is>
          <t>2026-05-16 15:08:10</t>
        </is>
      </c>
      <c r="K840" s="8" t="inlineStr">
        <is>
          <t>CUST-62665</t>
        </is>
      </c>
      <c r="L840" s="9" t="inlineStr">
        <is>
          <t>GBP-PKR</t>
        </is>
      </c>
      <c r="M840" s="8" t="inlineStr">
        <is>
          <t>GBP</t>
        </is>
      </c>
      <c r="N840" s="10" t="n">
        <v>258.0129678540933</v>
      </c>
      <c r="O840" s="11" t="n">
        <v>1</v>
      </c>
      <c r="P840" s="10" t="n">
        <v>258.0129678540933</v>
      </c>
      <c r="Q840" s="10" t="n">
        <v>1.5</v>
      </c>
      <c r="R840" s="12" t="n">
        <v>0.021</v>
      </c>
      <c r="S840" s="13" t="inlineStr">
        <is>
          <t>Success</t>
        </is>
      </c>
      <c r="T840" s="10" t="n">
        <v>0.3870194517811399</v>
      </c>
      <c r="U840" s="10" t="n">
        <v>0</v>
      </c>
      <c r="V840" s="10" t="n">
        <v>3.09615561424912</v>
      </c>
    </row>
    <row r="841">
      <c r="I841" s="8" t="inlineStr">
        <is>
          <t>ACE-10835</t>
        </is>
      </c>
      <c r="J841" s="8" t="inlineStr">
        <is>
          <t>2026-05-01 12:26:14</t>
        </is>
      </c>
      <c r="K841" s="8" t="inlineStr">
        <is>
          <t>CUST-98651</t>
        </is>
      </c>
      <c r="L841" s="9" t="inlineStr">
        <is>
          <t>GBP-PKR</t>
        </is>
      </c>
      <c r="M841" s="8" t="inlineStr">
        <is>
          <t>GBP</t>
        </is>
      </c>
      <c r="N841" s="10" t="n">
        <v>277.6388350136733</v>
      </c>
      <c r="O841" s="11" t="n">
        <v>1</v>
      </c>
      <c r="P841" s="10" t="n">
        <v>277.6388350136733</v>
      </c>
      <c r="Q841" s="10" t="n">
        <v>1.5</v>
      </c>
      <c r="R841" s="12" t="n">
        <v>0.021</v>
      </c>
      <c r="S841" s="13" t="inlineStr">
        <is>
          <t>Success</t>
        </is>
      </c>
      <c r="T841" s="10" t="n">
        <v>0.41645825252051</v>
      </c>
      <c r="U841" s="10" t="n">
        <v>0</v>
      </c>
      <c r="V841" s="10" t="n">
        <v>3.33166602016408</v>
      </c>
    </row>
    <row r="842">
      <c r="I842" s="8" t="inlineStr">
        <is>
          <t>ACE-10836</t>
        </is>
      </c>
      <c r="J842" s="8" t="inlineStr">
        <is>
          <t>2026-05-07 09:11:59</t>
        </is>
      </c>
      <c r="K842" s="8" t="inlineStr">
        <is>
          <t>CUST-78788</t>
        </is>
      </c>
      <c r="L842" s="9" t="inlineStr">
        <is>
          <t>GBP-PKR</t>
        </is>
      </c>
      <c r="M842" s="8" t="inlineStr">
        <is>
          <t>GBP</t>
        </is>
      </c>
      <c r="N842" s="10" t="n">
        <v>285.2058146834377</v>
      </c>
      <c r="O842" s="11" t="n">
        <v>1</v>
      </c>
      <c r="P842" s="10" t="n">
        <v>285.2058146834377</v>
      </c>
      <c r="Q842" s="10" t="n">
        <v>1.5</v>
      </c>
      <c r="R842" s="12" t="n">
        <v>0.021</v>
      </c>
      <c r="S842" s="13" t="inlineStr">
        <is>
          <t>Success</t>
        </is>
      </c>
      <c r="T842" s="10" t="n">
        <v>0.4278087220251565</v>
      </c>
      <c r="U842" s="10" t="n">
        <v>0</v>
      </c>
      <c r="V842" s="10" t="n">
        <v>3.422469776201252</v>
      </c>
    </row>
    <row r="843">
      <c r="I843" s="8" t="inlineStr">
        <is>
          <t>ACE-10837</t>
        </is>
      </c>
      <c r="J843" s="8" t="inlineStr">
        <is>
          <t>2026-05-11 15:56:15</t>
        </is>
      </c>
      <c r="K843" s="8" t="inlineStr">
        <is>
          <t>CUST-78020</t>
        </is>
      </c>
      <c r="L843" s="9" t="inlineStr">
        <is>
          <t>GBP-PKR</t>
        </is>
      </c>
      <c r="M843" s="8" t="inlineStr">
        <is>
          <t>GBP</t>
        </is>
      </c>
      <c r="N843" s="10" t="n">
        <v>325.3298700826797</v>
      </c>
      <c r="O843" s="11" t="n">
        <v>1</v>
      </c>
      <c r="P843" s="10" t="n">
        <v>325.3298700826797</v>
      </c>
      <c r="Q843" s="10" t="n">
        <v>1.5</v>
      </c>
      <c r="R843" s="12" t="n">
        <v>0.021</v>
      </c>
      <c r="S843" s="13" t="inlineStr">
        <is>
          <t>Success</t>
        </is>
      </c>
      <c r="T843" s="10" t="n">
        <v>0.4879948051240195</v>
      </c>
      <c r="U843" s="10" t="n">
        <v>0</v>
      </c>
      <c r="V843" s="10" t="n">
        <v>3.903958440992156</v>
      </c>
    </row>
    <row r="844">
      <c r="I844" s="8" t="inlineStr">
        <is>
          <t>ACE-10838</t>
        </is>
      </c>
      <c r="J844" s="8" t="inlineStr">
        <is>
          <t>2026-05-24 14:46:20</t>
        </is>
      </c>
      <c r="K844" s="8" t="inlineStr">
        <is>
          <t>CUST-75831</t>
        </is>
      </c>
      <c r="L844" s="9" t="inlineStr">
        <is>
          <t>USD-PKR</t>
        </is>
      </c>
      <c r="M844" s="8" t="inlineStr">
        <is>
          <t>USD</t>
        </is>
      </c>
      <c r="N844" s="10" t="n">
        <v>198.1039993968759</v>
      </c>
      <c r="O844" s="11" t="n">
        <v>0.8</v>
      </c>
      <c r="P844" s="10" t="n">
        <v>158.4831995175008</v>
      </c>
      <c r="Q844" s="10" t="n">
        <v>1.6</v>
      </c>
      <c r="R844" s="12" t="n">
        <v>0.019</v>
      </c>
      <c r="S844" s="13" t="inlineStr">
        <is>
          <t>Success</t>
        </is>
      </c>
      <c r="T844" s="10" t="n">
        <v>0.2377247992762511</v>
      </c>
      <c r="U844" s="10" t="n">
        <v>0.4754495985525023</v>
      </c>
      <c r="V844" s="10" t="n">
        <v>1.901798394210009</v>
      </c>
    </row>
    <row r="845">
      <c r="I845" s="8" t="inlineStr">
        <is>
          <t>ACE-10839</t>
        </is>
      </c>
      <c r="J845" s="8" t="inlineStr">
        <is>
          <t>2026-05-20 16:33:41</t>
        </is>
      </c>
      <c r="K845" s="8" t="inlineStr">
        <is>
          <t>CUST-96144</t>
        </is>
      </c>
      <c r="L845" s="9" t="inlineStr">
        <is>
          <t>GBP-PKR</t>
        </is>
      </c>
      <c r="M845" s="8" t="inlineStr">
        <is>
          <t>GBP</t>
        </is>
      </c>
      <c r="N845" s="10" t="n">
        <v>307.422137258939</v>
      </c>
      <c r="O845" s="11" t="n">
        <v>1</v>
      </c>
      <c r="P845" s="10" t="n">
        <v>307.422137258939</v>
      </c>
      <c r="Q845" s="10" t="n">
        <v>1.5</v>
      </c>
      <c r="R845" s="12" t="n">
        <v>0.021</v>
      </c>
      <c r="S845" s="13" t="inlineStr">
        <is>
          <t>Success</t>
        </is>
      </c>
      <c r="T845" s="10" t="n">
        <v>0.4611332058884086</v>
      </c>
      <c r="U845" s="10" t="n">
        <v>0</v>
      </c>
      <c r="V845" s="10" t="n">
        <v>3.689065647107268</v>
      </c>
    </row>
    <row r="846">
      <c r="I846" s="8" t="inlineStr">
        <is>
          <t>ACE-10840</t>
        </is>
      </c>
      <c r="J846" s="8" t="inlineStr">
        <is>
          <t>2026-05-15 15:52:56</t>
        </is>
      </c>
      <c r="K846" s="8" t="inlineStr">
        <is>
          <t>CUST-52779</t>
        </is>
      </c>
      <c r="L846" s="9" t="inlineStr">
        <is>
          <t>GBP-PKR</t>
        </is>
      </c>
      <c r="M846" s="8" t="inlineStr">
        <is>
          <t>GBP</t>
        </is>
      </c>
      <c r="N846" s="10" t="n">
        <v>272.705025606017</v>
      </c>
      <c r="O846" s="11" t="n">
        <v>1</v>
      </c>
      <c r="P846" s="10" t="n">
        <v>272.705025606017</v>
      </c>
      <c r="Q846" s="10" t="n">
        <v>1.5</v>
      </c>
      <c r="R846" s="12" t="n">
        <v>0.021</v>
      </c>
      <c r="S846" s="13" t="inlineStr">
        <is>
          <t>Success</t>
        </is>
      </c>
      <c r="T846" s="10" t="n">
        <v>0.4090575384090255</v>
      </c>
      <c r="U846" s="10" t="n">
        <v>0</v>
      </c>
      <c r="V846" s="10" t="n">
        <v>3.272460307272204</v>
      </c>
    </row>
    <row r="847">
      <c r="I847" s="8" t="inlineStr">
        <is>
          <t>ACE-10841</t>
        </is>
      </c>
      <c r="J847" s="8" t="inlineStr">
        <is>
          <t>2026-05-18 14:47:02</t>
        </is>
      </c>
      <c r="K847" s="8" t="inlineStr">
        <is>
          <t>CUST-86549</t>
        </is>
      </c>
      <c r="L847" s="9" t="inlineStr">
        <is>
          <t>GBP-PKR</t>
        </is>
      </c>
      <c r="M847" s="8" t="inlineStr">
        <is>
          <t>GBP</t>
        </is>
      </c>
      <c r="N847" s="10" t="n">
        <v>277.2288205651627</v>
      </c>
      <c r="O847" s="11" t="n">
        <v>1</v>
      </c>
      <c r="P847" s="10" t="n">
        <v>277.2288205651627</v>
      </c>
      <c r="Q847" s="10" t="n">
        <v>1.5</v>
      </c>
      <c r="R847" s="12" t="n">
        <v>0.021</v>
      </c>
      <c r="S847" s="13" t="inlineStr">
        <is>
          <t>Success</t>
        </is>
      </c>
      <c r="T847" s="10" t="n">
        <v>0.415843230847744</v>
      </c>
      <c r="U847" s="10" t="n">
        <v>0.831686461695488</v>
      </c>
      <c r="V847" s="10" t="n">
        <v>3.326745846781952</v>
      </c>
    </row>
    <row r="848">
      <c r="I848" s="8" t="inlineStr">
        <is>
          <t>ACE-10842</t>
        </is>
      </c>
      <c r="J848" s="8" t="inlineStr">
        <is>
          <t>2026-05-02 11:18:28</t>
        </is>
      </c>
      <c r="K848" s="8" t="inlineStr">
        <is>
          <t>CUST-76085</t>
        </is>
      </c>
      <c r="L848" s="9" t="inlineStr">
        <is>
          <t>GBP-PKR</t>
        </is>
      </c>
      <c r="M848" s="8" t="inlineStr">
        <is>
          <t>GBP</t>
        </is>
      </c>
      <c r="N848" s="10" t="n">
        <v>298.0530683570823</v>
      </c>
      <c r="O848" s="11" t="n">
        <v>1</v>
      </c>
      <c r="P848" s="10" t="n">
        <v>298.0530683570823</v>
      </c>
      <c r="Q848" s="10" t="n">
        <v>1.5</v>
      </c>
      <c r="R848" s="12" t="n">
        <v>0.021</v>
      </c>
      <c r="S848" s="13" t="inlineStr">
        <is>
          <t>Success</t>
        </is>
      </c>
      <c r="T848" s="10" t="n">
        <v>0.4470796025356235</v>
      </c>
      <c r="U848" s="10" t="n">
        <v>0.894159205071247</v>
      </c>
      <c r="V848" s="10" t="n">
        <v>3.576636820284988</v>
      </c>
    </row>
    <row r="849">
      <c r="I849" s="8" t="inlineStr">
        <is>
          <t>ACE-10843</t>
        </is>
      </c>
      <c r="J849" s="8" t="inlineStr">
        <is>
          <t>2026-05-10 15:10:27</t>
        </is>
      </c>
      <c r="K849" s="8" t="inlineStr">
        <is>
          <t>CUST-69295</t>
        </is>
      </c>
      <c r="L849" s="9" t="inlineStr">
        <is>
          <t>USD-PKR</t>
        </is>
      </c>
      <c r="M849" s="8" t="inlineStr">
        <is>
          <t>USD</t>
        </is>
      </c>
      <c r="N849" s="10" t="n">
        <v>195.6554774040156</v>
      </c>
      <c r="O849" s="11" t="n">
        <v>0.8</v>
      </c>
      <c r="P849" s="10" t="n">
        <v>156.5243819232124</v>
      </c>
      <c r="Q849" s="10" t="n">
        <v>1.6</v>
      </c>
      <c r="R849" s="12" t="n">
        <v>0.019</v>
      </c>
      <c r="S849" s="13" t="inlineStr">
        <is>
          <t>Success</t>
        </is>
      </c>
      <c r="T849" s="10" t="n">
        <v>0.2347865728848187</v>
      </c>
      <c r="U849" s="10" t="n">
        <v>0</v>
      </c>
      <c r="V849" s="10" t="n">
        <v>1.878292583078549</v>
      </c>
    </row>
    <row r="850">
      <c r="I850" s="8" t="inlineStr">
        <is>
          <t>ACE-10844</t>
        </is>
      </c>
      <c r="J850" s="8" t="inlineStr">
        <is>
          <t>2026-05-17 10:29:53</t>
        </is>
      </c>
      <c r="K850" s="8" t="inlineStr">
        <is>
          <t>CUST-92342</t>
        </is>
      </c>
      <c r="L850" s="9" t="inlineStr">
        <is>
          <t>EUR-PKR</t>
        </is>
      </c>
      <c r="M850" s="8" t="inlineStr">
        <is>
          <t>EUR</t>
        </is>
      </c>
      <c r="N850" s="10" t="n">
        <v>196.4219294528127</v>
      </c>
      <c r="O850" s="11" t="n">
        <v>0.85</v>
      </c>
      <c r="P850" s="10" t="n">
        <v>166.9586400348908</v>
      </c>
      <c r="Q850" s="10" t="n">
        <v>1.275</v>
      </c>
      <c r="R850" s="12" t="n">
        <v>0.023</v>
      </c>
      <c r="S850" s="13" t="inlineStr">
        <is>
          <t>Success</t>
        </is>
      </c>
      <c r="T850" s="10" t="n">
        <v>0.2504379600523363</v>
      </c>
      <c r="U850" s="10" t="n">
        <v>0.5008759201046725</v>
      </c>
      <c r="V850" s="10" t="n">
        <v>2.504379600523362</v>
      </c>
    </row>
    <row r="851">
      <c r="I851" s="8" t="inlineStr">
        <is>
          <t>ACE-10845</t>
        </is>
      </c>
      <c r="J851" s="8" t="inlineStr">
        <is>
          <t>2026-05-04 10:49:37</t>
        </is>
      </c>
      <c r="K851" s="8" t="inlineStr">
        <is>
          <t>CUST-95620</t>
        </is>
      </c>
      <c r="L851" s="9" t="inlineStr">
        <is>
          <t>GBP-PKR</t>
        </is>
      </c>
      <c r="M851" s="8" t="inlineStr">
        <is>
          <t>GBP</t>
        </is>
      </c>
      <c r="N851" s="10" t="n">
        <v>283.2797213055641</v>
      </c>
      <c r="O851" s="11" t="n">
        <v>1</v>
      </c>
      <c r="P851" s="10" t="n">
        <v>283.2797213055641</v>
      </c>
      <c r="Q851" s="10" t="n">
        <v>1.5</v>
      </c>
      <c r="R851" s="12" t="n">
        <v>0.021</v>
      </c>
      <c r="S851" s="13" t="inlineStr">
        <is>
          <t>Success</t>
        </is>
      </c>
      <c r="T851" s="10" t="n">
        <v>0.4249195819583461</v>
      </c>
      <c r="U851" s="10" t="n">
        <v>0</v>
      </c>
      <c r="V851" s="10" t="n">
        <v>3.399356655666769</v>
      </c>
    </row>
    <row r="852">
      <c r="I852" s="8" t="inlineStr">
        <is>
          <t>ACE-10846</t>
        </is>
      </c>
      <c r="J852" s="8" t="inlineStr">
        <is>
          <t>2026-05-11 15:01:11</t>
        </is>
      </c>
      <c r="K852" s="8" t="inlineStr">
        <is>
          <t>CUST-79732</t>
        </is>
      </c>
      <c r="L852" s="9" t="inlineStr">
        <is>
          <t>GBP-PKR</t>
        </is>
      </c>
      <c r="M852" s="8" t="inlineStr">
        <is>
          <t>GBP</t>
        </is>
      </c>
      <c r="N852" s="10" t="n">
        <v>292.6667909338545</v>
      </c>
      <c r="O852" s="11" t="n">
        <v>1</v>
      </c>
      <c r="P852" s="10" t="n">
        <v>292.6667909338545</v>
      </c>
      <c r="Q852" s="10" t="n">
        <v>1.5</v>
      </c>
      <c r="R852" s="12" t="n">
        <v>0.021</v>
      </c>
      <c r="S852" s="13" t="inlineStr">
        <is>
          <t>Success</t>
        </is>
      </c>
      <c r="T852" s="10" t="n">
        <v>0.4390001864007818</v>
      </c>
      <c r="U852" s="10" t="n">
        <v>0.8780003728015636</v>
      </c>
      <c r="V852" s="10" t="n">
        <v>3.512001491206254</v>
      </c>
    </row>
    <row r="853">
      <c r="I853" s="8" t="inlineStr">
        <is>
          <t>ACE-10847</t>
        </is>
      </c>
      <c r="J853" s="8" t="inlineStr">
        <is>
          <t>2026-05-07 15:05:16</t>
        </is>
      </c>
      <c r="K853" s="8" t="inlineStr">
        <is>
          <t>CUST-71238</t>
        </is>
      </c>
      <c r="L853" s="9" t="inlineStr">
        <is>
          <t>GBP-PKR</t>
        </is>
      </c>
      <c r="M853" s="8" t="inlineStr">
        <is>
          <t>GBP</t>
        </is>
      </c>
      <c r="N853" s="10" t="n">
        <v>286.7774466005779</v>
      </c>
      <c r="O853" s="11" t="n">
        <v>1</v>
      </c>
      <c r="P853" s="10" t="n">
        <v>286.7774466005779</v>
      </c>
      <c r="Q853" s="10" t="n">
        <v>1.5</v>
      </c>
      <c r="R853" s="12" t="n">
        <v>0.021</v>
      </c>
      <c r="S853" s="13" t="inlineStr">
        <is>
          <t>Success</t>
        </is>
      </c>
      <c r="T853" s="10" t="n">
        <v>0.4301661699008669</v>
      </c>
      <c r="U853" s="10" t="n">
        <v>0.8603323398017338</v>
      </c>
      <c r="V853" s="10" t="n">
        <v>3.441329359206935</v>
      </c>
    </row>
    <row r="854">
      <c r="I854" s="8" t="inlineStr">
        <is>
          <t>ACE-10848</t>
        </is>
      </c>
      <c r="J854" s="8" t="inlineStr">
        <is>
          <t>2026-05-06 19:46:07</t>
        </is>
      </c>
      <c r="K854" s="8" t="inlineStr">
        <is>
          <t>CUST-55976</t>
        </is>
      </c>
      <c r="L854" s="9" t="inlineStr">
        <is>
          <t>GBP-PKR</t>
        </is>
      </c>
      <c r="M854" s="8" t="inlineStr">
        <is>
          <t>GBP</t>
        </is>
      </c>
      <c r="N854" s="10" t="n">
        <v>356.1384704486435</v>
      </c>
      <c r="O854" s="11" t="n">
        <v>1</v>
      </c>
      <c r="P854" s="10" t="n">
        <v>356.1384704486435</v>
      </c>
      <c r="Q854" s="10" t="n">
        <v>1.5</v>
      </c>
      <c r="R854" s="12" t="n">
        <v>0.021</v>
      </c>
      <c r="S854" s="13" t="inlineStr">
        <is>
          <t>Success</t>
        </is>
      </c>
      <c r="T854" s="10" t="n">
        <v>0.5342077056729654</v>
      </c>
      <c r="U854" s="10" t="n">
        <v>0</v>
      </c>
      <c r="V854" s="10" t="n">
        <v>4.273661645383723</v>
      </c>
    </row>
    <row r="855">
      <c r="I855" s="8" t="inlineStr">
        <is>
          <t>ACE-10849</t>
        </is>
      </c>
      <c r="J855" s="8" t="inlineStr">
        <is>
          <t>2026-05-12 09:33:45</t>
        </is>
      </c>
      <c r="K855" s="8" t="inlineStr">
        <is>
          <t>CUST-75171</t>
        </is>
      </c>
      <c r="L855" s="9" t="inlineStr">
        <is>
          <t>USD-PKR</t>
        </is>
      </c>
      <c r="M855" s="8" t="inlineStr">
        <is>
          <t>USD</t>
        </is>
      </c>
      <c r="N855" s="10" t="n">
        <v>205.3782801873422</v>
      </c>
      <c r="O855" s="11" t="n">
        <v>0.8</v>
      </c>
      <c r="P855" s="10" t="n">
        <v>164.3026241498738</v>
      </c>
      <c r="Q855" s="10" t="n">
        <v>1.6</v>
      </c>
      <c r="R855" s="12" t="n">
        <v>0.019</v>
      </c>
      <c r="S855" s="13" t="inlineStr">
        <is>
          <t>Success</t>
        </is>
      </c>
      <c r="T855" s="10" t="n">
        <v>0.2464539362248107</v>
      </c>
      <c r="U855" s="10" t="n">
        <v>0.4929078724496213</v>
      </c>
      <c r="V855" s="10" t="n">
        <v>1.971631489798485</v>
      </c>
    </row>
    <row r="856">
      <c r="I856" s="8" t="inlineStr">
        <is>
          <t>ACE-10850</t>
        </is>
      </c>
      <c r="J856" s="8" t="inlineStr">
        <is>
          <t>2026-05-20 10:24:35</t>
        </is>
      </c>
      <c r="K856" s="8" t="inlineStr">
        <is>
          <t>CUST-74943</t>
        </is>
      </c>
      <c r="L856" s="9" t="inlineStr">
        <is>
          <t>GBP-PKR</t>
        </is>
      </c>
      <c r="M856" s="8" t="inlineStr">
        <is>
          <t>GBP</t>
        </is>
      </c>
      <c r="N856" s="10" t="n">
        <v>264.1956448523549</v>
      </c>
      <c r="O856" s="11" t="n">
        <v>1</v>
      </c>
      <c r="P856" s="10" t="n">
        <v>264.1956448523549</v>
      </c>
      <c r="Q856" s="10" t="n">
        <v>1.5</v>
      </c>
      <c r="R856" s="12" t="n">
        <v>0.021</v>
      </c>
      <c r="S856" s="13" t="inlineStr">
        <is>
          <t>Success</t>
        </is>
      </c>
      <c r="T856" s="10" t="n">
        <v>0.3962934672785323</v>
      </c>
      <c r="U856" s="10" t="n">
        <v>0</v>
      </c>
      <c r="V856" s="10" t="n">
        <v>3.170347738228259</v>
      </c>
    </row>
    <row r="857">
      <c r="I857" s="8" t="inlineStr">
        <is>
          <t>ACE-10851</t>
        </is>
      </c>
      <c r="J857" s="8" t="inlineStr">
        <is>
          <t>2026-05-11 17:55:42</t>
        </is>
      </c>
      <c r="K857" s="8" t="inlineStr">
        <is>
          <t>CUST-59836</t>
        </is>
      </c>
      <c r="L857" s="9" t="inlineStr">
        <is>
          <t>GBP-PKR</t>
        </is>
      </c>
      <c r="M857" s="8" t="inlineStr">
        <is>
          <t>GBP</t>
        </is>
      </c>
      <c r="N857" s="10" t="n">
        <v>261.7724331394061</v>
      </c>
      <c r="O857" s="11" t="n">
        <v>1</v>
      </c>
      <c r="P857" s="10" t="n">
        <v>261.7724331394061</v>
      </c>
      <c r="Q857" s="10" t="n">
        <v>1.5</v>
      </c>
      <c r="R857" s="12" t="n">
        <v>0.021</v>
      </c>
      <c r="S857" s="13" t="inlineStr">
        <is>
          <t>Success</t>
        </is>
      </c>
      <c r="T857" s="10" t="n">
        <v>0.3926586497091091</v>
      </c>
      <c r="U857" s="10" t="n">
        <v>0</v>
      </c>
      <c r="V857" s="10" t="n">
        <v>3.141269197672873</v>
      </c>
    </row>
    <row r="858">
      <c r="I858" s="8" t="inlineStr">
        <is>
          <t>ACE-10852</t>
        </is>
      </c>
      <c r="J858" s="8" t="inlineStr">
        <is>
          <t>2026-05-23 08:26:19</t>
        </is>
      </c>
      <c r="K858" s="8" t="inlineStr">
        <is>
          <t>CUST-70284</t>
        </is>
      </c>
      <c r="L858" s="9" t="inlineStr">
        <is>
          <t>EUR-PKR</t>
        </is>
      </c>
      <c r="M858" s="8" t="inlineStr">
        <is>
          <t>EUR</t>
        </is>
      </c>
      <c r="N858" s="10" t="n">
        <v>178.8372832404987</v>
      </c>
      <c r="O858" s="11" t="n">
        <v>0.85</v>
      </c>
      <c r="P858" s="10" t="n">
        <v>152.0116907544239</v>
      </c>
      <c r="Q858" s="10" t="n">
        <v>1.275</v>
      </c>
      <c r="R858" s="12" t="n">
        <v>0.023</v>
      </c>
      <c r="S858" s="13" t="inlineStr">
        <is>
          <t>Success</t>
        </is>
      </c>
      <c r="T858" s="10" t="n">
        <v>0.2280175361316358</v>
      </c>
      <c r="U858" s="10" t="n">
        <v>0.4560350722632716</v>
      </c>
      <c r="V858" s="10" t="n">
        <v>2.280175361316358</v>
      </c>
    </row>
    <row r="859">
      <c r="I859" s="8" t="inlineStr">
        <is>
          <t>ACE-10853</t>
        </is>
      </c>
      <c r="J859" s="8" t="inlineStr">
        <is>
          <t>2026-05-10 18:11:07</t>
        </is>
      </c>
      <c r="K859" s="8" t="inlineStr">
        <is>
          <t>CUST-58622</t>
        </is>
      </c>
      <c r="L859" s="9" t="inlineStr">
        <is>
          <t>USD-PKR</t>
        </is>
      </c>
      <c r="M859" s="8" t="inlineStr">
        <is>
          <t>USD</t>
        </is>
      </c>
      <c r="N859" s="10" t="n">
        <v>205.3855272304473</v>
      </c>
      <c r="O859" s="11" t="n">
        <v>0.8</v>
      </c>
      <c r="P859" s="10" t="n">
        <v>164.3084217843578</v>
      </c>
      <c r="Q859" s="10" t="n">
        <v>1.6</v>
      </c>
      <c r="R859" s="12" t="n">
        <v>0.019</v>
      </c>
      <c r="S859" s="13" t="inlineStr">
        <is>
          <t>Success</t>
        </is>
      </c>
      <c r="T859" s="10" t="n">
        <v>0.2464626326765367</v>
      </c>
      <c r="U859" s="10" t="n">
        <v>0</v>
      </c>
      <c r="V859" s="10" t="n">
        <v>1.971701061412294</v>
      </c>
    </row>
    <row r="860">
      <c r="I860" s="8" t="inlineStr">
        <is>
          <t>ACE-10854</t>
        </is>
      </c>
      <c r="J860" s="8" t="inlineStr">
        <is>
          <t>2026-05-09 08:29:31</t>
        </is>
      </c>
      <c r="K860" s="8" t="inlineStr">
        <is>
          <t>CUST-82679</t>
        </is>
      </c>
      <c r="L860" s="9" t="inlineStr">
        <is>
          <t>GBP-PKR</t>
        </is>
      </c>
      <c r="M860" s="8" t="inlineStr">
        <is>
          <t>GBP</t>
        </is>
      </c>
      <c r="N860" s="10" t="n">
        <v>313.7797341892912</v>
      </c>
      <c r="O860" s="11" t="n">
        <v>1</v>
      </c>
      <c r="P860" s="10" t="n">
        <v>313.7797341892912</v>
      </c>
      <c r="Q860" s="10" t="n">
        <v>1.5</v>
      </c>
      <c r="R860" s="12" t="n">
        <v>0.021</v>
      </c>
      <c r="S860" s="13" t="inlineStr">
        <is>
          <t>Success</t>
        </is>
      </c>
      <c r="T860" s="10" t="n">
        <v>0.4706696012839368</v>
      </c>
      <c r="U860" s="10" t="n">
        <v>0</v>
      </c>
      <c r="V860" s="10" t="n">
        <v>3.765356810271494</v>
      </c>
    </row>
    <row r="861">
      <c r="I861" s="8" t="inlineStr">
        <is>
          <t>ACE-10855</t>
        </is>
      </c>
      <c r="J861" s="8" t="inlineStr">
        <is>
          <t>2026-05-16 11:13:37</t>
        </is>
      </c>
      <c r="K861" s="8" t="inlineStr">
        <is>
          <t>CUST-93219</t>
        </is>
      </c>
      <c r="L861" s="9" t="inlineStr">
        <is>
          <t>EUR-PKR</t>
        </is>
      </c>
      <c r="M861" s="8" t="inlineStr">
        <is>
          <t>EUR</t>
        </is>
      </c>
      <c r="N861" s="10" t="n">
        <v>217.9083359258833</v>
      </c>
      <c r="O861" s="11" t="n">
        <v>0.85</v>
      </c>
      <c r="P861" s="10" t="n">
        <v>185.2220855370008</v>
      </c>
      <c r="Q861" s="10" t="n">
        <v>1.275</v>
      </c>
      <c r="R861" s="12" t="n">
        <v>0.023</v>
      </c>
      <c r="S861" s="13" t="inlineStr">
        <is>
          <t>Success</t>
        </is>
      </c>
      <c r="T861" s="10" t="n">
        <v>0.2778331283055012</v>
      </c>
      <c r="U861" s="10" t="n">
        <v>0</v>
      </c>
      <c r="V861" s="10" t="n">
        <v>2.778331283055012</v>
      </c>
    </row>
    <row r="862">
      <c r="I862" s="8" t="inlineStr">
        <is>
          <t>ACE-10856</t>
        </is>
      </c>
      <c r="J862" s="8" t="inlineStr">
        <is>
          <t>2026-05-03 17:38:00</t>
        </is>
      </c>
      <c r="K862" s="8" t="inlineStr">
        <is>
          <t>CUST-66037</t>
        </is>
      </c>
      <c r="L862" s="9" t="inlineStr">
        <is>
          <t>GBP-PKR</t>
        </is>
      </c>
      <c r="M862" s="8" t="inlineStr">
        <is>
          <t>GBP</t>
        </is>
      </c>
      <c r="N862" s="10" t="n">
        <v>263.1475690300849</v>
      </c>
      <c r="O862" s="11" t="n">
        <v>1</v>
      </c>
      <c r="P862" s="10" t="n">
        <v>263.1475690300849</v>
      </c>
      <c r="Q862" s="10" t="n">
        <v>1.5</v>
      </c>
      <c r="R862" s="12" t="n">
        <v>0.021</v>
      </c>
      <c r="S862" s="13" t="inlineStr">
        <is>
          <t>Success</t>
        </is>
      </c>
      <c r="T862" s="10" t="n">
        <v>0.3947213535451274</v>
      </c>
      <c r="U862" s="10" t="n">
        <v>0</v>
      </c>
      <c r="V862" s="10" t="n">
        <v>3.157770828361019</v>
      </c>
    </row>
    <row r="863">
      <c r="I863" s="8" t="inlineStr">
        <is>
          <t>ACE-10857</t>
        </is>
      </c>
      <c r="J863" s="8" t="inlineStr">
        <is>
          <t>2026-05-21 16:52:52</t>
        </is>
      </c>
      <c r="K863" s="8" t="inlineStr">
        <is>
          <t>CUST-63607</t>
        </is>
      </c>
      <c r="L863" s="9" t="inlineStr">
        <is>
          <t>GBP-PKR</t>
        </is>
      </c>
      <c r="M863" s="8" t="inlineStr">
        <is>
          <t>GBP</t>
        </is>
      </c>
      <c r="N863" s="10" t="n">
        <v>256.3526526284483</v>
      </c>
      <c r="O863" s="11" t="n">
        <v>1</v>
      </c>
      <c r="P863" s="10" t="n">
        <v>256.3526526284483</v>
      </c>
      <c r="Q863" s="10" t="n">
        <v>1.5</v>
      </c>
      <c r="R863" s="12" t="n">
        <v>0.021</v>
      </c>
      <c r="S863" s="13" t="inlineStr">
        <is>
          <t>Success</t>
        </is>
      </c>
      <c r="T863" s="10" t="n">
        <v>0.3845289789426725</v>
      </c>
      <c r="U863" s="10" t="n">
        <v>0</v>
      </c>
      <c r="V863" s="10" t="n">
        <v>3.07623183154138</v>
      </c>
    </row>
    <row r="864">
      <c r="I864" s="8" t="inlineStr">
        <is>
          <t>ACE-10858</t>
        </is>
      </c>
      <c r="J864" s="8" t="inlineStr">
        <is>
          <t>2026-05-21 13:02:09</t>
        </is>
      </c>
      <c r="K864" s="8" t="inlineStr">
        <is>
          <t>CUST-52125</t>
        </is>
      </c>
      <c r="L864" s="9" t="inlineStr">
        <is>
          <t>GBP-PKR</t>
        </is>
      </c>
      <c r="M864" s="8" t="inlineStr">
        <is>
          <t>GBP</t>
        </is>
      </c>
      <c r="N864" s="10" t="n">
        <v>292.0517927023171</v>
      </c>
      <c r="O864" s="11" t="n">
        <v>1</v>
      </c>
      <c r="P864" s="10" t="n">
        <v>292.0517927023171</v>
      </c>
      <c r="Q864" s="10" t="n">
        <v>1.5</v>
      </c>
      <c r="R864" s="12" t="n">
        <v>0.021</v>
      </c>
      <c r="S864" s="13" t="inlineStr">
        <is>
          <t>Success</t>
        </is>
      </c>
      <c r="T864" s="10" t="n">
        <v>0.4380776890534757</v>
      </c>
      <c r="U864" s="10" t="n">
        <v>0.8761553781069514</v>
      </c>
      <c r="V864" s="10" t="n">
        <v>3.504621512427806</v>
      </c>
    </row>
    <row r="865">
      <c r="I865" s="8" t="inlineStr">
        <is>
          <t>ACE-10859</t>
        </is>
      </c>
      <c r="J865" s="8" t="inlineStr">
        <is>
          <t>2026-05-10 13:58:05</t>
        </is>
      </c>
      <c r="K865" s="8" t="inlineStr">
        <is>
          <t>CUST-53213</t>
        </is>
      </c>
      <c r="L865" s="9" t="inlineStr">
        <is>
          <t>GBP-PKR</t>
        </is>
      </c>
      <c r="M865" s="8" t="inlineStr">
        <is>
          <t>GBP</t>
        </is>
      </c>
      <c r="N865" s="10" t="n">
        <v>263.635455559598</v>
      </c>
      <c r="O865" s="11" t="n">
        <v>1</v>
      </c>
      <c r="P865" s="10" t="n">
        <v>263.635455559598</v>
      </c>
      <c r="Q865" s="10" t="n">
        <v>1.5</v>
      </c>
      <c r="R865" s="12" t="n">
        <v>0.021</v>
      </c>
      <c r="S865" s="13" t="inlineStr">
        <is>
          <t>Success</t>
        </is>
      </c>
      <c r="T865" s="10" t="n">
        <v>0.3954531833393971</v>
      </c>
      <c r="U865" s="10" t="n">
        <v>0.7909063666787941</v>
      </c>
      <c r="V865" s="10" t="n">
        <v>3.163625466715176</v>
      </c>
    </row>
    <row r="866">
      <c r="I866" s="8" t="inlineStr">
        <is>
          <t>ACE-10860</t>
        </is>
      </c>
      <c r="J866" s="8" t="inlineStr">
        <is>
          <t>2026-05-06 18:18:39</t>
        </is>
      </c>
      <c r="K866" s="8" t="inlineStr">
        <is>
          <t>CUST-93314</t>
        </is>
      </c>
      <c r="L866" s="9" t="inlineStr">
        <is>
          <t>GBP-PKR</t>
        </is>
      </c>
      <c r="M866" s="8" t="inlineStr">
        <is>
          <t>GBP</t>
        </is>
      </c>
      <c r="N866" s="10" t="n">
        <v>296.8072045072269</v>
      </c>
      <c r="O866" s="11" t="n">
        <v>1</v>
      </c>
      <c r="P866" s="10" t="n">
        <v>296.8072045072269</v>
      </c>
      <c r="Q866" s="10" t="n">
        <v>1.5</v>
      </c>
      <c r="R866" s="12" t="n">
        <v>0.021</v>
      </c>
      <c r="S866" s="13" t="inlineStr">
        <is>
          <t>Success</t>
        </is>
      </c>
      <c r="T866" s="10" t="n">
        <v>0.4452108067608404</v>
      </c>
      <c r="U866" s="10" t="n">
        <v>0</v>
      </c>
      <c r="V866" s="10" t="n">
        <v>3.561686454086723</v>
      </c>
    </row>
    <row r="867">
      <c r="I867" s="8" t="inlineStr">
        <is>
          <t>ACE-10861</t>
        </is>
      </c>
      <c r="J867" s="8" t="inlineStr">
        <is>
          <t>2026-05-18 10:29:47</t>
        </is>
      </c>
      <c r="K867" s="8" t="inlineStr">
        <is>
          <t>CUST-87943</t>
        </is>
      </c>
      <c r="L867" s="9" t="inlineStr">
        <is>
          <t>GBP-PKR</t>
        </is>
      </c>
      <c r="M867" s="8" t="inlineStr">
        <is>
          <t>GBP</t>
        </is>
      </c>
      <c r="N867" s="10" t="n">
        <v>284.3147517423535</v>
      </c>
      <c r="O867" s="11" t="n">
        <v>1</v>
      </c>
      <c r="P867" s="10" t="n">
        <v>284.3147517423535</v>
      </c>
      <c r="Q867" s="10" t="n">
        <v>1.5</v>
      </c>
      <c r="R867" s="12" t="n">
        <v>0.021</v>
      </c>
      <c r="S867" s="13" t="inlineStr">
        <is>
          <t>Success</t>
        </is>
      </c>
      <c r="T867" s="10" t="n">
        <v>0.4264721276135303</v>
      </c>
      <c r="U867" s="10" t="n">
        <v>0</v>
      </c>
      <c r="V867" s="10" t="n">
        <v>3.411777020908242</v>
      </c>
    </row>
    <row r="868">
      <c r="I868" s="8" t="inlineStr">
        <is>
          <t>ACE-10862</t>
        </is>
      </c>
      <c r="J868" s="8" t="inlineStr">
        <is>
          <t>2026-05-10 13:23:57</t>
        </is>
      </c>
      <c r="K868" s="8" t="inlineStr">
        <is>
          <t>CUST-74834</t>
        </is>
      </c>
      <c r="L868" s="9" t="inlineStr">
        <is>
          <t>GBP-PKR</t>
        </is>
      </c>
      <c r="M868" s="8" t="inlineStr">
        <is>
          <t>GBP</t>
        </is>
      </c>
      <c r="N868" s="10" t="n">
        <v>239.4190087664536</v>
      </c>
      <c r="O868" s="11" t="n">
        <v>1</v>
      </c>
      <c r="P868" s="10" t="n">
        <v>239.4190087664536</v>
      </c>
      <c r="Q868" s="10" t="n">
        <v>1.5</v>
      </c>
      <c r="R868" s="12" t="n">
        <v>0.021</v>
      </c>
      <c r="S868" s="13" t="inlineStr">
        <is>
          <t>Success</t>
        </is>
      </c>
      <c r="T868" s="10" t="n">
        <v>0.3591285131496805</v>
      </c>
      <c r="U868" s="10" t="n">
        <v>0.7182570262993609</v>
      </c>
      <c r="V868" s="10" t="n">
        <v>2.873028105197444</v>
      </c>
    </row>
    <row r="869">
      <c r="I869" s="8" t="inlineStr">
        <is>
          <t>ACE-10863</t>
        </is>
      </c>
      <c r="J869" s="8" t="inlineStr">
        <is>
          <t>2026-05-18 09:18:30</t>
        </is>
      </c>
      <c r="K869" s="8" t="inlineStr">
        <is>
          <t>CUST-58817</t>
        </is>
      </c>
      <c r="L869" s="9" t="inlineStr">
        <is>
          <t>GBP-PKR</t>
        </is>
      </c>
      <c r="M869" s="8" t="inlineStr">
        <is>
          <t>GBP</t>
        </is>
      </c>
      <c r="N869" s="10" t="n">
        <v>325.2324388962128</v>
      </c>
      <c r="O869" s="11" t="n">
        <v>1</v>
      </c>
      <c r="P869" s="10" t="n">
        <v>325.2324388962128</v>
      </c>
      <c r="Q869" s="10" t="n">
        <v>1.5</v>
      </c>
      <c r="R869" s="12" t="n">
        <v>0.021</v>
      </c>
      <c r="S869" s="13" t="inlineStr">
        <is>
          <t>Success</t>
        </is>
      </c>
      <c r="T869" s="10" t="n">
        <v>0.4878486583443192</v>
      </c>
      <c r="U869" s="10" t="n">
        <v>0.9756973166886383</v>
      </c>
      <c r="V869" s="10" t="n">
        <v>3.902789266754553</v>
      </c>
    </row>
    <row r="870">
      <c r="I870" s="8" t="inlineStr">
        <is>
          <t>ACE-10864</t>
        </is>
      </c>
      <c r="J870" s="8" t="inlineStr">
        <is>
          <t>2026-05-11 16:26:33</t>
        </is>
      </c>
      <c r="K870" s="8" t="inlineStr">
        <is>
          <t>CUST-63752</t>
        </is>
      </c>
      <c r="L870" s="9" t="inlineStr">
        <is>
          <t>GBP-PKR</t>
        </is>
      </c>
      <c r="M870" s="8" t="inlineStr">
        <is>
          <t>GBP</t>
        </is>
      </c>
      <c r="N870" s="10" t="n">
        <v>333.4114692113171</v>
      </c>
      <c r="O870" s="11" t="n">
        <v>1</v>
      </c>
      <c r="P870" s="10" t="n">
        <v>333.4114692113171</v>
      </c>
      <c r="Q870" s="10" t="n">
        <v>1.5</v>
      </c>
      <c r="R870" s="12" t="n">
        <v>0.021</v>
      </c>
      <c r="S870" s="13" t="inlineStr">
        <is>
          <t>Success</t>
        </is>
      </c>
      <c r="T870" s="10" t="n">
        <v>0.5001172038169757</v>
      </c>
      <c r="U870" s="10" t="n">
        <v>1.000234407633951</v>
      </c>
      <c r="V870" s="10" t="n">
        <v>4.000937630535805</v>
      </c>
    </row>
    <row r="871">
      <c r="I871" s="8" t="inlineStr">
        <is>
          <t>ACE-10865</t>
        </is>
      </c>
      <c r="J871" s="8" t="inlineStr">
        <is>
          <t>2026-05-04 17:46:40</t>
        </is>
      </c>
      <c r="K871" s="8" t="inlineStr">
        <is>
          <t>CUST-84665</t>
        </is>
      </c>
      <c r="L871" s="9" t="inlineStr">
        <is>
          <t>USD-PKR</t>
        </is>
      </c>
      <c r="M871" s="8" t="inlineStr">
        <is>
          <t>USD</t>
        </is>
      </c>
      <c r="N871" s="10" t="n">
        <v>205.8913654083846</v>
      </c>
      <c r="O871" s="11" t="n">
        <v>0.8</v>
      </c>
      <c r="P871" s="10" t="n">
        <v>164.7130923267077</v>
      </c>
      <c r="Q871" s="10" t="n">
        <v>1.6</v>
      </c>
      <c r="R871" s="12" t="n">
        <v>0.019</v>
      </c>
      <c r="S871" s="13" t="inlineStr">
        <is>
          <t>Success</t>
        </is>
      </c>
      <c r="T871" s="10" t="n">
        <v>0.2470696384900616</v>
      </c>
      <c r="U871" s="10" t="n">
        <v>0</v>
      </c>
      <c r="V871" s="10" t="n">
        <v>1.976557107920493</v>
      </c>
    </row>
    <row r="872">
      <c r="I872" s="8" t="inlineStr">
        <is>
          <t>ACE-10866</t>
        </is>
      </c>
      <c r="J872" s="8" t="inlineStr">
        <is>
          <t>2026-05-23 17:59:50</t>
        </is>
      </c>
      <c r="K872" s="8" t="inlineStr">
        <is>
          <t>CUST-96321</t>
        </is>
      </c>
      <c r="L872" s="9" t="inlineStr">
        <is>
          <t>GBP-PKR</t>
        </is>
      </c>
      <c r="M872" s="8" t="inlineStr">
        <is>
          <t>GBP</t>
        </is>
      </c>
      <c r="N872" s="10" t="n">
        <v>268.0087012074138</v>
      </c>
      <c r="O872" s="11" t="n">
        <v>1</v>
      </c>
      <c r="P872" s="10" t="n">
        <v>268.0087012074138</v>
      </c>
      <c r="Q872" s="10" t="n">
        <v>1.5</v>
      </c>
      <c r="R872" s="12" t="n">
        <v>0.021</v>
      </c>
      <c r="S872" s="13" t="inlineStr">
        <is>
          <t>Success</t>
        </is>
      </c>
      <c r="T872" s="10" t="n">
        <v>0.4020130518111207</v>
      </c>
      <c r="U872" s="10" t="n">
        <v>0.8040261036222415</v>
      </c>
      <c r="V872" s="10" t="n">
        <v>3.216104414488966</v>
      </c>
    </row>
    <row r="873">
      <c r="I873" s="8" t="inlineStr">
        <is>
          <t>ACE-10867</t>
        </is>
      </c>
      <c r="J873" s="8" t="inlineStr">
        <is>
          <t>2026-05-11 12:33:36</t>
        </is>
      </c>
      <c r="K873" s="8" t="inlineStr">
        <is>
          <t>CUST-90844</t>
        </is>
      </c>
      <c r="L873" s="9" t="inlineStr">
        <is>
          <t>GBP-PKR</t>
        </is>
      </c>
      <c r="M873" s="8" t="inlineStr">
        <is>
          <t>GBP</t>
        </is>
      </c>
      <c r="N873" s="10" t="n">
        <v>286.6827323933624</v>
      </c>
      <c r="O873" s="11" t="n">
        <v>1</v>
      </c>
      <c r="P873" s="10" t="n">
        <v>286.6827323933624</v>
      </c>
      <c r="Q873" s="10" t="n">
        <v>1.5</v>
      </c>
      <c r="R873" s="12" t="n">
        <v>0.021</v>
      </c>
      <c r="S873" s="13" t="inlineStr">
        <is>
          <t>Success</t>
        </is>
      </c>
      <c r="T873" s="10" t="n">
        <v>0.4300240985900435</v>
      </c>
      <c r="U873" s="10" t="n">
        <v>0</v>
      </c>
      <c r="V873" s="10" t="n">
        <v>3.440192788720348</v>
      </c>
    </row>
    <row r="874">
      <c r="I874" s="8" t="inlineStr">
        <is>
          <t>ACE-10868</t>
        </is>
      </c>
      <c r="J874" s="8" t="inlineStr">
        <is>
          <t>2026-05-19 15:33:46</t>
        </is>
      </c>
      <c r="K874" s="8" t="inlineStr">
        <is>
          <t>CUST-91409</t>
        </is>
      </c>
      <c r="L874" s="9" t="inlineStr">
        <is>
          <t>GBP-PKR</t>
        </is>
      </c>
      <c r="M874" s="8" t="inlineStr">
        <is>
          <t>GBP</t>
        </is>
      </c>
      <c r="N874" s="10" t="n">
        <v>288.0791538605403</v>
      </c>
      <c r="O874" s="11" t="n">
        <v>1</v>
      </c>
      <c r="P874" s="10" t="n">
        <v>288.0791538605403</v>
      </c>
      <c r="Q874" s="10" t="n">
        <v>1.5</v>
      </c>
      <c r="R874" s="12" t="n">
        <v>0.021</v>
      </c>
      <c r="S874" s="13" t="inlineStr">
        <is>
          <t>Success</t>
        </is>
      </c>
      <c r="T874" s="10" t="n">
        <v>0.4321187307908105</v>
      </c>
      <c r="U874" s="10" t="n">
        <v>0.864237461581621</v>
      </c>
      <c r="V874" s="10" t="n">
        <v>3.456949846326484</v>
      </c>
    </row>
    <row r="875">
      <c r="I875" s="8" t="inlineStr">
        <is>
          <t>ACE-10869</t>
        </is>
      </c>
      <c r="J875" s="8" t="inlineStr">
        <is>
          <t>2026-05-20 11:45:18</t>
        </is>
      </c>
      <c r="K875" s="8" t="inlineStr">
        <is>
          <t>CUST-62684</t>
        </is>
      </c>
      <c r="L875" s="9" t="inlineStr">
        <is>
          <t>GBP-PKR</t>
        </is>
      </c>
      <c r="M875" s="8" t="inlineStr">
        <is>
          <t>GBP</t>
        </is>
      </c>
      <c r="N875" s="10" t="n">
        <v>297.5683749777976</v>
      </c>
      <c r="O875" s="11" t="n">
        <v>1</v>
      </c>
      <c r="P875" s="10" t="n">
        <v>297.5683749777976</v>
      </c>
      <c r="Q875" s="10" t="n">
        <v>1.5</v>
      </c>
      <c r="R875" s="12" t="n">
        <v>0.021</v>
      </c>
      <c r="S875" s="13" t="inlineStr">
        <is>
          <t>Failed</t>
        </is>
      </c>
      <c r="T875" s="10" t="n">
        <v>0</v>
      </c>
      <c r="U875" s="10" t="n">
        <v>0</v>
      </c>
      <c r="V875" s="10" t="n">
        <v>0.5</v>
      </c>
    </row>
    <row r="876">
      <c r="I876" s="8" t="inlineStr">
        <is>
          <t>ACE-10870</t>
        </is>
      </c>
      <c r="J876" s="8" t="inlineStr">
        <is>
          <t>2026-05-01 15:40:50</t>
        </is>
      </c>
      <c r="K876" s="8" t="inlineStr">
        <is>
          <t>CUST-57728</t>
        </is>
      </c>
      <c r="L876" s="9" t="inlineStr">
        <is>
          <t>GBP-PKR</t>
        </is>
      </c>
      <c r="M876" s="8" t="inlineStr">
        <is>
          <t>GBP</t>
        </is>
      </c>
      <c r="N876" s="10" t="n">
        <v>340.63450071841</v>
      </c>
      <c r="O876" s="11" t="n">
        <v>1</v>
      </c>
      <c r="P876" s="10" t="n">
        <v>340.63450071841</v>
      </c>
      <c r="Q876" s="10" t="n">
        <v>1.5</v>
      </c>
      <c r="R876" s="12" t="n">
        <v>0.021</v>
      </c>
      <c r="S876" s="13" t="inlineStr">
        <is>
          <t>Success</t>
        </is>
      </c>
      <c r="T876" s="10" t="n">
        <v>0.510951751077615</v>
      </c>
      <c r="U876" s="10" t="n">
        <v>0</v>
      </c>
      <c r="V876" s="10" t="n">
        <v>4.08761400862092</v>
      </c>
    </row>
    <row r="877">
      <c r="I877" s="8" t="inlineStr">
        <is>
          <t>ACE-10871</t>
        </is>
      </c>
      <c r="J877" s="8" t="inlineStr">
        <is>
          <t>2026-05-20 14:26:02</t>
        </is>
      </c>
      <c r="K877" s="8" t="inlineStr">
        <is>
          <t>CUST-71875</t>
        </is>
      </c>
      <c r="L877" s="9" t="inlineStr">
        <is>
          <t>GBP-PKR</t>
        </is>
      </c>
      <c r="M877" s="8" t="inlineStr">
        <is>
          <t>GBP</t>
        </is>
      </c>
      <c r="N877" s="10" t="n">
        <v>273.7170422895061</v>
      </c>
      <c r="O877" s="11" t="n">
        <v>1</v>
      </c>
      <c r="P877" s="10" t="n">
        <v>273.7170422895061</v>
      </c>
      <c r="Q877" s="10" t="n">
        <v>1.5</v>
      </c>
      <c r="R877" s="12" t="n">
        <v>0.021</v>
      </c>
      <c r="S877" s="13" t="inlineStr">
        <is>
          <t>Success</t>
        </is>
      </c>
      <c r="T877" s="10" t="n">
        <v>0.4105755634342592</v>
      </c>
      <c r="U877" s="10" t="n">
        <v>0.8211511268685184</v>
      </c>
      <c r="V877" s="10" t="n">
        <v>3.284604507474074</v>
      </c>
    </row>
    <row r="878">
      <c r="I878" s="8" t="inlineStr">
        <is>
          <t>ACE-10872</t>
        </is>
      </c>
      <c r="J878" s="8" t="inlineStr">
        <is>
          <t>2026-05-07 08:40:12</t>
        </is>
      </c>
      <c r="K878" s="8" t="inlineStr">
        <is>
          <t>CUST-95220</t>
        </is>
      </c>
      <c r="L878" s="9" t="inlineStr">
        <is>
          <t>USD-PKR</t>
        </is>
      </c>
      <c r="M878" s="8" t="inlineStr">
        <is>
          <t>USD</t>
        </is>
      </c>
      <c r="N878" s="10" t="n">
        <v>202.1071135377036</v>
      </c>
      <c r="O878" s="11" t="n">
        <v>0.8</v>
      </c>
      <c r="P878" s="10" t="n">
        <v>161.6856908301629</v>
      </c>
      <c r="Q878" s="10" t="n">
        <v>1.6</v>
      </c>
      <c r="R878" s="12" t="n">
        <v>0.019</v>
      </c>
      <c r="S878" s="13" t="inlineStr">
        <is>
          <t>Success</t>
        </is>
      </c>
      <c r="T878" s="10" t="n">
        <v>0.2425285362452444</v>
      </c>
      <c r="U878" s="10" t="n">
        <v>0.4850570724904887</v>
      </c>
      <c r="V878" s="10" t="n">
        <v>1.940228289961955</v>
      </c>
    </row>
    <row r="879">
      <c r="I879" s="8" t="inlineStr">
        <is>
          <t>ACE-10873</t>
        </is>
      </c>
      <c r="J879" s="8" t="inlineStr">
        <is>
          <t>2026-05-10 12:32:35</t>
        </is>
      </c>
      <c r="K879" s="8" t="inlineStr">
        <is>
          <t>CUST-71228</t>
        </is>
      </c>
      <c r="L879" s="9" t="inlineStr">
        <is>
          <t>EUR-PKR</t>
        </is>
      </c>
      <c r="M879" s="8" t="inlineStr">
        <is>
          <t>EUR</t>
        </is>
      </c>
      <c r="N879" s="10" t="n">
        <v>164.6944846476438</v>
      </c>
      <c r="O879" s="11" t="n">
        <v>0.85</v>
      </c>
      <c r="P879" s="10" t="n">
        <v>139.9903119504972</v>
      </c>
      <c r="Q879" s="10" t="n">
        <v>1.275</v>
      </c>
      <c r="R879" s="12" t="n">
        <v>0.023</v>
      </c>
      <c r="S879" s="13" t="inlineStr">
        <is>
          <t>Success</t>
        </is>
      </c>
      <c r="T879" s="10" t="n">
        <v>0.2099854679257459</v>
      </c>
      <c r="U879" s="10" t="n">
        <v>0</v>
      </c>
      <c r="V879" s="10" t="n">
        <v>2.099854679257458</v>
      </c>
    </row>
    <row r="880">
      <c r="I880" s="8" t="inlineStr">
        <is>
          <t>ACE-10874</t>
        </is>
      </c>
      <c r="J880" s="8" t="inlineStr">
        <is>
          <t>2026-05-11 13:25:46</t>
        </is>
      </c>
      <c r="K880" s="8" t="inlineStr">
        <is>
          <t>CUST-87284</t>
        </is>
      </c>
      <c r="L880" s="9" t="inlineStr">
        <is>
          <t>USD-PKR</t>
        </is>
      </c>
      <c r="M880" s="8" t="inlineStr">
        <is>
          <t>USD</t>
        </is>
      </c>
      <c r="N880" s="10" t="n">
        <v>203.4732491346751</v>
      </c>
      <c r="O880" s="11" t="n">
        <v>0.8</v>
      </c>
      <c r="P880" s="10" t="n">
        <v>162.7785993077401</v>
      </c>
      <c r="Q880" s="10" t="n">
        <v>1.6</v>
      </c>
      <c r="R880" s="12" t="n">
        <v>0.019</v>
      </c>
      <c r="S880" s="13" t="inlineStr">
        <is>
          <t>Success</t>
        </is>
      </c>
      <c r="T880" s="10" t="n">
        <v>0.2441678989616102</v>
      </c>
      <c r="U880" s="10" t="n">
        <v>0</v>
      </c>
      <c r="V880" s="10" t="n">
        <v>1.953343191692881</v>
      </c>
    </row>
    <row r="881">
      <c r="I881" s="8" t="inlineStr">
        <is>
          <t>ACE-10875</t>
        </is>
      </c>
      <c r="J881" s="8" t="inlineStr">
        <is>
          <t>2026-05-06 11:21:53</t>
        </is>
      </c>
      <c r="K881" s="8" t="inlineStr">
        <is>
          <t>CUST-72147</t>
        </is>
      </c>
      <c r="L881" s="9" t="inlineStr">
        <is>
          <t>GBP-PKR</t>
        </is>
      </c>
      <c r="M881" s="8" t="inlineStr">
        <is>
          <t>GBP</t>
        </is>
      </c>
      <c r="N881" s="10" t="n">
        <v>277.6820921401745</v>
      </c>
      <c r="O881" s="11" t="n">
        <v>1</v>
      </c>
      <c r="P881" s="10" t="n">
        <v>277.6820921401745</v>
      </c>
      <c r="Q881" s="10" t="n">
        <v>1.5</v>
      </c>
      <c r="R881" s="12" t="n">
        <v>0.021</v>
      </c>
      <c r="S881" s="13" t="inlineStr">
        <is>
          <t>Success</t>
        </is>
      </c>
      <c r="T881" s="10" t="n">
        <v>0.4165231382102617</v>
      </c>
      <c r="U881" s="10" t="n">
        <v>0</v>
      </c>
      <c r="V881" s="10" t="n">
        <v>3.332185105682094</v>
      </c>
    </row>
    <row r="882">
      <c r="I882" s="8" t="inlineStr">
        <is>
          <t>ACE-10876</t>
        </is>
      </c>
      <c r="J882" s="8" t="inlineStr">
        <is>
          <t>2026-05-16 20:02:41</t>
        </is>
      </c>
      <c r="K882" s="8" t="inlineStr">
        <is>
          <t>CUST-58896</t>
        </is>
      </c>
      <c r="L882" s="9" t="inlineStr">
        <is>
          <t>GBP-PKR</t>
        </is>
      </c>
      <c r="M882" s="8" t="inlineStr">
        <is>
          <t>GBP</t>
        </is>
      </c>
      <c r="N882" s="10" t="n">
        <v>333.367468149993</v>
      </c>
      <c r="O882" s="11" t="n">
        <v>1</v>
      </c>
      <c r="P882" s="10" t="n">
        <v>333.367468149993</v>
      </c>
      <c r="Q882" s="10" t="n">
        <v>1.5</v>
      </c>
      <c r="R882" s="12" t="n">
        <v>0.021</v>
      </c>
      <c r="S882" s="13" t="inlineStr">
        <is>
          <t>Success</t>
        </is>
      </c>
      <c r="T882" s="10" t="n">
        <v>0.5000512022249894</v>
      </c>
      <c r="U882" s="10" t="n">
        <v>1.000102404449979</v>
      </c>
      <c r="V882" s="10" t="n">
        <v>4.000409617799916</v>
      </c>
    </row>
    <row r="883">
      <c r="I883" s="8" t="inlineStr">
        <is>
          <t>ACE-10877</t>
        </is>
      </c>
      <c r="J883" s="8" t="inlineStr">
        <is>
          <t>2026-05-18 13:29:50</t>
        </is>
      </c>
      <c r="K883" s="8" t="inlineStr">
        <is>
          <t>CUST-77128</t>
        </is>
      </c>
      <c r="L883" s="9" t="inlineStr">
        <is>
          <t>USD-PKR</t>
        </is>
      </c>
      <c r="M883" s="8" t="inlineStr">
        <is>
          <t>USD</t>
        </is>
      </c>
      <c r="N883" s="10" t="n">
        <v>207.8603409506408</v>
      </c>
      <c r="O883" s="11" t="n">
        <v>0.8</v>
      </c>
      <c r="P883" s="10" t="n">
        <v>166.2882727605126</v>
      </c>
      <c r="Q883" s="10" t="n">
        <v>1.6</v>
      </c>
      <c r="R883" s="12" t="n">
        <v>0.019</v>
      </c>
      <c r="S883" s="13" t="inlineStr">
        <is>
          <t>Success</t>
        </is>
      </c>
      <c r="T883" s="10" t="n">
        <v>0.2494324091407689</v>
      </c>
      <c r="U883" s="10" t="n">
        <v>0</v>
      </c>
      <c r="V883" s="10" t="n">
        <v>1.995459273126152</v>
      </c>
    </row>
    <row r="884">
      <c r="I884" s="8" t="inlineStr">
        <is>
          <t>ACE-10878</t>
        </is>
      </c>
      <c r="J884" s="8" t="inlineStr">
        <is>
          <t>2026-05-17 12:36:46</t>
        </is>
      </c>
      <c r="K884" s="8" t="inlineStr">
        <is>
          <t>CUST-94446</t>
        </is>
      </c>
      <c r="L884" s="9" t="inlineStr">
        <is>
          <t>USD-PKR</t>
        </is>
      </c>
      <c r="M884" s="8" t="inlineStr">
        <is>
          <t>USD</t>
        </is>
      </c>
      <c r="N884" s="10" t="n">
        <v>223.8567507080233</v>
      </c>
      <c r="O884" s="11" t="n">
        <v>0.8</v>
      </c>
      <c r="P884" s="10" t="n">
        <v>179.0854005664186</v>
      </c>
      <c r="Q884" s="10" t="n">
        <v>1.6</v>
      </c>
      <c r="R884" s="12" t="n">
        <v>0.019</v>
      </c>
      <c r="S884" s="13" t="inlineStr">
        <is>
          <t>Success</t>
        </is>
      </c>
      <c r="T884" s="10" t="n">
        <v>0.268628100849628</v>
      </c>
      <c r="U884" s="10" t="n">
        <v>0</v>
      </c>
      <c r="V884" s="10" t="n">
        <v>2.149024806797024</v>
      </c>
    </row>
    <row r="885">
      <c r="I885" s="8" t="inlineStr">
        <is>
          <t>ACE-10879</t>
        </is>
      </c>
      <c r="J885" s="8" t="inlineStr">
        <is>
          <t>2026-05-07 17:43:21</t>
        </is>
      </c>
      <c r="K885" s="8" t="inlineStr">
        <is>
          <t>CUST-73173</t>
        </is>
      </c>
      <c r="L885" s="9" t="inlineStr">
        <is>
          <t>USD-PKR</t>
        </is>
      </c>
      <c r="M885" s="8" t="inlineStr">
        <is>
          <t>USD</t>
        </is>
      </c>
      <c r="N885" s="10" t="n">
        <v>218.5435387599984</v>
      </c>
      <c r="O885" s="11" t="n">
        <v>0.8</v>
      </c>
      <c r="P885" s="10" t="n">
        <v>174.8348310079987</v>
      </c>
      <c r="Q885" s="10" t="n">
        <v>1.6</v>
      </c>
      <c r="R885" s="12" t="n">
        <v>0.019</v>
      </c>
      <c r="S885" s="13" t="inlineStr">
        <is>
          <t>Success</t>
        </is>
      </c>
      <c r="T885" s="10" t="n">
        <v>0.2622522465119981</v>
      </c>
      <c r="U885" s="10" t="n">
        <v>0</v>
      </c>
      <c r="V885" s="10" t="n">
        <v>2.098017972095985</v>
      </c>
    </row>
    <row r="886">
      <c r="I886" s="8" t="inlineStr">
        <is>
          <t>ACE-10880</t>
        </is>
      </c>
      <c r="J886" s="8" t="inlineStr">
        <is>
          <t>2026-05-01 13:24:40</t>
        </is>
      </c>
      <c r="K886" s="8" t="inlineStr">
        <is>
          <t>CUST-85014</t>
        </is>
      </c>
      <c r="L886" s="9" t="inlineStr">
        <is>
          <t>GBP-PKR</t>
        </is>
      </c>
      <c r="M886" s="8" t="inlineStr">
        <is>
          <t>GBP</t>
        </is>
      </c>
      <c r="N886" s="10" t="n">
        <v>313.7601782364456</v>
      </c>
      <c r="O886" s="11" t="n">
        <v>1</v>
      </c>
      <c r="P886" s="10" t="n">
        <v>313.7601782364456</v>
      </c>
      <c r="Q886" s="10" t="n">
        <v>1.5</v>
      </c>
      <c r="R886" s="12" t="n">
        <v>0.021</v>
      </c>
      <c r="S886" s="13" t="inlineStr">
        <is>
          <t>Success</t>
        </is>
      </c>
      <c r="T886" s="10" t="n">
        <v>0.4706402673546684</v>
      </c>
      <c r="U886" s="10" t="n">
        <v>0</v>
      </c>
      <c r="V886" s="10" t="n">
        <v>3.765122138837347</v>
      </c>
    </row>
    <row r="887">
      <c r="I887" s="8" t="inlineStr">
        <is>
          <t>ACE-10881</t>
        </is>
      </c>
      <c r="J887" s="8" t="inlineStr">
        <is>
          <t>2026-05-13 10:38:07</t>
        </is>
      </c>
      <c r="K887" s="8" t="inlineStr">
        <is>
          <t>CUST-99252</t>
        </is>
      </c>
      <c r="L887" s="9" t="inlineStr">
        <is>
          <t>USD-PKR</t>
        </is>
      </c>
      <c r="M887" s="8" t="inlineStr">
        <is>
          <t>USD</t>
        </is>
      </c>
      <c r="N887" s="10" t="n">
        <v>281.8347169324322</v>
      </c>
      <c r="O887" s="11" t="n">
        <v>0.8</v>
      </c>
      <c r="P887" s="10" t="n">
        <v>225.4677735459458</v>
      </c>
      <c r="Q887" s="10" t="n">
        <v>1.6</v>
      </c>
      <c r="R887" s="12" t="n">
        <v>0.019</v>
      </c>
      <c r="S887" s="13" t="inlineStr">
        <is>
          <t>Success</t>
        </is>
      </c>
      <c r="T887" s="10" t="n">
        <v>0.3382016603189187</v>
      </c>
      <c r="U887" s="10" t="n">
        <v>0.6764033206378374</v>
      </c>
      <c r="V887" s="10" t="n">
        <v>2.705613282551349</v>
      </c>
    </row>
    <row r="888">
      <c r="I888" s="8" t="inlineStr">
        <is>
          <t>ACE-10882</t>
        </is>
      </c>
      <c r="J888" s="8" t="inlineStr">
        <is>
          <t>2026-05-23 08:17:26</t>
        </is>
      </c>
      <c r="K888" s="8" t="inlineStr">
        <is>
          <t>CUST-55688</t>
        </is>
      </c>
      <c r="L888" s="9" t="inlineStr">
        <is>
          <t>GBP-PKR</t>
        </is>
      </c>
      <c r="M888" s="8" t="inlineStr">
        <is>
          <t>GBP</t>
        </is>
      </c>
      <c r="N888" s="10" t="n">
        <v>264.1990313888273</v>
      </c>
      <c r="O888" s="11" t="n">
        <v>1</v>
      </c>
      <c r="P888" s="10" t="n">
        <v>264.1990313888273</v>
      </c>
      <c r="Q888" s="10" t="n">
        <v>1.5</v>
      </c>
      <c r="R888" s="12" t="n">
        <v>0.021</v>
      </c>
      <c r="S888" s="13" t="inlineStr">
        <is>
          <t>Success</t>
        </is>
      </c>
      <c r="T888" s="10" t="n">
        <v>0.3962985470832409</v>
      </c>
      <c r="U888" s="10" t="n">
        <v>0</v>
      </c>
      <c r="V888" s="10" t="n">
        <v>3.170388376665927</v>
      </c>
    </row>
    <row r="889">
      <c r="I889" s="8" t="inlineStr">
        <is>
          <t>ACE-10883</t>
        </is>
      </c>
      <c r="J889" s="8" t="inlineStr">
        <is>
          <t>2026-05-15 12:13:33</t>
        </is>
      </c>
      <c r="K889" s="8" t="inlineStr">
        <is>
          <t>CUST-69812</t>
        </is>
      </c>
      <c r="L889" s="9" t="inlineStr">
        <is>
          <t>GBP-PKR</t>
        </is>
      </c>
      <c r="M889" s="8" t="inlineStr">
        <is>
          <t>GBP</t>
        </is>
      </c>
      <c r="N889" s="10" t="n">
        <v>265.2958607616622</v>
      </c>
      <c r="O889" s="11" t="n">
        <v>1</v>
      </c>
      <c r="P889" s="10" t="n">
        <v>265.2958607616622</v>
      </c>
      <c r="Q889" s="10" t="n">
        <v>1.5</v>
      </c>
      <c r="R889" s="12" t="n">
        <v>0.021</v>
      </c>
      <c r="S889" s="13" t="inlineStr">
        <is>
          <t>Success</t>
        </is>
      </c>
      <c r="T889" s="10" t="n">
        <v>0.3979437911424933</v>
      </c>
      <c r="U889" s="10" t="n">
        <v>0</v>
      </c>
      <c r="V889" s="10" t="n">
        <v>3.183550329139946</v>
      </c>
    </row>
    <row r="890">
      <c r="I890" s="8" t="inlineStr">
        <is>
          <t>ACE-10884</t>
        </is>
      </c>
      <c r="J890" s="8" t="inlineStr">
        <is>
          <t>2026-05-02 20:12:58</t>
        </is>
      </c>
      <c r="K890" s="8" t="inlineStr">
        <is>
          <t>CUST-56068</t>
        </is>
      </c>
      <c r="L890" s="9" t="inlineStr">
        <is>
          <t>USD-PKR</t>
        </is>
      </c>
      <c r="M890" s="8" t="inlineStr">
        <is>
          <t>USD</t>
        </is>
      </c>
      <c r="N890" s="10" t="n">
        <v>242.9956723831851</v>
      </c>
      <c r="O890" s="11" t="n">
        <v>0.8</v>
      </c>
      <c r="P890" s="10" t="n">
        <v>194.3965379065481</v>
      </c>
      <c r="Q890" s="10" t="n">
        <v>1.6</v>
      </c>
      <c r="R890" s="12" t="n">
        <v>0.019</v>
      </c>
      <c r="S890" s="13" t="inlineStr">
        <is>
          <t>Success</t>
        </is>
      </c>
      <c r="T890" s="10" t="n">
        <v>0.2915948068598222</v>
      </c>
      <c r="U890" s="10" t="n">
        <v>0</v>
      </c>
      <c r="V890" s="10" t="n">
        <v>2.332758454878578</v>
      </c>
    </row>
    <row r="891">
      <c r="I891" s="8" t="inlineStr">
        <is>
          <t>ACE-10885</t>
        </is>
      </c>
      <c r="J891" s="8" t="inlineStr">
        <is>
          <t>2026-05-16 16:09:12</t>
        </is>
      </c>
      <c r="K891" s="8" t="inlineStr">
        <is>
          <t>CUST-72289</t>
        </is>
      </c>
      <c r="L891" s="9" t="inlineStr">
        <is>
          <t>GBP-PKR</t>
        </is>
      </c>
      <c r="M891" s="8" t="inlineStr">
        <is>
          <t>GBP</t>
        </is>
      </c>
      <c r="N891" s="10" t="n">
        <v>298.2639259617443</v>
      </c>
      <c r="O891" s="11" t="n">
        <v>1</v>
      </c>
      <c r="P891" s="10" t="n">
        <v>298.2639259617443</v>
      </c>
      <c r="Q891" s="10" t="n">
        <v>1.5</v>
      </c>
      <c r="R891" s="12" t="n">
        <v>0.021</v>
      </c>
      <c r="S891" s="13" t="inlineStr">
        <is>
          <t>Success</t>
        </is>
      </c>
      <c r="T891" s="10" t="n">
        <v>0.4473958889426164</v>
      </c>
      <c r="U891" s="10" t="n">
        <v>0.8947917778852329</v>
      </c>
      <c r="V891" s="10" t="n">
        <v>3.579167111540932</v>
      </c>
    </row>
    <row r="892">
      <c r="I892" s="8" t="inlineStr">
        <is>
          <t>ACE-10886</t>
        </is>
      </c>
      <c r="J892" s="8" t="inlineStr">
        <is>
          <t>2026-05-17 12:49:20</t>
        </is>
      </c>
      <c r="K892" s="8" t="inlineStr">
        <is>
          <t>CUST-59390</t>
        </is>
      </c>
      <c r="L892" s="9" t="inlineStr">
        <is>
          <t>GBP-PKR</t>
        </is>
      </c>
      <c r="M892" s="8" t="inlineStr">
        <is>
          <t>GBP</t>
        </is>
      </c>
      <c r="N892" s="10" t="n">
        <v>335.110502533541</v>
      </c>
      <c r="O892" s="11" t="n">
        <v>1</v>
      </c>
      <c r="P892" s="10" t="n">
        <v>335.110502533541</v>
      </c>
      <c r="Q892" s="10" t="n">
        <v>1.5</v>
      </c>
      <c r="R892" s="12" t="n">
        <v>0.021</v>
      </c>
      <c r="S892" s="13" t="inlineStr">
        <is>
          <t>Success</t>
        </is>
      </c>
      <c r="T892" s="10" t="n">
        <v>0.5026657538003114</v>
      </c>
      <c r="U892" s="10" t="n">
        <v>0</v>
      </c>
      <c r="V892" s="10" t="n">
        <v>4.021326030402491</v>
      </c>
    </row>
    <row r="893">
      <c r="I893" s="8" t="inlineStr">
        <is>
          <t>ACE-10887</t>
        </is>
      </c>
      <c r="J893" s="8" t="inlineStr">
        <is>
          <t>2026-05-17 18:08:13</t>
        </is>
      </c>
      <c r="K893" s="8" t="inlineStr">
        <is>
          <t>CUST-97485</t>
        </is>
      </c>
      <c r="L893" s="9" t="inlineStr">
        <is>
          <t>GBP-PKR</t>
        </is>
      </c>
      <c r="M893" s="8" t="inlineStr">
        <is>
          <t>GBP</t>
        </is>
      </c>
      <c r="N893" s="10" t="n">
        <v>295.3562992767947</v>
      </c>
      <c r="O893" s="11" t="n">
        <v>1</v>
      </c>
      <c r="P893" s="10" t="n">
        <v>295.3562992767947</v>
      </c>
      <c r="Q893" s="10" t="n">
        <v>1.5</v>
      </c>
      <c r="R893" s="12" t="n">
        <v>0.021</v>
      </c>
      <c r="S893" s="13" t="inlineStr">
        <is>
          <t>Success</t>
        </is>
      </c>
      <c r="T893" s="10" t="n">
        <v>0.4430344489151921</v>
      </c>
      <c r="U893" s="10" t="n">
        <v>0</v>
      </c>
      <c r="V893" s="10" t="n">
        <v>3.544275591321536</v>
      </c>
    </row>
    <row r="894">
      <c r="I894" s="8" t="inlineStr">
        <is>
          <t>ACE-10888</t>
        </is>
      </c>
      <c r="J894" s="8" t="inlineStr">
        <is>
          <t>2026-05-17 09:00:19</t>
        </is>
      </c>
      <c r="K894" s="8" t="inlineStr">
        <is>
          <t>CUST-52885</t>
        </is>
      </c>
      <c r="L894" s="9" t="inlineStr">
        <is>
          <t>GBP-PKR</t>
        </is>
      </c>
      <c r="M894" s="8" t="inlineStr">
        <is>
          <t>GBP</t>
        </is>
      </c>
      <c r="N894" s="10" t="n">
        <v>268.771182271556</v>
      </c>
      <c r="O894" s="11" t="n">
        <v>1</v>
      </c>
      <c r="P894" s="10" t="n">
        <v>268.771182271556</v>
      </c>
      <c r="Q894" s="10" t="n">
        <v>1.5</v>
      </c>
      <c r="R894" s="12" t="n">
        <v>0.021</v>
      </c>
      <c r="S894" s="13" t="inlineStr">
        <is>
          <t>Success</t>
        </is>
      </c>
      <c r="T894" s="10" t="n">
        <v>0.4031567734073341</v>
      </c>
      <c r="U894" s="10" t="n">
        <v>0</v>
      </c>
      <c r="V894" s="10" t="n">
        <v>3.225254187258673</v>
      </c>
    </row>
    <row r="895">
      <c r="I895" s="8" t="inlineStr">
        <is>
          <t>ACE-10889</t>
        </is>
      </c>
      <c r="J895" s="8" t="inlineStr">
        <is>
          <t>2026-05-03 13:29:56</t>
        </is>
      </c>
      <c r="K895" s="8" t="inlineStr">
        <is>
          <t>CUST-53023</t>
        </is>
      </c>
      <c r="L895" s="9" t="inlineStr">
        <is>
          <t>GBP-PKR</t>
        </is>
      </c>
      <c r="M895" s="8" t="inlineStr">
        <is>
          <t>GBP</t>
        </is>
      </c>
      <c r="N895" s="10" t="n">
        <v>295.5550418210266</v>
      </c>
      <c r="O895" s="11" t="n">
        <v>1</v>
      </c>
      <c r="P895" s="10" t="n">
        <v>295.5550418210266</v>
      </c>
      <c r="Q895" s="10" t="n">
        <v>1.5</v>
      </c>
      <c r="R895" s="12" t="n">
        <v>0.021</v>
      </c>
      <c r="S895" s="13" t="inlineStr">
        <is>
          <t>Success</t>
        </is>
      </c>
      <c r="T895" s="10" t="n">
        <v>0.4433325627315399</v>
      </c>
      <c r="U895" s="10" t="n">
        <v>0.8866651254630797</v>
      </c>
      <c r="V895" s="10" t="n">
        <v>3.546660501852319</v>
      </c>
    </row>
    <row r="896">
      <c r="I896" s="8" t="inlineStr">
        <is>
          <t>ACE-10890</t>
        </is>
      </c>
      <c r="J896" s="8" t="inlineStr">
        <is>
          <t>2026-05-24 12:01:36</t>
        </is>
      </c>
      <c r="K896" s="8" t="inlineStr">
        <is>
          <t>CUST-99708</t>
        </is>
      </c>
      <c r="L896" s="9" t="inlineStr">
        <is>
          <t>EUR-PKR</t>
        </is>
      </c>
      <c r="M896" s="8" t="inlineStr">
        <is>
          <t>EUR</t>
        </is>
      </c>
      <c r="N896" s="10" t="n">
        <v>211.2187719494628</v>
      </c>
      <c r="O896" s="11" t="n">
        <v>0.85</v>
      </c>
      <c r="P896" s="10" t="n">
        <v>179.5359561570434</v>
      </c>
      <c r="Q896" s="10" t="n">
        <v>1.275</v>
      </c>
      <c r="R896" s="12" t="n">
        <v>0.023</v>
      </c>
      <c r="S896" s="13" t="inlineStr">
        <is>
          <t>Success</t>
        </is>
      </c>
      <c r="T896" s="10" t="n">
        <v>0.269303934235565</v>
      </c>
      <c r="U896" s="10" t="n">
        <v>0.5386078684711301</v>
      </c>
      <c r="V896" s="10" t="n">
        <v>2.69303934235565</v>
      </c>
    </row>
    <row r="897">
      <c r="I897" s="8" t="inlineStr">
        <is>
          <t>ACE-10891</t>
        </is>
      </c>
      <c r="J897" s="8" t="inlineStr">
        <is>
          <t>2026-05-11 11:12:18</t>
        </is>
      </c>
      <c r="K897" s="8" t="inlineStr">
        <is>
          <t>CUST-68130</t>
        </is>
      </c>
      <c r="L897" s="9" t="inlineStr">
        <is>
          <t>USD-PKR</t>
        </is>
      </c>
      <c r="M897" s="8" t="inlineStr">
        <is>
          <t>USD</t>
        </is>
      </c>
      <c r="N897" s="10" t="n">
        <v>237.6207141541911</v>
      </c>
      <c r="O897" s="11" t="n">
        <v>0.8</v>
      </c>
      <c r="P897" s="10" t="n">
        <v>190.0965713233529</v>
      </c>
      <c r="Q897" s="10" t="n">
        <v>1.6</v>
      </c>
      <c r="R897" s="12" t="n">
        <v>0.019</v>
      </c>
      <c r="S897" s="13" t="inlineStr">
        <is>
          <t>Success</t>
        </is>
      </c>
      <c r="T897" s="10" t="n">
        <v>0.2851448569850294</v>
      </c>
      <c r="U897" s="10" t="n">
        <v>0.5702897139700588</v>
      </c>
      <c r="V897" s="10" t="n">
        <v>2.281158855880235</v>
      </c>
    </row>
    <row r="898">
      <c r="I898" s="8" t="inlineStr">
        <is>
          <t>ACE-10892</t>
        </is>
      </c>
      <c r="J898" s="8" t="inlineStr">
        <is>
          <t>2026-05-22 09:17:09</t>
        </is>
      </c>
      <c r="K898" s="8" t="inlineStr">
        <is>
          <t>CUST-60321</t>
        </is>
      </c>
      <c r="L898" s="9" t="inlineStr">
        <is>
          <t>GBP-PKR</t>
        </is>
      </c>
      <c r="M898" s="8" t="inlineStr">
        <is>
          <t>GBP</t>
        </is>
      </c>
      <c r="N898" s="10" t="n">
        <v>293.1009257763162</v>
      </c>
      <c r="O898" s="11" t="n">
        <v>1</v>
      </c>
      <c r="P898" s="10" t="n">
        <v>293.1009257763162</v>
      </c>
      <c r="Q898" s="10" t="n">
        <v>1.5</v>
      </c>
      <c r="R898" s="12" t="n">
        <v>0.021</v>
      </c>
      <c r="S898" s="13" t="inlineStr">
        <is>
          <t>Success</t>
        </is>
      </c>
      <c r="T898" s="10" t="n">
        <v>0.4396513886644743</v>
      </c>
      <c r="U898" s="10" t="n">
        <v>0</v>
      </c>
      <c r="V898" s="10" t="n">
        <v>3.517211109315795</v>
      </c>
    </row>
    <row r="899">
      <c r="I899" s="8" t="inlineStr">
        <is>
          <t>ACE-10893</t>
        </is>
      </c>
      <c r="J899" s="8" t="inlineStr">
        <is>
          <t>2026-05-20 16:32:06</t>
        </is>
      </c>
      <c r="K899" s="8" t="inlineStr">
        <is>
          <t>CUST-63538</t>
        </is>
      </c>
      <c r="L899" s="9" t="inlineStr">
        <is>
          <t>GBP-PKR</t>
        </is>
      </c>
      <c r="M899" s="8" t="inlineStr">
        <is>
          <t>GBP</t>
        </is>
      </c>
      <c r="N899" s="10" t="n">
        <v>309.9642821990191</v>
      </c>
      <c r="O899" s="11" t="n">
        <v>1</v>
      </c>
      <c r="P899" s="10" t="n">
        <v>309.9642821990191</v>
      </c>
      <c r="Q899" s="10" t="n">
        <v>1.5</v>
      </c>
      <c r="R899" s="12" t="n">
        <v>0.021</v>
      </c>
      <c r="S899" s="13" t="inlineStr">
        <is>
          <t>Success</t>
        </is>
      </c>
      <c r="T899" s="10" t="n">
        <v>0.4649464232985286</v>
      </c>
      <c r="U899" s="10" t="n">
        <v>0</v>
      </c>
      <c r="V899" s="10" t="n">
        <v>3.719571386388229</v>
      </c>
    </row>
    <row r="900">
      <c r="I900" s="8" t="inlineStr">
        <is>
          <t>ACE-10894</t>
        </is>
      </c>
      <c r="J900" s="8" t="inlineStr">
        <is>
          <t>2026-05-09 10:45:51</t>
        </is>
      </c>
      <c r="K900" s="8" t="inlineStr">
        <is>
          <t>CUST-68564</t>
        </is>
      </c>
      <c r="L900" s="9" t="inlineStr">
        <is>
          <t>EUR-PKR</t>
        </is>
      </c>
      <c r="M900" s="8" t="inlineStr">
        <is>
          <t>EUR</t>
        </is>
      </c>
      <c r="N900" s="10" t="n">
        <v>212.5024741180265</v>
      </c>
      <c r="O900" s="11" t="n">
        <v>0.85</v>
      </c>
      <c r="P900" s="10" t="n">
        <v>180.6271030003225</v>
      </c>
      <c r="Q900" s="10" t="n">
        <v>1.275</v>
      </c>
      <c r="R900" s="12" t="n">
        <v>0.023</v>
      </c>
      <c r="S900" s="13" t="inlineStr">
        <is>
          <t>Success</t>
        </is>
      </c>
      <c r="T900" s="10" t="n">
        <v>0.2709406545004838</v>
      </c>
      <c r="U900" s="10" t="n">
        <v>0</v>
      </c>
      <c r="V900" s="10" t="n">
        <v>2.709406545004838</v>
      </c>
    </row>
    <row r="901">
      <c r="I901" s="8" t="inlineStr">
        <is>
          <t>ACE-10895</t>
        </is>
      </c>
      <c r="J901" s="8" t="inlineStr">
        <is>
          <t>2026-05-10 17:57:21</t>
        </is>
      </c>
      <c r="K901" s="8" t="inlineStr">
        <is>
          <t>CUST-85427</t>
        </is>
      </c>
      <c r="L901" s="9" t="inlineStr">
        <is>
          <t>GBP-PKR</t>
        </is>
      </c>
      <c r="M901" s="8" t="inlineStr">
        <is>
          <t>GBP</t>
        </is>
      </c>
      <c r="N901" s="10" t="n">
        <v>319.8990579974648</v>
      </c>
      <c r="O901" s="11" t="n">
        <v>1</v>
      </c>
      <c r="P901" s="10" t="n">
        <v>319.8990579974648</v>
      </c>
      <c r="Q901" s="10" t="n">
        <v>1.5</v>
      </c>
      <c r="R901" s="12" t="n">
        <v>0.021</v>
      </c>
      <c r="S901" s="13" t="inlineStr">
        <is>
          <t>Success</t>
        </is>
      </c>
      <c r="T901" s="10" t="n">
        <v>0.4798485869961972</v>
      </c>
      <c r="U901" s="10" t="n">
        <v>0</v>
      </c>
      <c r="V901" s="10" t="n">
        <v>3.838788695969578</v>
      </c>
    </row>
    <row r="902">
      <c r="I902" s="8" t="inlineStr">
        <is>
          <t>ACE-10896</t>
        </is>
      </c>
      <c r="J902" s="8" t="inlineStr">
        <is>
          <t>2026-05-16 18:03:06</t>
        </is>
      </c>
      <c r="K902" s="8" t="inlineStr">
        <is>
          <t>CUST-75139</t>
        </is>
      </c>
      <c r="L902" s="9" t="inlineStr">
        <is>
          <t>GBP-PKR</t>
        </is>
      </c>
      <c r="M902" s="8" t="inlineStr">
        <is>
          <t>GBP</t>
        </is>
      </c>
      <c r="N902" s="10" t="n">
        <v>297.2758786286474</v>
      </c>
      <c r="O902" s="11" t="n">
        <v>1</v>
      </c>
      <c r="P902" s="10" t="n">
        <v>297.2758786286474</v>
      </c>
      <c r="Q902" s="10" t="n">
        <v>1.5</v>
      </c>
      <c r="R902" s="12" t="n">
        <v>0.021</v>
      </c>
      <c r="S902" s="13" t="inlineStr">
        <is>
          <t>Success</t>
        </is>
      </c>
      <c r="T902" s="10" t="n">
        <v>0.4459138179429711</v>
      </c>
      <c r="U902" s="10" t="n">
        <v>0</v>
      </c>
      <c r="V902" s="10" t="n">
        <v>3.567310543543769</v>
      </c>
    </row>
    <row r="903">
      <c r="I903" s="8" t="inlineStr">
        <is>
          <t>ACE-10897</t>
        </is>
      </c>
      <c r="J903" s="8" t="inlineStr">
        <is>
          <t>2026-05-06 19:38:57</t>
        </is>
      </c>
      <c r="K903" s="8" t="inlineStr">
        <is>
          <t>CUST-88846</t>
        </is>
      </c>
      <c r="L903" s="9" t="inlineStr">
        <is>
          <t>GBP-PKR</t>
        </is>
      </c>
      <c r="M903" s="8" t="inlineStr">
        <is>
          <t>GBP</t>
        </is>
      </c>
      <c r="N903" s="10" t="n">
        <v>273.986215064133</v>
      </c>
      <c r="O903" s="11" t="n">
        <v>1</v>
      </c>
      <c r="P903" s="10" t="n">
        <v>273.986215064133</v>
      </c>
      <c r="Q903" s="10" t="n">
        <v>1.5</v>
      </c>
      <c r="R903" s="12" t="n">
        <v>0.021</v>
      </c>
      <c r="S903" s="13" t="inlineStr">
        <is>
          <t>Success</t>
        </is>
      </c>
      <c r="T903" s="10" t="n">
        <v>0.4109793225961995</v>
      </c>
      <c r="U903" s="10" t="n">
        <v>0.8219586451923989</v>
      </c>
      <c r="V903" s="10" t="n">
        <v>3.287834580769596</v>
      </c>
    </row>
    <row r="904">
      <c r="I904" s="8" t="inlineStr">
        <is>
          <t>ACE-10898</t>
        </is>
      </c>
      <c r="J904" s="8" t="inlineStr">
        <is>
          <t>2026-05-15 17:22:19</t>
        </is>
      </c>
      <c r="K904" s="8" t="inlineStr">
        <is>
          <t>CUST-71779</t>
        </is>
      </c>
      <c r="L904" s="9" t="inlineStr">
        <is>
          <t>GBP-PKR</t>
        </is>
      </c>
      <c r="M904" s="8" t="inlineStr">
        <is>
          <t>GBP</t>
        </is>
      </c>
      <c r="N904" s="10" t="n">
        <v>282.7211204897712</v>
      </c>
      <c r="O904" s="11" t="n">
        <v>1</v>
      </c>
      <c r="P904" s="10" t="n">
        <v>282.7211204897712</v>
      </c>
      <c r="Q904" s="10" t="n">
        <v>1.5</v>
      </c>
      <c r="R904" s="12" t="n">
        <v>0.021</v>
      </c>
      <c r="S904" s="13" t="inlineStr">
        <is>
          <t>Success</t>
        </is>
      </c>
      <c r="T904" s="10" t="n">
        <v>0.4240816807346569</v>
      </c>
      <c r="U904" s="10" t="n">
        <v>0.8481633614693137</v>
      </c>
      <c r="V904" s="10" t="n">
        <v>3.392653445877255</v>
      </c>
    </row>
    <row r="905">
      <c r="I905" s="8" t="inlineStr">
        <is>
          <t>ACE-10899</t>
        </is>
      </c>
      <c r="J905" s="8" t="inlineStr">
        <is>
          <t>2026-05-22 20:34:05</t>
        </is>
      </c>
      <c r="K905" s="8" t="inlineStr">
        <is>
          <t>CUST-99528</t>
        </is>
      </c>
      <c r="L905" s="9" t="inlineStr">
        <is>
          <t>EUR-PKR</t>
        </is>
      </c>
      <c r="M905" s="8" t="inlineStr">
        <is>
          <t>EUR</t>
        </is>
      </c>
      <c r="N905" s="10" t="n">
        <v>213.2947407979833</v>
      </c>
      <c r="O905" s="11" t="n">
        <v>0.85</v>
      </c>
      <c r="P905" s="10" t="n">
        <v>181.3005296782858</v>
      </c>
      <c r="Q905" s="10" t="n">
        <v>1.275</v>
      </c>
      <c r="R905" s="12" t="n">
        <v>0.023</v>
      </c>
      <c r="S905" s="13" t="inlineStr">
        <is>
          <t>Success</t>
        </is>
      </c>
      <c r="T905" s="10" t="n">
        <v>0.2719507945174287</v>
      </c>
      <c r="U905" s="10" t="n">
        <v>0</v>
      </c>
      <c r="V905" s="10" t="n">
        <v>2.719507945174287</v>
      </c>
    </row>
    <row r="906">
      <c r="I906" s="8" t="inlineStr">
        <is>
          <t>ACE-10900</t>
        </is>
      </c>
      <c r="J906" s="8" t="inlineStr">
        <is>
          <t>2026-05-03 20:58:44</t>
        </is>
      </c>
      <c r="K906" s="8" t="inlineStr">
        <is>
          <t>CUST-80688</t>
        </is>
      </c>
      <c r="L906" s="9" t="inlineStr">
        <is>
          <t>GBP-PKR</t>
        </is>
      </c>
      <c r="M906" s="8" t="inlineStr">
        <is>
          <t>GBP</t>
        </is>
      </c>
      <c r="N906" s="10" t="n">
        <v>256.7482508354403</v>
      </c>
      <c r="O906" s="11" t="n">
        <v>1</v>
      </c>
      <c r="P906" s="10" t="n">
        <v>256.7482508354403</v>
      </c>
      <c r="Q906" s="10" t="n">
        <v>1.5</v>
      </c>
      <c r="R906" s="12" t="n">
        <v>0.021</v>
      </c>
      <c r="S906" s="13" t="inlineStr">
        <is>
          <t>Success</t>
        </is>
      </c>
      <c r="T906" s="10" t="n">
        <v>0.3851223762531604</v>
      </c>
      <c r="U906" s="10" t="n">
        <v>0</v>
      </c>
      <c r="V906" s="10" t="n">
        <v>3.080979010025283</v>
      </c>
    </row>
    <row r="907">
      <c r="I907" s="8" t="inlineStr">
        <is>
          <t>ACE-10901</t>
        </is>
      </c>
      <c r="J907" s="8" t="inlineStr">
        <is>
          <t>2026-05-21 19:49:29</t>
        </is>
      </c>
      <c r="K907" s="8" t="inlineStr">
        <is>
          <t>CUST-80837</t>
        </is>
      </c>
      <c r="L907" s="9" t="inlineStr">
        <is>
          <t>GBP-PKR</t>
        </is>
      </c>
      <c r="M907" s="8" t="inlineStr">
        <is>
          <t>GBP</t>
        </is>
      </c>
      <c r="N907" s="10" t="n">
        <v>289.0665487388416</v>
      </c>
      <c r="O907" s="11" t="n">
        <v>1</v>
      </c>
      <c r="P907" s="10" t="n">
        <v>289.0665487388416</v>
      </c>
      <c r="Q907" s="10" t="n">
        <v>1.5</v>
      </c>
      <c r="R907" s="12" t="n">
        <v>0.021</v>
      </c>
      <c r="S907" s="13" t="inlineStr">
        <is>
          <t>Success</t>
        </is>
      </c>
      <c r="T907" s="10" t="n">
        <v>0.4335998231082623</v>
      </c>
      <c r="U907" s="10" t="n">
        <v>0</v>
      </c>
      <c r="V907" s="10" t="n">
        <v>3.468798584866099</v>
      </c>
    </row>
    <row r="908">
      <c r="I908" s="8" t="inlineStr">
        <is>
          <t>ACE-10902</t>
        </is>
      </c>
      <c r="J908" s="8" t="inlineStr">
        <is>
          <t>2026-05-20 12:58:23</t>
        </is>
      </c>
      <c r="K908" s="8" t="inlineStr">
        <is>
          <t>CUST-75695</t>
        </is>
      </c>
      <c r="L908" s="9" t="inlineStr">
        <is>
          <t>GBP-PKR</t>
        </is>
      </c>
      <c r="M908" s="8" t="inlineStr">
        <is>
          <t>GBP</t>
        </is>
      </c>
      <c r="N908" s="10" t="n">
        <v>267.8576605149598</v>
      </c>
      <c r="O908" s="11" t="n">
        <v>1</v>
      </c>
      <c r="P908" s="10" t="n">
        <v>267.8576605149598</v>
      </c>
      <c r="Q908" s="10" t="n">
        <v>1.5</v>
      </c>
      <c r="R908" s="12" t="n">
        <v>0.021</v>
      </c>
      <c r="S908" s="13" t="inlineStr">
        <is>
          <t>Success</t>
        </is>
      </c>
      <c r="T908" s="10" t="n">
        <v>0.4017864907724397</v>
      </c>
      <c r="U908" s="10" t="n">
        <v>0.8035729815448793</v>
      </c>
      <c r="V908" s="10" t="n">
        <v>3.214291926179517</v>
      </c>
    </row>
    <row r="909">
      <c r="I909" s="8" t="inlineStr">
        <is>
          <t>ACE-10903</t>
        </is>
      </c>
      <c r="J909" s="8" t="inlineStr">
        <is>
          <t>2026-05-11 20:55:56</t>
        </is>
      </c>
      <c r="K909" s="8" t="inlineStr">
        <is>
          <t>CUST-71283</t>
        </is>
      </c>
      <c r="L909" s="9" t="inlineStr">
        <is>
          <t>GBP-PKR</t>
        </is>
      </c>
      <c r="M909" s="8" t="inlineStr">
        <is>
          <t>GBP</t>
        </is>
      </c>
      <c r="N909" s="10" t="n">
        <v>279.4054870898589</v>
      </c>
      <c r="O909" s="11" t="n">
        <v>1</v>
      </c>
      <c r="P909" s="10" t="n">
        <v>279.4054870898589</v>
      </c>
      <c r="Q909" s="10" t="n">
        <v>1.5</v>
      </c>
      <c r="R909" s="12" t="n">
        <v>0.021</v>
      </c>
      <c r="S909" s="13" t="inlineStr">
        <is>
          <t>Success</t>
        </is>
      </c>
      <c r="T909" s="10" t="n">
        <v>0.4191082306347884</v>
      </c>
      <c r="U909" s="10" t="n">
        <v>0</v>
      </c>
      <c r="V909" s="10" t="n">
        <v>3.352865845078307</v>
      </c>
    </row>
    <row r="910">
      <c r="I910" s="8" t="inlineStr">
        <is>
          <t>ACE-10904</t>
        </is>
      </c>
      <c r="J910" s="8" t="inlineStr">
        <is>
          <t>2026-05-16 09:22:30</t>
        </is>
      </c>
      <c r="K910" s="8" t="inlineStr">
        <is>
          <t>CUST-80227</t>
        </is>
      </c>
      <c r="L910" s="9" t="inlineStr">
        <is>
          <t>GBP-PKR</t>
        </is>
      </c>
      <c r="M910" s="8" t="inlineStr">
        <is>
          <t>GBP</t>
        </is>
      </c>
      <c r="N910" s="10" t="n">
        <v>316.5986202548457</v>
      </c>
      <c r="O910" s="11" t="n">
        <v>1</v>
      </c>
      <c r="P910" s="10" t="n">
        <v>316.5986202548457</v>
      </c>
      <c r="Q910" s="10" t="n">
        <v>1.5</v>
      </c>
      <c r="R910" s="12" t="n">
        <v>0.021</v>
      </c>
      <c r="S910" s="13" t="inlineStr">
        <is>
          <t>Success</t>
        </is>
      </c>
      <c r="T910" s="10" t="n">
        <v>0.4748979303822686</v>
      </c>
      <c r="U910" s="10" t="n">
        <v>0</v>
      </c>
      <c r="V910" s="10" t="n">
        <v>3.799183443058149</v>
      </c>
    </row>
    <row r="911">
      <c r="I911" s="8" t="inlineStr">
        <is>
          <t>ACE-10905</t>
        </is>
      </c>
      <c r="J911" s="8" t="inlineStr">
        <is>
          <t>2026-05-12 17:36:08</t>
        </is>
      </c>
      <c r="K911" s="8" t="inlineStr">
        <is>
          <t>CUST-83288</t>
        </is>
      </c>
      <c r="L911" s="9" t="inlineStr">
        <is>
          <t>GBP-PKR</t>
        </is>
      </c>
      <c r="M911" s="8" t="inlineStr">
        <is>
          <t>GBP</t>
        </is>
      </c>
      <c r="N911" s="10" t="n">
        <v>283.9787779870007</v>
      </c>
      <c r="O911" s="11" t="n">
        <v>1</v>
      </c>
      <c r="P911" s="10" t="n">
        <v>283.9787779870007</v>
      </c>
      <c r="Q911" s="10" t="n">
        <v>1.5</v>
      </c>
      <c r="R911" s="12" t="n">
        <v>0.021</v>
      </c>
      <c r="S911" s="13" t="inlineStr">
        <is>
          <t>Success</t>
        </is>
      </c>
      <c r="T911" s="10" t="n">
        <v>0.4259681669805011</v>
      </c>
      <c r="U911" s="10" t="n">
        <v>0.8519363339610021</v>
      </c>
      <c r="V911" s="10" t="n">
        <v>3.407745335844008</v>
      </c>
    </row>
    <row r="912">
      <c r="I912" s="8" t="inlineStr">
        <is>
          <t>ACE-10906</t>
        </is>
      </c>
      <c r="J912" s="8" t="inlineStr">
        <is>
          <t>2026-05-04 13:35:41</t>
        </is>
      </c>
      <c r="K912" s="8" t="inlineStr">
        <is>
          <t>CUST-54648</t>
        </is>
      </c>
      <c r="L912" s="9" t="inlineStr">
        <is>
          <t>GBP-PKR</t>
        </is>
      </c>
      <c r="M912" s="8" t="inlineStr">
        <is>
          <t>GBP</t>
        </is>
      </c>
      <c r="N912" s="10" t="n">
        <v>279.9002411237253</v>
      </c>
      <c r="O912" s="11" t="n">
        <v>1</v>
      </c>
      <c r="P912" s="10" t="n">
        <v>279.9002411237253</v>
      </c>
      <c r="Q912" s="10" t="n">
        <v>1.5</v>
      </c>
      <c r="R912" s="12" t="n">
        <v>0.021</v>
      </c>
      <c r="S912" s="13" t="inlineStr">
        <is>
          <t>Success</t>
        </is>
      </c>
      <c r="T912" s="10" t="n">
        <v>0.4198503616855879</v>
      </c>
      <c r="U912" s="10" t="n">
        <v>0</v>
      </c>
      <c r="V912" s="10" t="n">
        <v>3.358802893484703</v>
      </c>
    </row>
    <row r="913">
      <c r="I913" s="8" t="inlineStr">
        <is>
          <t>ACE-10907</t>
        </is>
      </c>
      <c r="J913" s="8" t="inlineStr">
        <is>
          <t>2026-05-13 17:26:15</t>
        </is>
      </c>
      <c r="K913" s="8" t="inlineStr">
        <is>
          <t>CUST-90689</t>
        </is>
      </c>
      <c r="L913" s="9" t="inlineStr">
        <is>
          <t>USD-PKR</t>
        </is>
      </c>
      <c r="M913" s="8" t="inlineStr">
        <is>
          <t>USD</t>
        </is>
      </c>
      <c r="N913" s="10" t="n">
        <v>191.0703972737276</v>
      </c>
      <c r="O913" s="11" t="n">
        <v>0.8</v>
      </c>
      <c r="P913" s="10" t="n">
        <v>152.8563178189821</v>
      </c>
      <c r="Q913" s="10" t="n">
        <v>1.6</v>
      </c>
      <c r="R913" s="12" t="n">
        <v>0.019</v>
      </c>
      <c r="S913" s="13" t="inlineStr">
        <is>
          <t>Success</t>
        </is>
      </c>
      <c r="T913" s="10" t="n">
        <v>0.2292844767284731</v>
      </c>
      <c r="U913" s="10" t="n">
        <v>0</v>
      </c>
      <c r="V913" s="10" t="n">
        <v>1.834275813827785</v>
      </c>
    </row>
    <row r="914">
      <c r="I914" s="8" t="inlineStr">
        <is>
          <t>ACE-10908</t>
        </is>
      </c>
      <c r="J914" s="8" t="inlineStr">
        <is>
          <t>2026-05-16 14:04:21</t>
        </is>
      </c>
      <c r="K914" s="8" t="inlineStr">
        <is>
          <t>CUST-63647</t>
        </is>
      </c>
      <c r="L914" s="9" t="inlineStr">
        <is>
          <t>GBP-PKR</t>
        </is>
      </c>
      <c r="M914" s="8" t="inlineStr">
        <is>
          <t>GBP</t>
        </is>
      </c>
      <c r="N914" s="10" t="n">
        <v>300.1898055529971</v>
      </c>
      <c r="O914" s="11" t="n">
        <v>1</v>
      </c>
      <c r="P914" s="10" t="n">
        <v>300.1898055529971</v>
      </c>
      <c r="Q914" s="10" t="n">
        <v>1.5</v>
      </c>
      <c r="R914" s="12" t="n">
        <v>0.021</v>
      </c>
      <c r="S914" s="13" t="inlineStr">
        <is>
          <t>Success</t>
        </is>
      </c>
      <c r="T914" s="10" t="n">
        <v>0.4502847083294957</v>
      </c>
      <c r="U914" s="10" t="n">
        <v>0</v>
      </c>
      <c r="V914" s="10" t="n">
        <v>3.602277666635966</v>
      </c>
    </row>
    <row r="915">
      <c r="I915" s="8" t="inlineStr">
        <is>
          <t>ACE-10909</t>
        </is>
      </c>
      <c r="J915" s="8" t="inlineStr">
        <is>
          <t>2026-05-14 17:50:21</t>
        </is>
      </c>
      <c r="K915" s="8" t="inlineStr">
        <is>
          <t>CUST-85686</t>
        </is>
      </c>
      <c r="L915" s="9" t="inlineStr">
        <is>
          <t>GBP-PKR</t>
        </is>
      </c>
      <c r="M915" s="8" t="inlineStr">
        <is>
          <t>GBP</t>
        </is>
      </c>
      <c r="N915" s="10" t="n">
        <v>297.180001621163</v>
      </c>
      <c r="O915" s="11" t="n">
        <v>1</v>
      </c>
      <c r="P915" s="10" t="n">
        <v>297.180001621163</v>
      </c>
      <c r="Q915" s="10" t="n">
        <v>1.5</v>
      </c>
      <c r="R915" s="12" t="n">
        <v>0.021</v>
      </c>
      <c r="S915" s="13" t="inlineStr">
        <is>
          <t>Success</t>
        </is>
      </c>
      <c r="T915" s="10" t="n">
        <v>0.4457700024317445</v>
      </c>
      <c r="U915" s="10" t="n">
        <v>0</v>
      </c>
      <c r="V915" s="10" t="n">
        <v>3.566160019453956</v>
      </c>
    </row>
    <row r="916">
      <c r="I916" s="8" t="inlineStr">
        <is>
          <t>ACE-10910</t>
        </is>
      </c>
      <c r="J916" s="8" t="inlineStr">
        <is>
          <t>2026-05-22 09:47:59</t>
        </is>
      </c>
      <c r="K916" s="8" t="inlineStr">
        <is>
          <t>CUST-96655</t>
        </is>
      </c>
      <c r="L916" s="9" t="inlineStr">
        <is>
          <t>EUR-PKR</t>
        </is>
      </c>
      <c r="M916" s="8" t="inlineStr">
        <is>
          <t>EUR</t>
        </is>
      </c>
      <c r="N916" s="10" t="n">
        <v>234.7097265530532</v>
      </c>
      <c r="O916" s="11" t="n">
        <v>0.85</v>
      </c>
      <c r="P916" s="10" t="n">
        <v>199.5032675700952</v>
      </c>
      <c r="Q916" s="10" t="n">
        <v>1.275</v>
      </c>
      <c r="R916" s="12" t="n">
        <v>0.023</v>
      </c>
      <c r="S916" s="13" t="inlineStr">
        <is>
          <t>Success</t>
        </is>
      </c>
      <c r="T916" s="10" t="n">
        <v>0.2992549013551429</v>
      </c>
      <c r="U916" s="10" t="n">
        <v>0</v>
      </c>
      <c r="V916" s="10" t="n">
        <v>2.992549013551428</v>
      </c>
    </row>
    <row r="917">
      <c r="I917" s="8" t="inlineStr">
        <is>
          <t>ACE-10911</t>
        </is>
      </c>
      <c r="J917" s="8" t="inlineStr">
        <is>
          <t>2026-05-19 17:29:20</t>
        </is>
      </c>
      <c r="K917" s="8" t="inlineStr">
        <is>
          <t>CUST-86378</t>
        </is>
      </c>
      <c r="L917" s="9" t="inlineStr">
        <is>
          <t>EUR-PKR</t>
        </is>
      </c>
      <c r="M917" s="8" t="inlineStr">
        <is>
          <t>EUR</t>
        </is>
      </c>
      <c r="N917" s="10" t="n">
        <v>183.3223811633924</v>
      </c>
      <c r="O917" s="11" t="n">
        <v>0.85</v>
      </c>
      <c r="P917" s="10" t="n">
        <v>155.8240239888835</v>
      </c>
      <c r="Q917" s="10" t="n">
        <v>1.275</v>
      </c>
      <c r="R917" s="12" t="n">
        <v>0.023</v>
      </c>
      <c r="S917" s="13" t="inlineStr">
        <is>
          <t>Success</t>
        </is>
      </c>
      <c r="T917" s="10" t="n">
        <v>0.2337360359833252</v>
      </c>
      <c r="U917" s="10" t="n">
        <v>0</v>
      </c>
      <c r="V917" s="10" t="n">
        <v>2.337360359833252</v>
      </c>
    </row>
    <row r="918">
      <c r="I918" s="8" t="inlineStr">
        <is>
          <t>ACE-10912</t>
        </is>
      </c>
      <c r="J918" s="8" t="inlineStr">
        <is>
          <t>2026-05-10 14:04:38</t>
        </is>
      </c>
      <c r="K918" s="8" t="inlineStr">
        <is>
          <t>CUST-57126</t>
        </is>
      </c>
      <c r="L918" s="9" t="inlineStr">
        <is>
          <t>GBP-PKR</t>
        </is>
      </c>
      <c r="M918" s="8" t="inlineStr">
        <is>
          <t>GBP</t>
        </is>
      </c>
      <c r="N918" s="10" t="n">
        <v>284.776492552308</v>
      </c>
      <c r="O918" s="11" t="n">
        <v>1</v>
      </c>
      <c r="P918" s="10" t="n">
        <v>284.776492552308</v>
      </c>
      <c r="Q918" s="10" t="n">
        <v>1.5</v>
      </c>
      <c r="R918" s="12" t="n">
        <v>0.021</v>
      </c>
      <c r="S918" s="13" t="inlineStr">
        <is>
          <t>Success</t>
        </is>
      </c>
      <c r="T918" s="10" t="n">
        <v>0.427164738828462</v>
      </c>
      <c r="U918" s="10" t="n">
        <v>0</v>
      </c>
      <c r="V918" s="10" t="n">
        <v>3.417317910627696</v>
      </c>
    </row>
    <row r="919">
      <c r="I919" s="8" t="inlineStr">
        <is>
          <t>ACE-10913</t>
        </is>
      </c>
      <c r="J919" s="8" t="inlineStr">
        <is>
          <t>2026-05-13 13:31:41</t>
        </is>
      </c>
      <c r="K919" s="8" t="inlineStr">
        <is>
          <t>CUST-93264</t>
        </is>
      </c>
      <c r="L919" s="9" t="inlineStr">
        <is>
          <t>USD-PKR</t>
        </is>
      </c>
      <c r="M919" s="8" t="inlineStr">
        <is>
          <t>USD</t>
        </is>
      </c>
      <c r="N919" s="10" t="n">
        <v>224.430462364657</v>
      </c>
      <c r="O919" s="11" t="n">
        <v>0.8</v>
      </c>
      <c r="P919" s="10" t="n">
        <v>179.5443698917256</v>
      </c>
      <c r="Q919" s="10" t="n">
        <v>1.6</v>
      </c>
      <c r="R919" s="12" t="n">
        <v>0.019</v>
      </c>
      <c r="S919" s="13" t="inlineStr">
        <is>
          <t>Success</t>
        </is>
      </c>
      <c r="T919" s="10" t="n">
        <v>0.2693165548375885</v>
      </c>
      <c r="U919" s="10" t="n">
        <v>0</v>
      </c>
      <c r="V919" s="10" t="n">
        <v>2.154532438700708</v>
      </c>
    </row>
    <row r="920">
      <c r="I920" s="8" t="inlineStr">
        <is>
          <t>ACE-10914</t>
        </is>
      </c>
      <c r="J920" s="8" t="inlineStr">
        <is>
          <t>2026-05-05 17:57:48</t>
        </is>
      </c>
      <c r="K920" s="8" t="inlineStr">
        <is>
          <t>CUST-91689</t>
        </is>
      </c>
      <c r="L920" s="9" t="inlineStr">
        <is>
          <t>EUR-PKR</t>
        </is>
      </c>
      <c r="M920" s="8" t="inlineStr">
        <is>
          <t>EUR</t>
        </is>
      </c>
      <c r="N920" s="10" t="n">
        <v>221.3553658012405</v>
      </c>
      <c r="O920" s="11" t="n">
        <v>0.85</v>
      </c>
      <c r="P920" s="10" t="n">
        <v>188.1520609310544</v>
      </c>
      <c r="Q920" s="10" t="n">
        <v>1.275</v>
      </c>
      <c r="R920" s="12" t="n">
        <v>0.023</v>
      </c>
      <c r="S920" s="13" t="inlineStr">
        <is>
          <t>Success</t>
        </is>
      </c>
      <c r="T920" s="10" t="n">
        <v>0.2822280913965816</v>
      </c>
      <c r="U920" s="10" t="n">
        <v>0.5644561827931632</v>
      </c>
      <c r="V920" s="10" t="n">
        <v>2.822280913965816</v>
      </c>
    </row>
    <row r="921">
      <c r="I921" s="8" t="inlineStr">
        <is>
          <t>ACE-10915</t>
        </is>
      </c>
      <c r="J921" s="8" t="inlineStr">
        <is>
          <t>2026-05-22 10:28:34</t>
        </is>
      </c>
      <c r="K921" s="8" t="inlineStr">
        <is>
          <t>CUST-69103</t>
        </is>
      </c>
      <c r="L921" s="9" t="inlineStr">
        <is>
          <t>USD-PKR</t>
        </is>
      </c>
      <c r="M921" s="8" t="inlineStr">
        <is>
          <t>USD</t>
        </is>
      </c>
      <c r="N921" s="10" t="n">
        <v>216.8266080979311</v>
      </c>
      <c r="O921" s="11" t="n">
        <v>0.8</v>
      </c>
      <c r="P921" s="10" t="n">
        <v>173.4612864783449</v>
      </c>
      <c r="Q921" s="10" t="n">
        <v>1.6</v>
      </c>
      <c r="R921" s="12" t="n">
        <v>0.019</v>
      </c>
      <c r="S921" s="13" t="inlineStr">
        <is>
          <t>Success</t>
        </is>
      </c>
      <c r="T921" s="10" t="n">
        <v>0.2601919297175174</v>
      </c>
      <c r="U921" s="10" t="n">
        <v>0</v>
      </c>
      <c r="V921" s="10" t="n">
        <v>2.081535437740139</v>
      </c>
    </row>
    <row r="922">
      <c r="I922" s="8" t="inlineStr">
        <is>
          <t>ACE-10916</t>
        </is>
      </c>
      <c r="J922" s="8" t="inlineStr">
        <is>
          <t>2026-05-07 11:43:56</t>
        </is>
      </c>
      <c r="K922" s="8" t="inlineStr">
        <is>
          <t>CUST-70748</t>
        </is>
      </c>
      <c r="L922" s="9" t="inlineStr">
        <is>
          <t>GBP-PKR</t>
        </is>
      </c>
      <c r="M922" s="8" t="inlineStr">
        <is>
          <t>GBP</t>
        </is>
      </c>
      <c r="N922" s="10" t="n">
        <v>286.486597726446</v>
      </c>
      <c r="O922" s="11" t="n">
        <v>1</v>
      </c>
      <c r="P922" s="10" t="n">
        <v>286.486597726446</v>
      </c>
      <c r="Q922" s="10" t="n">
        <v>1.5</v>
      </c>
      <c r="R922" s="12" t="n">
        <v>0.021</v>
      </c>
      <c r="S922" s="13" t="inlineStr">
        <is>
          <t>Success</t>
        </is>
      </c>
      <c r="T922" s="10" t="n">
        <v>0.4297298965896689</v>
      </c>
      <c r="U922" s="10" t="n">
        <v>0.8594597931793378</v>
      </c>
      <c r="V922" s="10" t="n">
        <v>3.437839172717351</v>
      </c>
    </row>
    <row r="923">
      <c r="I923" s="8" t="inlineStr">
        <is>
          <t>ACE-10917</t>
        </is>
      </c>
      <c r="J923" s="8" t="inlineStr">
        <is>
          <t>2026-05-22 12:58:59</t>
        </is>
      </c>
      <c r="K923" s="8" t="inlineStr">
        <is>
          <t>CUST-78490</t>
        </is>
      </c>
      <c r="L923" s="9" t="inlineStr">
        <is>
          <t>GBP-PKR</t>
        </is>
      </c>
      <c r="M923" s="8" t="inlineStr">
        <is>
          <t>GBP</t>
        </is>
      </c>
      <c r="N923" s="10" t="n">
        <v>296.0650678964795</v>
      </c>
      <c r="O923" s="11" t="n">
        <v>1</v>
      </c>
      <c r="P923" s="10" t="n">
        <v>296.0650678964795</v>
      </c>
      <c r="Q923" s="10" t="n">
        <v>1.5</v>
      </c>
      <c r="R923" s="12" t="n">
        <v>0.021</v>
      </c>
      <c r="S923" s="13" t="inlineStr">
        <is>
          <t>Success</t>
        </is>
      </c>
      <c r="T923" s="10" t="n">
        <v>0.4440976018447192</v>
      </c>
      <c r="U923" s="10" t="n">
        <v>0.8881952036894385</v>
      </c>
      <c r="V923" s="10" t="n">
        <v>3.552780814757754</v>
      </c>
    </row>
    <row r="924">
      <c r="I924" s="8" t="inlineStr">
        <is>
          <t>ACE-10918</t>
        </is>
      </c>
      <c r="J924" s="8" t="inlineStr">
        <is>
          <t>2026-05-03 17:00:39</t>
        </is>
      </c>
      <c r="K924" s="8" t="inlineStr">
        <is>
          <t>CUST-83451</t>
        </is>
      </c>
      <c r="L924" s="9" t="inlineStr">
        <is>
          <t>USD-PKR</t>
        </is>
      </c>
      <c r="M924" s="8" t="inlineStr">
        <is>
          <t>USD</t>
        </is>
      </c>
      <c r="N924" s="10" t="n">
        <v>223.0260227655895</v>
      </c>
      <c r="O924" s="11" t="n">
        <v>0.8</v>
      </c>
      <c r="P924" s="10" t="n">
        <v>178.4208182124716</v>
      </c>
      <c r="Q924" s="10" t="n">
        <v>1.6</v>
      </c>
      <c r="R924" s="12" t="n">
        <v>0.019</v>
      </c>
      <c r="S924" s="13" t="inlineStr">
        <is>
          <t>Success</t>
        </is>
      </c>
      <c r="T924" s="10" t="n">
        <v>0.2676312273187074</v>
      </c>
      <c r="U924" s="10" t="n">
        <v>0</v>
      </c>
      <c r="V924" s="10" t="n">
        <v>2.141049818549659</v>
      </c>
    </row>
    <row r="925">
      <c r="I925" s="8" t="inlineStr">
        <is>
          <t>ACE-10919</t>
        </is>
      </c>
      <c r="J925" s="8" t="inlineStr">
        <is>
          <t>2026-05-10 08:23:57</t>
        </is>
      </c>
      <c r="K925" s="8" t="inlineStr">
        <is>
          <t>CUST-85971</t>
        </is>
      </c>
      <c r="L925" s="9" t="inlineStr">
        <is>
          <t>GBP-PKR</t>
        </is>
      </c>
      <c r="M925" s="8" t="inlineStr">
        <is>
          <t>GBP</t>
        </is>
      </c>
      <c r="N925" s="10" t="n">
        <v>266.4392444223176</v>
      </c>
      <c r="O925" s="11" t="n">
        <v>1</v>
      </c>
      <c r="P925" s="10" t="n">
        <v>266.4392444223176</v>
      </c>
      <c r="Q925" s="10" t="n">
        <v>1.5</v>
      </c>
      <c r="R925" s="12" t="n">
        <v>0.021</v>
      </c>
      <c r="S925" s="13" t="inlineStr">
        <is>
          <t>Success</t>
        </is>
      </c>
      <c r="T925" s="10" t="n">
        <v>0.3996588666334765</v>
      </c>
      <c r="U925" s="10" t="n">
        <v>0</v>
      </c>
      <c r="V925" s="10" t="n">
        <v>3.197270933067812</v>
      </c>
    </row>
    <row r="926">
      <c r="I926" s="8" t="inlineStr">
        <is>
          <t>ACE-10920</t>
        </is>
      </c>
      <c r="J926" s="8" t="inlineStr">
        <is>
          <t>2026-05-18 13:07:55</t>
        </is>
      </c>
      <c r="K926" s="8" t="inlineStr">
        <is>
          <t>CUST-68494</t>
        </is>
      </c>
      <c r="L926" s="9" t="inlineStr">
        <is>
          <t>GBP-PKR</t>
        </is>
      </c>
      <c r="M926" s="8" t="inlineStr">
        <is>
          <t>GBP</t>
        </is>
      </c>
      <c r="N926" s="10" t="n">
        <v>284.0637266093169</v>
      </c>
      <c r="O926" s="11" t="n">
        <v>1</v>
      </c>
      <c r="P926" s="10" t="n">
        <v>284.0637266093169</v>
      </c>
      <c r="Q926" s="10" t="n">
        <v>1.5</v>
      </c>
      <c r="R926" s="12" t="n">
        <v>0.021</v>
      </c>
      <c r="S926" s="13" t="inlineStr">
        <is>
          <t>Success</t>
        </is>
      </c>
      <c r="T926" s="10" t="n">
        <v>0.4260955899139753</v>
      </c>
      <c r="U926" s="10" t="n">
        <v>0</v>
      </c>
      <c r="V926" s="10" t="n">
        <v>3.408764719311802</v>
      </c>
    </row>
    <row r="927">
      <c r="I927" s="8" t="inlineStr">
        <is>
          <t>ACE-10921</t>
        </is>
      </c>
      <c r="J927" s="8" t="inlineStr">
        <is>
          <t>2026-05-23 17:25:40</t>
        </is>
      </c>
      <c r="K927" s="8" t="inlineStr">
        <is>
          <t>CUST-70848</t>
        </is>
      </c>
      <c r="L927" s="9" t="inlineStr">
        <is>
          <t>GBP-PKR</t>
        </is>
      </c>
      <c r="M927" s="8" t="inlineStr">
        <is>
          <t>GBP</t>
        </is>
      </c>
      <c r="N927" s="10" t="n">
        <v>310.1800012481394</v>
      </c>
      <c r="O927" s="11" t="n">
        <v>1</v>
      </c>
      <c r="P927" s="10" t="n">
        <v>310.1800012481394</v>
      </c>
      <c r="Q927" s="10" t="n">
        <v>1.5</v>
      </c>
      <c r="R927" s="12" t="n">
        <v>0.021</v>
      </c>
      <c r="S927" s="13" t="inlineStr">
        <is>
          <t>Success</t>
        </is>
      </c>
      <c r="T927" s="10" t="n">
        <v>0.4652700018722092</v>
      </c>
      <c r="U927" s="10" t="n">
        <v>0</v>
      </c>
      <c r="V927" s="10" t="n">
        <v>3.722160014977673</v>
      </c>
    </row>
    <row r="928">
      <c r="I928" s="8" t="inlineStr">
        <is>
          <t>ACE-10922</t>
        </is>
      </c>
      <c r="J928" s="8" t="inlineStr">
        <is>
          <t>2026-05-14 16:13:42</t>
        </is>
      </c>
      <c r="K928" s="8" t="inlineStr">
        <is>
          <t>CUST-61364</t>
        </is>
      </c>
      <c r="L928" s="9" t="inlineStr">
        <is>
          <t>GBP-PKR</t>
        </is>
      </c>
      <c r="M928" s="8" t="inlineStr">
        <is>
          <t>GBP</t>
        </is>
      </c>
      <c r="N928" s="10" t="n">
        <v>251.4233252379068</v>
      </c>
      <c r="O928" s="11" t="n">
        <v>1</v>
      </c>
      <c r="P928" s="10" t="n">
        <v>251.4233252379068</v>
      </c>
      <c r="Q928" s="10" t="n">
        <v>1.5</v>
      </c>
      <c r="R928" s="12" t="n">
        <v>0.021</v>
      </c>
      <c r="S928" s="13" t="inlineStr">
        <is>
          <t>Success</t>
        </is>
      </c>
      <c r="T928" s="10" t="n">
        <v>0.3771349878568602</v>
      </c>
      <c r="U928" s="10" t="n">
        <v>0</v>
      </c>
      <c r="V928" s="10" t="n">
        <v>3.017079902854882</v>
      </c>
    </row>
    <row r="929">
      <c r="I929" s="8" t="inlineStr">
        <is>
          <t>ACE-10923</t>
        </is>
      </c>
      <c r="J929" s="8" t="inlineStr">
        <is>
          <t>2026-05-13 13:53:26</t>
        </is>
      </c>
      <c r="K929" s="8" t="inlineStr">
        <is>
          <t>CUST-60110</t>
        </is>
      </c>
      <c r="L929" s="9" t="inlineStr">
        <is>
          <t>USD-PKR</t>
        </is>
      </c>
      <c r="M929" s="8" t="inlineStr">
        <is>
          <t>USD</t>
        </is>
      </c>
      <c r="N929" s="10" t="n">
        <v>221.8329261808054</v>
      </c>
      <c r="O929" s="11" t="n">
        <v>0.8</v>
      </c>
      <c r="P929" s="10" t="n">
        <v>177.4663409446443</v>
      </c>
      <c r="Q929" s="10" t="n">
        <v>1.6</v>
      </c>
      <c r="R929" s="12" t="n">
        <v>0.019</v>
      </c>
      <c r="S929" s="13" t="inlineStr">
        <is>
          <t>Success</t>
        </is>
      </c>
      <c r="T929" s="10" t="n">
        <v>0.2661995114169665</v>
      </c>
      <c r="U929" s="10" t="n">
        <v>0.532399022833933</v>
      </c>
      <c r="V929" s="10" t="n">
        <v>2.129596091335732</v>
      </c>
    </row>
    <row r="930">
      <c r="I930" s="8" t="inlineStr">
        <is>
          <t>ACE-10924</t>
        </is>
      </c>
      <c r="J930" s="8" t="inlineStr">
        <is>
          <t>2026-05-05 10:00:04</t>
        </is>
      </c>
      <c r="K930" s="8" t="inlineStr">
        <is>
          <t>CUST-92492</t>
        </is>
      </c>
      <c r="L930" s="9" t="inlineStr">
        <is>
          <t>GBP-PKR</t>
        </is>
      </c>
      <c r="M930" s="8" t="inlineStr">
        <is>
          <t>GBP</t>
        </is>
      </c>
      <c r="N930" s="10" t="n">
        <v>259.7650378033125</v>
      </c>
      <c r="O930" s="11" t="n">
        <v>1</v>
      </c>
      <c r="P930" s="10" t="n">
        <v>259.7650378033125</v>
      </c>
      <c r="Q930" s="10" t="n">
        <v>1.5</v>
      </c>
      <c r="R930" s="12" t="n">
        <v>0.021</v>
      </c>
      <c r="S930" s="13" t="inlineStr">
        <is>
          <t>Failed</t>
        </is>
      </c>
      <c r="T930" s="10" t="n">
        <v>0</v>
      </c>
      <c r="U930" s="10" t="n">
        <v>0</v>
      </c>
      <c r="V930" s="10" t="n">
        <v>0.5</v>
      </c>
    </row>
    <row r="931">
      <c r="I931" s="8" t="inlineStr">
        <is>
          <t>ACE-10925</t>
        </is>
      </c>
      <c r="J931" s="8" t="inlineStr">
        <is>
          <t>2026-05-24 15:42:27</t>
        </is>
      </c>
      <c r="K931" s="8" t="inlineStr">
        <is>
          <t>CUST-58898</t>
        </is>
      </c>
      <c r="L931" s="9" t="inlineStr">
        <is>
          <t>GBP-PKR</t>
        </is>
      </c>
      <c r="M931" s="8" t="inlineStr">
        <is>
          <t>GBP</t>
        </is>
      </c>
      <c r="N931" s="10" t="n">
        <v>313.9690034982029</v>
      </c>
      <c r="O931" s="11" t="n">
        <v>1</v>
      </c>
      <c r="P931" s="10" t="n">
        <v>313.9690034982029</v>
      </c>
      <c r="Q931" s="10" t="n">
        <v>1.5</v>
      </c>
      <c r="R931" s="12" t="n">
        <v>0.021</v>
      </c>
      <c r="S931" s="13" t="inlineStr">
        <is>
          <t>Success</t>
        </is>
      </c>
      <c r="T931" s="10" t="n">
        <v>0.4709535052473043</v>
      </c>
      <c r="U931" s="10" t="n">
        <v>0.9419070104946087</v>
      </c>
      <c r="V931" s="10" t="n">
        <v>3.767628041978435</v>
      </c>
    </row>
    <row r="932">
      <c r="I932" s="8" t="inlineStr">
        <is>
          <t>ACE-10926</t>
        </is>
      </c>
      <c r="J932" s="8" t="inlineStr">
        <is>
          <t>2026-05-14 15:57:50</t>
        </is>
      </c>
      <c r="K932" s="8" t="inlineStr">
        <is>
          <t>CUST-95573</t>
        </is>
      </c>
      <c r="L932" s="9" t="inlineStr">
        <is>
          <t>GBP-PKR</t>
        </is>
      </c>
      <c r="M932" s="8" t="inlineStr">
        <is>
          <t>GBP</t>
        </is>
      </c>
      <c r="N932" s="10" t="n">
        <v>239.240880527913</v>
      </c>
      <c r="O932" s="11" t="n">
        <v>1</v>
      </c>
      <c r="P932" s="10" t="n">
        <v>239.240880527913</v>
      </c>
      <c r="Q932" s="10" t="n">
        <v>1.5</v>
      </c>
      <c r="R932" s="12" t="n">
        <v>0.021</v>
      </c>
      <c r="S932" s="13" t="inlineStr">
        <is>
          <t>Success</t>
        </is>
      </c>
      <c r="T932" s="10" t="n">
        <v>0.3588613207918696</v>
      </c>
      <c r="U932" s="10" t="n">
        <v>0</v>
      </c>
      <c r="V932" s="10" t="n">
        <v>2.870890566334956</v>
      </c>
    </row>
    <row r="933">
      <c r="I933" s="8" t="inlineStr">
        <is>
          <t>ACE-10927</t>
        </is>
      </c>
      <c r="J933" s="8" t="inlineStr">
        <is>
          <t>2026-05-06 15:32:27</t>
        </is>
      </c>
      <c r="K933" s="8" t="inlineStr">
        <is>
          <t>CUST-86179</t>
        </is>
      </c>
      <c r="L933" s="9" t="inlineStr">
        <is>
          <t>USD-PKR</t>
        </is>
      </c>
      <c r="M933" s="8" t="inlineStr">
        <is>
          <t>USD</t>
        </is>
      </c>
      <c r="N933" s="10" t="n">
        <v>207.0034296788976</v>
      </c>
      <c r="O933" s="11" t="n">
        <v>0.8</v>
      </c>
      <c r="P933" s="10" t="n">
        <v>165.6027437431181</v>
      </c>
      <c r="Q933" s="10" t="n">
        <v>1.6</v>
      </c>
      <c r="R933" s="12" t="n">
        <v>0.019</v>
      </c>
      <c r="S933" s="13" t="inlineStr">
        <is>
          <t>Success</t>
        </is>
      </c>
      <c r="T933" s="10" t="n">
        <v>0.2484041156146772</v>
      </c>
      <c r="U933" s="10" t="n">
        <v>0</v>
      </c>
      <c r="V933" s="10" t="n">
        <v>1.987232924917418</v>
      </c>
    </row>
    <row r="934">
      <c r="I934" s="8" t="inlineStr">
        <is>
          <t>ACE-10928</t>
        </is>
      </c>
      <c r="J934" s="8" t="inlineStr">
        <is>
          <t>2026-05-08 10:27:38</t>
        </is>
      </c>
      <c r="K934" s="8" t="inlineStr">
        <is>
          <t>CUST-50486</t>
        </is>
      </c>
      <c r="L934" s="9" t="inlineStr">
        <is>
          <t>EUR-PKR</t>
        </is>
      </c>
      <c r="M934" s="8" t="inlineStr">
        <is>
          <t>EUR</t>
        </is>
      </c>
      <c r="N934" s="10" t="n">
        <v>196.3198583952866</v>
      </c>
      <c r="O934" s="11" t="n">
        <v>0.85</v>
      </c>
      <c r="P934" s="10" t="n">
        <v>166.8718796359936</v>
      </c>
      <c r="Q934" s="10" t="n">
        <v>1.275</v>
      </c>
      <c r="R934" s="12" t="n">
        <v>0.023</v>
      </c>
      <c r="S934" s="13" t="inlineStr">
        <is>
          <t>Success</t>
        </is>
      </c>
      <c r="T934" s="10" t="n">
        <v>0.2503078194539904</v>
      </c>
      <c r="U934" s="10" t="n">
        <v>0.5006156389079808</v>
      </c>
      <c r="V934" s="10" t="n">
        <v>2.503078194539904</v>
      </c>
    </row>
    <row r="935">
      <c r="I935" s="8" t="inlineStr">
        <is>
          <t>ACE-10929</t>
        </is>
      </c>
      <c r="J935" s="8" t="inlineStr">
        <is>
          <t>2026-05-08 19:32:17</t>
        </is>
      </c>
      <c r="K935" s="8" t="inlineStr">
        <is>
          <t>CUST-76924</t>
        </is>
      </c>
      <c r="L935" s="9" t="inlineStr">
        <is>
          <t>GBP-PKR</t>
        </is>
      </c>
      <c r="M935" s="8" t="inlineStr">
        <is>
          <t>GBP</t>
        </is>
      </c>
      <c r="N935" s="10" t="n">
        <v>325.8189979273582</v>
      </c>
      <c r="O935" s="11" t="n">
        <v>1</v>
      </c>
      <c r="P935" s="10" t="n">
        <v>325.8189979273582</v>
      </c>
      <c r="Q935" s="10" t="n">
        <v>1.5</v>
      </c>
      <c r="R935" s="12" t="n">
        <v>0.021</v>
      </c>
      <c r="S935" s="13" t="inlineStr">
        <is>
          <t>Success</t>
        </is>
      </c>
      <c r="T935" s="10" t="n">
        <v>0.4887284968910374</v>
      </c>
      <c r="U935" s="10" t="n">
        <v>0</v>
      </c>
      <c r="V935" s="10" t="n">
        <v>3.909827975128299</v>
      </c>
    </row>
    <row r="936">
      <c r="I936" s="8" t="inlineStr">
        <is>
          <t>ACE-10930</t>
        </is>
      </c>
      <c r="J936" s="8" t="inlineStr">
        <is>
          <t>2026-05-02 08:36:30</t>
        </is>
      </c>
      <c r="K936" s="8" t="inlineStr">
        <is>
          <t>CUST-96195</t>
        </is>
      </c>
      <c r="L936" s="9" t="inlineStr">
        <is>
          <t>GBP-PKR</t>
        </is>
      </c>
      <c r="M936" s="8" t="inlineStr">
        <is>
          <t>GBP</t>
        </is>
      </c>
      <c r="N936" s="10" t="n">
        <v>276.7776778986568</v>
      </c>
      <c r="O936" s="11" t="n">
        <v>1</v>
      </c>
      <c r="P936" s="10" t="n">
        <v>276.7776778986568</v>
      </c>
      <c r="Q936" s="10" t="n">
        <v>1.5</v>
      </c>
      <c r="R936" s="12" t="n">
        <v>0.021</v>
      </c>
      <c r="S936" s="13" t="inlineStr">
        <is>
          <t>Success</t>
        </is>
      </c>
      <c r="T936" s="10" t="n">
        <v>0.4151665168479852</v>
      </c>
      <c r="U936" s="10" t="n">
        <v>0</v>
      </c>
      <c r="V936" s="10" t="n">
        <v>3.321332134783882</v>
      </c>
    </row>
    <row r="937">
      <c r="I937" s="8" t="inlineStr">
        <is>
          <t>ACE-10931</t>
        </is>
      </c>
      <c r="J937" s="8" t="inlineStr">
        <is>
          <t>2026-05-23 09:09:46</t>
        </is>
      </c>
      <c r="K937" s="8" t="inlineStr">
        <is>
          <t>CUST-97926</t>
        </is>
      </c>
      <c r="L937" s="9" t="inlineStr">
        <is>
          <t>USD-PKR</t>
        </is>
      </c>
      <c r="M937" s="8" t="inlineStr">
        <is>
          <t>USD</t>
        </is>
      </c>
      <c r="N937" s="10" t="n">
        <v>207.0804973341429</v>
      </c>
      <c r="O937" s="11" t="n">
        <v>0.8</v>
      </c>
      <c r="P937" s="10" t="n">
        <v>165.6643978673143</v>
      </c>
      <c r="Q937" s="10" t="n">
        <v>1.6</v>
      </c>
      <c r="R937" s="12" t="n">
        <v>0.019</v>
      </c>
      <c r="S937" s="13" t="inlineStr">
        <is>
          <t>Success</t>
        </is>
      </c>
      <c r="T937" s="10" t="n">
        <v>0.2484965968009715</v>
      </c>
      <c r="U937" s="10" t="n">
        <v>0.496993193601943</v>
      </c>
      <c r="V937" s="10" t="n">
        <v>1.987972774407772</v>
      </c>
    </row>
    <row r="938">
      <c r="I938" s="8" t="inlineStr">
        <is>
          <t>ACE-10932</t>
        </is>
      </c>
      <c r="J938" s="8" t="inlineStr">
        <is>
          <t>2026-05-09 15:33:05</t>
        </is>
      </c>
      <c r="K938" s="8" t="inlineStr">
        <is>
          <t>CUST-84298</t>
        </is>
      </c>
      <c r="L938" s="9" t="inlineStr">
        <is>
          <t>GBP-PKR</t>
        </is>
      </c>
      <c r="M938" s="8" t="inlineStr">
        <is>
          <t>GBP</t>
        </is>
      </c>
      <c r="N938" s="10" t="n">
        <v>336.2669404317975</v>
      </c>
      <c r="O938" s="11" t="n">
        <v>1</v>
      </c>
      <c r="P938" s="10" t="n">
        <v>336.2669404317975</v>
      </c>
      <c r="Q938" s="10" t="n">
        <v>1.5</v>
      </c>
      <c r="R938" s="12" t="n">
        <v>0.021</v>
      </c>
      <c r="S938" s="13" t="inlineStr">
        <is>
          <t>Success</t>
        </is>
      </c>
      <c r="T938" s="10" t="n">
        <v>0.5044004106476963</v>
      </c>
      <c r="U938" s="10" t="n">
        <v>0</v>
      </c>
      <c r="V938" s="10" t="n">
        <v>4.03520328518157</v>
      </c>
    </row>
    <row r="939">
      <c r="I939" s="8" t="inlineStr">
        <is>
          <t>ACE-10933</t>
        </is>
      </c>
      <c r="J939" s="8" t="inlineStr">
        <is>
          <t>2026-05-16 18:47:42</t>
        </is>
      </c>
      <c r="K939" s="8" t="inlineStr">
        <is>
          <t>CUST-93825</t>
        </is>
      </c>
      <c r="L939" s="9" t="inlineStr">
        <is>
          <t>GBP-PKR</t>
        </is>
      </c>
      <c r="M939" s="8" t="inlineStr">
        <is>
          <t>GBP</t>
        </is>
      </c>
      <c r="N939" s="10" t="n">
        <v>241.0461028016329</v>
      </c>
      <c r="O939" s="11" t="n">
        <v>1</v>
      </c>
      <c r="P939" s="10" t="n">
        <v>241.0461028016329</v>
      </c>
      <c r="Q939" s="10" t="n">
        <v>1.5</v>
      </c>
      <c r="R939" s="12" t="n">
        <v>0.021</v>
      </c>
      <c r="S939" s="13" t="inlineStr">
        <is>
          <t>Success</t>
        </is>
      </c>
      <c r="T939" s="10" t="n">
        <v>0.3615691542024493</v>
      </c>
      <c r="U939" s="10" t="n">
        <v>0.7231383084048986</v>
      </c>
      <c r="V939" s="10" t="n">
        <v>2.892553233619594</v>
      </c>
    </row>
    <row r="940">
      <c r="I940" s="8" t="inlineStr">
        <is>
          <t>ACE-10934</t>
        </is>
      </c>
      <c r="J940" s="8" t="inlineStr">
        <is>
          <t>2026-05-19 12:39:03</t>
        </is>
      </c>
      <c r="K940" s="8" t="inlineStr">
        <is>
          <t>CUST-72514</t>
        </is>
      </c>
      <c r="L940" s="9" t="inlineStr">
        <is>
          <t>GBP-PKR</t>
        </is>
      </c>
      <c r="M940" s="8" t="inlineStr">
        <is>
          <t>GBP</t>
        </is>
      </c>
      <c r="N940" s="10" t="n">
        <v>223.611239810689</v>
      </c>
      <c r="O940" s="11" t="n">
        <v>1</v>
      </c>
      <c r="P940" s="10" t="n">
        <v>223.611239810689</v>
      </c>
      <c r="Q940" s="10" t="n">
        <v>1.5</v>
      </c>
      <c r="R940" s="12" t="n">
        <v>0.021</v>
      </c>
      <c r="S940" s="13" t="inlineStr">
        <is>
          <t>Success</t>
        </is>
      </c>
      <c r="T940" s="10" t="n">
        <v>0.3354168597160335</v>
      </c>
      <c r="U940" s="10" t="n">
        <v>0</v>
      </c>
      <c r="V940" s="10" t="n">
        <v>2.683334877728268</v>
      </c>
    </row>
    <row r="941">
      <c r="I941" s="8" t="inlineStr">
        <is>
          <t>ACE-10935</t>
        </is>
      </c>
      <c r="J941" s="8" t="inlineStr">
        <is>
          <t>2026-05-15 16:57:30</t>
        </is>
      </c>
      <c r="K941" s="8" t="inlineStr">
        <is>
          <t>CUST-87615</t>
        </is>
      </c>
      <c r="L941" s="9" t="inlineStr">
        <is>
          <t>GBP-PKR</t>
        </is>
      </c>
      <c r="M941" s="8" t="inlineStr">
        <is>
          <t>GBP</t>
        </is>
      </c>
      <c r="N941" s="10" t="n">
        <v>291.1361561150386</v>
      </c>
      <c r="O941" s="11" t="n">
        <v>1</v>
      </c>
      <c r="P941" s="10" t="n">
        <v>291.1361561150386</v>
      </c>
      <c r="Q941" s="10" t="n">
        <v>1.5</v>
      </c>
      <c r="R941" s="12" t="n">
        <v>0.021</v>
      </c>
      <c r="S941" s="13" t="inlineStr">
        <is>
          <t>Success</t>
        </is>
      </c>
      <c r="T941" s="10" t="n">
        <v>0.4367042341725579</v>
      </c>
      <c r="U941" s="10" t="n">
        <v>0</v>
      </c>
      <c r="V941" s="10" t="n">
        <v>3.493633873380463</v>
      </c>
    </row>
    <row r="942">
      <c r="I942" s="8" t="inlineStr">
        <is>
          <t>ACE-10936</t>
        </is>
      </c>
      <c r="J942" s="8" t="inlineStr">
        <is>
          <t>2026-05-10 12:10:02</t>
        </is>
      </c>
      <c r="K942" s="8" t="inlineStr">
        <is>
          <t>CUST-95550</t>
        </is>
      </c>
      <c r="L942" s="9" t="inlineStr">
        <is>
          <t>GBP-PKR</t>
        </is>
      </c>
      <c r="M942" s="8" t="inlineStr">
        <is>
          <t>GBP</t>
        </is>
      </c>
      <c r="N942" s="10" t="n">
        <v>264.961406818683</v>
      </c>
      <c r="O942" s="11" t="n">
        <v>1</v>
      </c>
      <c r="P942" s="10" t="n">
        <v>264.961406818683</v>
      </c>
      <c r="Q942" s="10" t="n">
        <v>1.5</v>
      </c>
      <c r="R942" s="12" t="n">
        <v>0.021</v>
      </c>
      <c r="S942" s="13" t="inlineStr">
        <is>
          <t>Success</t>
        </is>
      </c>
      <c r="T942" s="10" t="n">
        <v>0.3974421102280246</v>
      </c>
      <c r="U942" s="10" t="n">
        <v>0.7948842204560491</v>
      </c>
      <c r="V942" s="10" t="n">
        <v>3.179536881824196</v>
      </c>
    </row>
    <row r="943">
      <c r="I943" s="8" t="inlineStr">
        <is>
          <t>ACE-10937</t>
        </is>
      </c>
      <c r="J943" s="8" t="inlineStr">
        <is>
          <t>2026-05-24 20:36:16</t>
        </is>
      </c>
      <c r="K943" s="8" t="inlineStr">
        <is>
          <t>CUST-54025</t>
        </is>
      </c>
      <c r="L943" s="9" t="inlineStr">
        <is>
          <t>GBP-PKR</t>
        </is>
      </c>
      <c r="M943" s="8" t="inlineStr">
        <is>
          <t>GBP</t>
        </is>
      </c>
      <c r="N943" s="10" t="n">
        <v>251.5561742494885</v>
      </c>
      <c r="O943" s="11" t="n">
        <v>1</v>
      </c>
      <c r="P943" s="10" t="n">
        <v>251.5561742494885</v>
      </c>
      <c r="Q943" s="10" t="n">
        <v>1.5</v>
      </c>
      <c r="R943" s="12" t="n">
        <v>0.021</v>
      </c>
      <c r="S943" s="13" t="inlineStr">
        <is>
          <t>Success</t>
        </is>
      </c>
      <c r="T943" s="10" t="n">
        <v>0.3773342613742328</v>
      </c>
      <c r="U943" s="10" t="n">
        <v>0</v>
      </c>
      <c r="V943" s="10" t="n">
        <v>3.018674090993863</v>
      </c>
    </row>
    <row r="944">
      <c r="I944" s="8" t="inlineStr">
        <is>
          <t>ACE-10938</t>
        </is>
      </c>
      <c r="J944" s="8" t="inlineStr">
        <is>
          <t>2026-05-19 08:42:18</t>
        </is>
      </c>
      <c r="K944" s="8" t="inlineStr">
        <is>
          <t>CUST-98324</t>
        </is>
      </c>
      <c r="L944" s="9" t="inlineStr">
        <is>
          <t>GBP-PKR</t>
        </is>
      </c>
      <c r="M944" s="8" t="inlineStr">
        <is>
          <t>GBP</t>
        </is>
      </c>
      <c r="N944" s="10" t="n">
        <v>299.0543256126809</v>
      </c>
      <c r="O944" s="11" t="n">
        <v>1</v>
      </c>
      <c r="P944" s="10" t="n">
        <v>299.0543256126809</v>
      </c>
      <c r="Q944" s="10" t="n">
        <v>1.5</v>
      </c>
      <c r="R944" s="12" t="n">
        <v>0.021</v>
      </c>
      <c r="S944" s="13" t="inlineStr">
        <is>
          <t>Success</t>
        </is>
      </c>
      <c r="T944" s="10" t="n">
        <v>0.4485814884190214</v>
      </c>
      <c r="U944" s="10" t="n">
        <v>0</v>
      </c>
      <c r="V944" s="10" t="n">
        <v>3.588651907352171</v>
      </c>
    </row>
    <row r="945">
      <c r="I945" s="8" t="inlineStr">
        <is>
          <t>ACE-10939</t>
        </is>
      </c>
      <c r="J945" s="8" t="inlineStr">
        <is>
          <t>2026-05-03 10:32:04</t>
        </is>
      </c>
      <c r="K945" s="8" t="inlineStr">
        <is>
          <t>CUST-68209</t>
        </is>
      </c>
      <c r="L945" s="9" t="inlineStr">
        <is>
          <t>USD-PKR</t>
        </is>
      </c>
      <c r="M945" s="8" t="inlineStr">
        <is>
          <t>USD</t>
        </is>
      </c>
      <c r="N945" s="10" t="n">
        <v>224.3051984826449</v>
      </c>
      <c r="O945" s="11" t="n">
        <v>0.8</v>
      </c>
      <c r="P945" s="10" t="n">
        <v>179.4441587861159</v>
      </c>
      <c r="Q945" s="10" t="n">
        <v>1.6</v>
      </c>
      <c r="R945" s="12" t="n">
        <v>0.019</v>
      </c>
      <c r="S945" s="13" t="inlineStr">
        <is>
          <t>Success</t>
        </is>
      </c>
      <c r="T945" s="10" t="n">
        <v>0.2691662381791738</v>
      </c>
      <c r="U945" s="10" t="n">
        <v>0.5383324763583477</v>
      </c>
      <c r="V945" s="10" t="n">
        <v>2.153329905433391</v>
      </c>
    </row>
    <row r="946">
      <c r="I946" s="8" t="inlineStr">
        <is>
          <t>ACE-10940</t>
        </is>
      </c>
      <c r="J946" s="8" t="inlineStr">
        <is>
          <t>2026-05-09 12:00:47</t>
        </is>
      </c>
      <c r="K946" s="8" t="inlineStr">
        <is>
          <t>CUST-57310</t>
        </is>
      </c>
      <c r="L946" s="9" t="inlineStr">
        <is>
          <t>GBP-PKR</t>
        </is>
      </c>
      <c r="M946" s="8" t="inlineStr">
        <is>
          <t>GBP</t>
        </is>
      </c>
      <c r="N946" s="10" t="n">
        <v>263.3230854690974</v>
      </c>
      <c r="O946" s="11" t="n">
        <v>1</v>
      </c>
      <c r="P946" s="10" t="n">
        <v>263.3230854690974</v>
      </c>
      <c r="Q946" s="10" t="n">
        <v>1.5</v>
      </c>
      <c r="R946" s="12" t="n">
        <v>0.021</v>
      </c>
      <c r="S946" s="13" t="inlineStr">
        <is>
          <t>Success</t>
        </is>
      </c>
      <c r="T946" s="10" t="n">
        <v>0.3949846282036461</v>
      </c>
      <c r="U946" s="10" t="n">
        <v>0.7899692564072922</v>
      </c>
      <c r="V946" s="10" t="n">
        <v>3.159877025629169</v>
      </c>
    </row>
    <row r="947">
      <c r="I947" s="8" t="inlineStr">
        <is>
          <t>ACE-10941</t>
        </is>
      </c>
      <c r="J947" s="8" t="inlineStr">
        <is>
          <t>2026-05-24 10:42:28</t>
        </is>
      </c>
      <c r="K947" s="8" t="inlineStr">
        <is>
          <t>CUST-74233</t>
        </is>
      </c>
      <c r="L947" s="9" t="inlineStr">
        <is>
          <t>USD-PKR</t>
        </is>
      </c>
      <c r="M947" s="8" t="inlineStr">
        <is>
          <t>USD</t>
        </is>
      </c>
      <c r="N947" s="10" t="n">
        <v>192.5964575641302</v>
      </c>
      <c r="O947" s="11" t="n">
        <v>0.8</v>
      </c>
      <c r="P947" s="10" t="n">
        <v>154.0771660513042</v>
      </c>
      <c r="Q947" s="10" t="n">
        <v>1.6</v>
      </c>
      <c r="R947" s="12" t="n">
        <v>0.019</v>
      </c>
      <c r="S947" s="13" t="inlineStr">
        <is>
          <t>Success</t>
        </is>
      </c>
      <c r="T947" s="10" t="n">
        <v>0.2311157490769563</v>
      </c>
      <c r="U947" s="10" t="n">
        <v>0</v>
      </c>
      <c r="V947" s="10" t="n">
        <v>1.84892599261565</v>
      </c>
    </row>
    <row r="948">
      <c r="I948" s="8" t="inlineStr">
        <is>
          <t>ACE-10942</t>
        </is>
      </c>
      <c r="J948" s="8" t="inlineStr">
        <is>
          <t>2026-05-23 11:31:11</t>
        </is>
      </c>
      <c r="K948" s="8" t="inlineStr">
        <is>
          <t>CUST-84562</t>
        </is>
      </c>
      <c r="L948" s="9" t="inlineStr">
        <is>
          <t>GBP-PKR</t>
        </is>
      </c>
      <c r="M948" s="8" t="inlineStr">
        <is>
          <t>GBP</t>
        </is>
      </c>
      <c r="N948" s="10" t="n">
        <v>304.0023209245365</v>
      </c>
      <c r="O948" s="11" t="n">
        <v>1</v>
      </c>
      <c r="P948" s="10" t="n">
        <v>304.0023209245365</v>
      </c>
      <c r="Q948" s="10" t="n">
        <v>1.5</v>
      </c>
      <c r="R948" s="12" t="n">
        <v>0.021</v>
      </c>
      <c r="S948" s="13" t="inlineStr">
        <is>
          <t>Success</t>
        </is>
      </c>
      <c r="T948" s="10" t="n">
        <v>0.4560034813868047</v>
      </c>
      <c r="U948" s="10" t="n">
        <v>0</v>
      </c>
      <c r="V948" s="10" t="n">
        <v>3.648027851094438</v>
      </c>
    </row>
    <row r="949">
      <c r="I949" s="8" t="inlineStr">
        <is>
          <t>ACE-10943</t>
        </is>
      </c>
      <c r="J949" s="8" t="inlineStr">
        <is>
          <t>2026-05-03 10:38:59</t>
        </is>
      </c>
      <c r="K949" s="8" t="inlineStr">
        <is>
          <t>CUST-60102</t>
        </is>
      </c>
      <c r="L949" s="9" t="inlineStr">
        <is>
          <t>GBP-PKR</t>
        </is>
      </c>
      <c r="M949" s="8" t="inlineStr">
        <is>
          <t>GBP</t>
        </is>
      </c>
      <c r="N949" s="10" t="n">
        <v>297.3202143999146</v>
      </c>
      <c r="O949" s="11" t="n">
        <v>1</v>
      </c>
      <c r="P949" s="10" t="n">
        <v>297.3202143999146</v>
      </c>
      <c r="Q949" s="10" t="n">
        <v>1.5</v>
      </c>
      <c r="R949" s="12" t="n">
        <v>0.021</v>
      </c>
      <c r="S949" s="13" t="inlineStr">
        <is>
          <t>Success</t>
        </is>
      </c>
      <c r="T949" s="10" t="n">
        <v>0.4459803215998719</v>
      </c>
      <c r="U949" s="10" t="n">
        <v>0.8919606431997439</v>
      </c>
      <c r="V949" s="10" t="n">
        <v>3.567842572798976</v>
      </c>
    </row>
    <row r="950">
      <c r="I950" s="8" t="inlineStr">
        <is>
          <t>ACE-10944</t>
        </is>
      </c>
      <c r="J950" s="8" t="inlineStr">
        <is>
          <t>2026-05-14 20:24:15</t>
        </is>
      </c>
      <c r="K950" s="8" t="inlineStr">
        <is>
          <t>CUST-93297</t>
        </is>
      </c>
      <c r="L950" s="9" t="inlineStr">
        <is>
          <t>GBP-PKR</t>
        </is>
      </c>
      <c r="M950" s="8" t="inlineStr">
        <is>
          <t>GBP</t>
        </is>
      </c>
      <c r="N950" s="10" t="n">
        <v>275.8540762856694</v>
      </c>
      <c r="O950" s="11" t="n">
        <v>1</v>
      </c>
      <c r="P950" s="10" t="n">
        <v>275.8540762856694</v>
      </c>
      <c r="Q950" s="10" t="n">
        <v>1.5</v>
      </c>
      <c r="R950" s="12" t="n">
        <v>0.021</v>
      </c>
      <c r="S950" s="13" t="inlineStr">
        <is>
          <t>Success</t>
        </is>
      </c>
      <c r="T950" s="10" t="n">
        <v>0.413781114428504</v>
      </c>
      <c r="U950" s="10" t="n">
        <v>0.827562228857008</v>
      </c>
      <c r="V950" s="10" t="n">
        <v>3.310248915428032</v>
      </c>
    </row>
    <row r="951">
      <c r="I951" s="8" t="inlineStr">
        <is>
          <t>ACE-10945</t>
        </is>
      </c>
      <c r="J951" s="8" t="inlineStr">
        <is>
          <t>2026-05-07 17:46:53</t>
        </is>
      </c>
      <c r="K951" s="8" t="inlineStr">
        <is>
          <t>CUST-72614</t>
        </is>
      </c>
      <c r="L951" s="9" t="inlineStr">
        <is>
          <t>USD-PKR</t>
        </is>
      </c>
      <c r="M951" s="8" t="inlineStr">
        <is>
          <t>USD</t>
        </is>
      </c>
      <c r="N951" s="10" t="n">
        <v>263.2992573515133</v>
      </c>
      <c r="O951" s="11" t="n">
        <v>0.8</v>
      </c>
      <c r="P951" s="10" t="n">
        <v>210.6394058812106</v>
      </c>
      <c r="Q951" s="10" t="n">
        <v>1.6</v>
      </c>
      <c r="R951" s="12" t="n">
        <v>0.019</v>
      </c>
      <c r="S951" s="13" t="inlineStr">
        <is>
          <t>Success</t>
        </is>
      </c>
      <c r="T951" s="10" t="n">
        <v>0.315959108821816</v>
      </c>
      <c r="U951" s="10" t="n">
        <v>0</v>
      </c>
      <c r="V951" s="10" t="n">
        <v>2.527672870574528</v>
      </c>
    </row>
    <row r="952">
      <c r="I952" s="8" t="inlineStr">
        <is>
          <t>ACE-10946</t>
        </is>
      </c>
      <c r="J952" s="8" t="inlineStr">
        <is>
          <t>2026-05-04 08:10:29</t>
        </is>
      </c>
      <c r="K952" s="8" t="inlineStr">
        <is>
          <t>CUST-76132</t>
        </is>
      </c>
      <c r="L952" s="9" t="inlineStr">
        <is>
          <t>GBP-PKR</t>
        </is>
      </c>
      <c r="M952" s="8" t="inlineStr">
        <is>
          <t>GBP</t>
        </is>
      </c>
      <c r="N952" s="10" t="n">
        <v>250.3302701333739</v>
      </c>
      <c r="O952" s="11" t="n">
        <v>1</v>
      </c>
      <c r="P952" s="10" t="n">
        <v>250.3302701333739</v>
      </c>
      <c r="Q952" s="10" t="n">
        <v>1.5</v>
      </c>
      <c r="R952" s="12" t="n">
        <v>0.021</v>
      </c>
      <c r="S952" s="13" t="inlineStr">
        <is>
          <t>Success</t>
        </is>
      </c>
      <c r="T952" s="10" t="n">
        <v>0.3754954052000609</v>
      </c>
      <c r="U952" s="10" t="n">
        <v>0</v>
      </c>
      <c r="V952" s="10" t="n">
        <v>3.003963241600487</v>
      </c>
    </row>
    <row r="953">
      <c r="I953" s="8" t="inlineStr">
        <is>
          <t>ACE-10947</t>
        </is>
      </c>
      <c r="J953" s="8" t="inlineStr">
        <is>
          <t>2026-05-18 11:24:43</t>
        </is>
      </c>
      <c r="K953" s="8" t="inlineStr">
        <is>
          <t>CUST-96242</t>
        </is>
      </c>
      <c r="L953" s="9" t="inlineStr">
        <is>
          <t>GBP-PKR</t>
        </is>
      </c>
      <c r="M953" s="8" t="inlineStr">
        <is>
          <t>GBP</t>
        </is>
      </c>
      <c r="N953" s="10" t="n">
        <v>239.18494618259</v>
      </c>
      <c r="O953" s="11" t="n">
        <v>1</v>
      </c>
      <c r="P953" s="10" t="n">
        <v>239.18494618259</v>
      </c>
      <c r="Q953" s="10" t="n">
        <v>1.5</v>
      </c>
      <c r="R953" s="12" t="n">
        <v>0.021</v>
      </c>
      <c r="S953" s="13" t="inlineStr">
        <is>
          <t>Success</t>
        </is>
      </c>
      <c r="T953" s="10" t="n">
        <v>0.358777419273885</v>
      </c>
      <c r="U953" s="10" t="n">
        <v>0</v>
      </c>
      <c r="V953" s="10" t="n">
        <v>2.87021935419108</v>
      </c>
    </row>
    <row r="954">
      <c r="I954" s="8" t="inlineStr">
        <is>
          <t>ACE-10948</t>
        </is>
      </c>
      <c r="J954" s="8" t="inlineStr">
        <is>
          <t>2026-05-17 14:00:18</t>
        </is>
      </c>
      <c r="K954" s="8" t="inlineStr">
        <is>
          <t>CUST-79413</t>
        </is>
      </c>
      <c r="L954" s="9" t="inlineStr">
        <is>
          <t>GBP-PKR</t>
        </is>
      </c>
      <c r="M954" s="8" t="inlineStr">
        <is>
          <t>GBP</t>
        </is>
      </c>
      <c r="N954" s="10" t="n">
        <v>259.97846383504</v>
      </c>
      <c r="O954" s="11" t="n">
        <v>1</v>
      </c>
      <c r="P954" s="10" t="n">
        <v>259.97846383504</v>
      </c>
      <c r="Q954" s="10" t="n">
        <v>1.5</v>
      </c>
      <c r="R954" s="12" t="n">
        <v>0.021</v>
      </c>
      <c r="S954" s="13" t="inlineStr">
        <is>
          <t>Success</t>
        </is>
      </c>
      <c r="T954" s="10" t="n">
        <v>0.38996769575256</v>
      </c>
      <c r="U954" s="10" t="n">
        <v>0</v>
      </c>
      <c r="V954" s="10" t="n">
        <v>3.11974156602048</v>
      </c>
    </row>
    <row r="955">
      <c r="I955" s="8" t="inlineStr">
        <is>
          <t>ACE-10949</t>
        </is>
      </c>
      <c r="J955" s="8" t="inlineStr">
        <is>
          <t>2026-05-17 18:02:06</t>
        </is>
      </c>
      <c r="K955" s="8" t="inlineStr">
        <is>
          <t>CUST-84818</t>
        </is>
      </c>
      <c r="L955" s="9" t="inlineStr">
        <is>
          <t>GBP-PKR</t>
        </is>
      </c>
      <c r="M955" s="8" t="inlineStr">
        <is>
          <t>GBP</t>
        </is>
      </c>
      <c r="N955" s="10" t="n">
        <v>277.3363422445423</v>
      </c>
      <c r="O955" s="11" t="n">
        <v>1</v>
      </c>
      <c r="P955" s="10" t="n">
        <v>277.3363422445423</v>
      </c>
      <c r="Q955" s="10" t="n">
        <v>1.5</v>
      </c>
      <c r="R955" s="12" t="n">
        <v>0.021</v>
      </c>
      <c r="S955" s="13" t="inlineStr">
        <is>
          <t>Success</t>
        </is>
      </c>
      <c r="T955" s="10" t="n">
        <v>0.4160045133668135</v>
      </c>
      <c r="U955" s="10" t="n">
        <v>0.832009026733627</v>
      </c>
      <c r="V955" s="10" t="n">
        <v>3.328036106934508</v>
      </c>
    </row>
    <row r="956">
      <c r="I956" s="8" t="inlineStr">
        <is>
          <t>ACE-10950</t>
        </is>
      </c>
      <c r="J956" s="8" t="inlineStr">
        <is>
          <t>2026-05-14 17:58:41</t>
        </is>
      </c>
      <c r="K956" s="8" t="inlineStr">
        <is>
          <t>CUST-67864</t>
        </is>
      </c>
      <c r="L956" s="9" t="inlineStr">
        <is>
          <t>EUR-PKR</t>
        </is>
      </c>
      <c r="M956" s="8" t="inlineStr">
        <is>
          <t>EUR</t>
        </is>
      </c>
      <c r="N956" s="10" t="n">
        <v>193.7091906399092</v>
      </c>
      <c r="O956" s="11" t="n">
        <v>0.85</v>
      </c>
      <c r="P956" s="10" t="n">
        <v>164.6528120439228</v>
      </c>
      <c r="Q956" s="10" t="n">
        <v>1.275</v>
      </c>
      <c r="R956" s="12" t="n">
        <v>0.023</v>
      </c>
      <c r="S956" s="13" t="inlineStr">
        <is>
          <t>Success</t>
        </is>
      </c>
      <c r="T956" s="10" t="n">
        <v>0.2469792180658842</v>
      </c>
      <c r="U956" s="10" t="n">
        <v>0</v>
      </c>
      <c r="V956" s="10" t="n">
        <v>2.469792180658842</v>
      </c>
    </row>
    <row r="957">
      <c r="I957" s="8" t="inlineStr">
        <is>
          <t>ACE-10951</t>
        </is>
      </c>
      <c r="J957" s="8" t="inlineStr">
        <is>
          <t>2026-05-04 12:41:37</t>
        </is>
      </c>
      <c r="K957" s="8" t="inlineStr">
        <is>
          <t>CUST-75634</t>
        </is>
      </c>
      <c r="L957" s="9" t="inlineStr">
        <is>
          <t>GBP-PKR</t>
        </is>
      </c>
      <c r="M957" s="8" t="inlineStr">
        <is>
          <t>GBP</t>
        </is>
      </c>
      <c r="N957" s="10" t="n">
        <v>271.9629917737241</v>
      </c>
      <c r="O957" s="11" t="n">
        <v>1</v>
      </c>
      <c r="P957" s="10" t="n">
        <v>271.9629917737241</v>
      </c>
      <c r="Q957" s="10" t="n">
        <v>1.5</v>
      </c>
      <c r="R957" s="12" t="n">
        <v>0.021</v>
      </c>
      <c r="S957" s="13" t="inlineStr">
        <is>
          <t>Success</t>
        </is>
      </c>
      <c r="T957" s="10" t="n">
        <v>0.4079444876605862</v>
      </c>
      <c r="U957" s="10" t="n">
        <v>0.8158889753211724</v>
      </c>
      <c r="V957" s="10" t="n">
        <v>3.26355590128469</v>
      </c>
    </row>
    <row r="958">
      <c r="I958" s="8" t="inlineStr">
        <is>
          <t>ACE-10952</t>
        </is>
      </c>
      <c r="J958" s="8" t="inlineStr">
        <is>
          <t>2026-05-08 19:43:37</t>
        </is>
      </c>
      <c r="K958" s="8" t="inlineStr">
        <is>
          <t>CUST-62774</t>
        </is>
      </c>
      <c r="L958" s="9" t="inlineStr">
        <is>
          <t>USD-PKR</t>
        </is>
      </c>
      <c r="M958" s="8" t="inlineStr">
        <is>
          <t>USD</t>
        </is>
      </c>
      <c r="N958" s="10" t="n">
        <v>226.7465980972072</v>
      </c>
      <c r="O958" s="11" t="n">
        <v>0.8</v>
      </c>
      <c r="P958" s="10" t="n">
        <v>181.3972784777658</v>
      </c>
      <c r="Q958" s="10" t="n">
        <v>1.6</v>
      </c>
      <c r="R958" s="12" t="n">
        <v>0.019</v>
      </c>
      <c r="S958" s="13" t="inlineStr">
        <is>
          <t>Success</t>
        </is>
      </c>
      <c r="T958" s="10" t="n">
        <v>0.2720959177166486</v>
      </c>
      <c r="U958" s="10" t="n">
        <v>0.5441918354332973</v>
      </c>
      <c r="V958" s="10" t="n">
        <v>2.176767341733189</v>
      </c>
    </row>
    <row r="959">
      <c r="I959" s="8" t="inlineStr">
        <is>
          <t>ACE-10953</t>
        </is>
      </c>
      <c r="J959" s="8" t="inlineStr">
        <is>
          <t>2026-05-06 13:35:00</t>
        </is>
      </c>
      <c r="K959" s="8" t="inlineStr">
        <is>
          <t>CUST-94092</t>
        </is>
      </c>
      <c r="L959" s="9" t="inlineStr">
        <is>
          <t>GBP-PKR</t>
        </is>
      </c>
      <c r="M959" s="8" t="inlineStr">
        <is>
          <t>GBP</t>
        </is>
      </c>
      <c r="N959" s="10" t="n">
        <v>245.8288742531749</v>
      </c>
      <c r="O959" s="11" t="n">
        <v>1</v>
      </c>
      <c r="P959" s="10" t="n">
        <v>245.8288742531749</v>
      </c>
      <c r="Q959" s="10" t="n">
        <v>1.5</v>
      </c>
      <c r="R959" s="12" t="n">
        <v>0.021</v>
      </c>
      <c r="S959" s="13" t="inlineStr">
        <is>
          <t>Failed</t>
        </is>
      </c>
      <c r="T959" s="10" t="n">
        <v>0</v>
      </c>
      <c r="U959" s="10" t="n">
        <v>0</v>
      </c>
      <c r="V959" s="10" t="n">
        <v>0.5</v>
      </c>
    </row>
    <row r="960">
      <c r="I960" s="8" t="inlineStr">
        <is>
          <t>ACE-10954</t>
        </is>
      </c>
      <c r="J960" s="8" t="inlineStr">
        <is>
          <t>2026-05-03 08:26:06</t>
        </is>
      </c>
      <c r="K960" s="8" t="inlineStr">
        <is>
          <t>CUST-84423</t>
        </is>
      </c>
      <c r="L960" s="9" t="inlineStr">
        <is>
          <t>GBP-PKR</t>
        </is>
      </c>
      <c r="M960" s="8" t="inlineStr">
        <is>
          <t>GBP</t>
        </is>
      </c>
      <c r="N960" s="10" t="n">
        <v>321.8758987272959</v>
      </c>
      <c r="O960" s="11" t="n">
        <v>1</v>
      </c>
      <c r="P960" s="10" t="n">
        <v>321.8758987272959</v>
      </c>
      <c r="Q960" s="10" t="n">
        <v>1.5</v>
      </c>
      <c r="R960" s="12" t="n">
        <v>0.021</v>
      </c>
      <c r="S960" s="13" t="inlineStr">
        <is>
          <t>Success</t>
        </is>
      </c>
      <c r="T960" s="10" t="n">
        <v>0.4828138480909439</v>
      </c>
      <c r="U960" s="10" t="n">
        <v>0</v>
      </c>
      <c r="V960" s="10" t="n">
        <v>3.862510784727551</v>
      </c>
    </row>
    <row r="961">
      <c r="I961" s="8" t="inlineStr">
        <is>
          <t>ACE-10955</t>
        </is>
      </c>
      <c r="J961" s="8" t="inlineStr">
        <is>
          <t>2026-05-08 19:18:16</t>
        </is>
      </c>
      <c r="K961" s="8" t="inlineStr">
        <is>
          <t>CUST-62653</t>
        </is>
      </c>
      <c r="L961" s="9" t="inlineStr">
        <is>
          <t>EUR-PKR</t>
        </is>
      </c>
      <c r="M961" s="8" t="inlineStr">
        <is>
          <t>EUR</t>
        </is>
      </c>
      <c r="N961" s="10" t="n">
        <v>187.5056455057579</v>
      </c>
      <c r="O961" s="11" t="n">
        <v>0.85</v>
      </c>
      <c r="P961" s="10" t="n">
        <v>159.3797986798942</v>
      </c>
      <c r="Q961" s="10" t="n">
        <v>1.275</v>
      </c>
      <c r="R961" s="12" t="n">
        <v>0.023</v>
      </c>
      <c r="S961" s="13" t="inlineStr">
        <is>
          <t>Success</t>
        </is>
      </c>
      <c r="T961" s="10" t="n">
        <v>0.2390696980198413</v>
      </c>
      <c r="U961" s="10" t="n">
        <v>0.4781393960396826</v>
      </c>
      <c r="V961" s="10" t="n">
        <v>2.390696980198413</v>
      </c>
    </row>
    <row r="962">
      <c r="I962" s="8" t="inlineStr">
        <is>
          <t>ACE-10956</t>
        </is>
      </c>
      <c r="J962" s="8" t="inlineStr">
        <is>
          <t>2026-05-02 17:42:57</t>
        </is>
      </c>
      <c r="K962" s="8" t="inlineStr">
        <is>
          <t>CUST-64209</t>
        </is>
      </c>
      <c r="L962" s="9" t="inlineStr">
        <is>
          <t>GBP-PKR</t>
        </is>
      </c>
      <c r="M962" s="8" t="inlineStr">
        <is>
          <t>GBP</t>
        </is>
      </c>
      <c r="N962" s="10" t="n">
        <v>311.5373349205378</v>
      </c>
      <c r="O962" s="11" t="n">
        <v>1</v>
      </c>
      <c r="P962" s="10" t="n">
        <v>311.5373349205378</v>
      </c>
      <c r="Q962" s="10" t="n">
        <v>1.5</v>
      </c>
      <c r="R962" s="12" t="n">
        <v>0.021</v>
      </c>
      <c r="S962" s="13" t="inlineStr">
        <is>
          <t>Success</t>
        </is>
      </c>
      <c r="T962" s="10" t="n">
        <v>0.4673060023808067</v>
      </c>
      <c r="U962" s="10" t="n">
        <v>0.9346120047616133</v>
      </c>
      <c r="V962" s="10" t="n">
        <v>3.738448019046453</v>
      </c>
    </row>
    <row r="963">
      <c r="I963" s="8" t="inlineStr">
        <is>
          <t>ACE-10957</t>
        </is>
      </c>
      <c r="J963" s="8" t="inlineStr">
        <is>
          <t>2026-05-23 09:05:54</t>
        </is>
      </c>
      <c r="K963" s="8" t="inlineStr">
        <is>
          <t>CUST-89628</t>
        </is>
      </c>
      <c r="L963" s="9" t="inlineStr">
        <is>
          <t>EUR-PKR</t>
        </is>
      </c>
      <c r="M963" s="8" t="inlineStr">
        <is>
          <t>EUR</t>
        </is>
      </c>
      <c r="N963" s="10" t="n">
        <v>195.6439854478997</v>
      </c>
      <c r="O963" s="11" t="n">
        <v>0.85</v>
      </c>
      <c r="P963" s="10" t="n">
        <v>166.2973876307148</v>
      </c>
      <c r="Q963" s="10" t="n">
        <v>1.275</v>
      </c>
      <c r="R963" s="12" t="n">
        <v>0.023</v>
      </c>
      <c r="S963" s="13" t="inlineStr">
        <is>
          <t>Success</t>
        </is>
      </c>
      <c r="T963" s="10" t="n">
        <v>0.2494460814460721</v>
      </c>
      <c r="U963" s="10" t="n">
        <v>0.4988921628921443</v>
      </c>
      <c r="V963" s="10" t="n">
        <v>2.494460814460721</v>
      </c>
    </row>
    <row r="964">
      <c r="I964" s="8" t="inlineStr">
        <is>
          <t>ACE-10958</t>
        </is>
      </c>
      <c r="J964" s="8" t="inlineStr">
        <is>
          <t>2026-05-21 17:51:11</t>
        </is>
      </c>
      <c r="K964" s="8" t="inlineStr">
        <is>
          <t>CUST-57264</t>
        </is>
      </c>
      <c r="L964" s="9" t="inlineStr">
        <is>
          <t>USD-PKR</t>
        </is>
      </c>
      <c r="M964" s="8" t="inlineStr">
        <is>
          <t>USD</t>
        </is>
      </c>
      <c r="N964" s="10" t="n">
        <v>229.1330566596097</v>
      </c>
      <c r="O964" s="11" t="n">
        <v>0.8</v>
      </c>
      <c r="P964" s="10" t="n">
        <v>183.3064453276878</v>
      </c>
      <c r="Q964" s="10" t="n">
        <v>1.6</v>
      </c>
      <c r="R964" s="12" t="n">
        <v>0.019</v>
      </c>
      <c r="S964" s="13" t="inlineStr">
        <is>
          <t>Success</t>
        </is>
      </c>
      <c r="T964" s="10" t="n">
        <v>0.2749596679915317</v>
      </c>
      <c r="U964" s="10" t="n">
        <v>0</v>
      </c>
      <c r="V964" s="10" t="n">
        <v>2.199677343932253</v>
      </c>
    </row>
    <row r="965">
      <c r="I965" s="8" t="inlineStr">
        <is>
          <t>ACE-10959</t>
        </is>
      </c>
      <c r="J965" s="8" t="inlineStr">
        <is>
          <t>2026-05-15 18:59:04</t>
        </is>
      </c>
      <c r="K965" s="8" t="inlineStr">
        <is>
          <t>CUST-91863</t>
        </is>
      </c>
      <c r="L965" s="9" t="inlineStr">
        <is>
          <t>GBP-PKR</t>
        </is>
      </c>
      <c r="M965" s="8" t="inlineStr">
        <is>
          <t>GBP</t>
        </is>
      </c>
      <c r="N965" s="10" t="n">
        <v>294.9383440255807</v>
      </c>
      <c r="O965" s="11" t="n">
        <v>1</v>
      </c>
      <c r="P965" s="10" t="n">
        <v>294.9383440255807</v>
      </c>
      <c r="Q965" s="10" t="n">
        <v>1.5</v>
      </c>
      <c r="R965" s="12" t="n">
        <v>0.021</v>
      </c>
      <c r="S965" s="13" t="inlineStr">
        <is>
          <t>Success</t>
        </is>
      </c>
      <c r="T965" s="10" t="n">
        <v>0.4424075160383711</v>
      </c>
      <c r="U965" s="10" t="n">
        <v>0.8848150320767422</v>
      </c>
      <c r="V965" s="10" t="n">
        <v>3.539260128306969</v>
      </c>
    </row>
    <row r="966">
      <c r="I966" s="8" t="inlineStr">
        <is>
          <t>ACE-10960</t>
        </is>
      </c>
      <c r="J966" s="8" t="inlineStr">
        <is>
          <t>2026-05-14 19:57:42</t>
        </is>
      </c>
      <c r="K966" s="8" t="inlineStr">
        <is>
          <t>CUST-71194</t>
        </is>
      </c>
      <c r="L966" s="9" t="inlineStr">
        <is>
          <t>USD-PKR</t>
        </is>
      </c>
      <c r="M966" s="8" t="inlineStr">
        <is>
          <t>USD</t>
        </is>
      </c>
      <c r="N966" s="10" t="n">
        <v>228.9259073140542</v>
      </c>
      <c r="O966" s="11" t="n">
        <v>0.8</v>
      </c>
      <c r="P966" s="10" t="n">
        <v>183.1407258512434</v>
      </c>
      <c r="Q966" s="10" t="n">
        <v>1.6</v>
      </c>
      <c r="R966" s="12" t="n">
        <v>0.019</v>
      </c>
      <c r="S966" s="13" t="inlineStr">
        <is>
          <t>Success</t>
        </is>
      </c>
      <c r="T966" s="10" t="n">
        <v>0.2747110887768651</v>
      </c>
      <c r="U966" s="10" t="n">
        <v>0.5494221775537301</v>
      </c>
      <c r="V966" s="10" t="n">
        <v>2.197688710214921</v>
      </c>
    </row>
    <row r="967">
      <c r="I967" s="8" t="inlineStr">
        <is>
          <t>ACE-10961</t>
        </is>
      </c>
      <c r="J967" s="8" t="inlineStr">
        <is>
          <t>2026-05-09 20:03:24</t>
        </is>
      </c>
      <c r="K967" s="8" t="inlineStr">
        <is>
          <t>CUST-75466</t>
        </is>
      </c>
      <c r="L967" s="9" t="inlineStr">
        <is>
          <t>USD-PKR</t>
        </is>
      </c>
      <c r="M967" s="8" t="inlineStr">
        <is>
          <t>USD</t>
        </is>
      </c>
      <c r="N967" s="10" t="n">
        <v>233.4341028115787</v>
      </c>
      <c r="O967" s="11" t="n">
        <v>0.8</v>
      </c>
      <c r="P967" s="10" t="n">
        <v>186.747282249263</v>
      </c>
      <c r="Q967" s="10" t="n">
        <v>1.6</v>
      </c>
      <c r="R967" s="12" t="n">
        <v>0.019</v>
      </c>
      <c r="S967" s="13" t="inlineStr">
        <is>
          <t>Success</t>
        </is>
      </c>
      <c r="T967" s="10" t="n">
        <v>0.2801209233738945</v>
      </c>
      <c r="U967" s="10" t="n">
        <v>0</v>
      </c>
      <c r="V967" s="10" t="n">
        <v>2.240967386991156</v>
      </c>
    </row>
    <row r="968">
      <c r="I968" s="8" t="inlineStr">
        <is>
          <t>ACE-10962</t>
        </is>
      </c>
      <c r="J968" s="8" t="inlineStr">
        <is>
          <t>2026-05-09 10:28:04</t>
        </is>
      </c>
      <c r="K968" s="8" t="inlineStr">
        <is>
          <t>CUST-82225</t>
        </is>
      </c>
      <c r="L968" s="9" t="inlineStr">
        <is>
          <t>GBP-PKR</t>
        </is>
      </c>
      <c r="M968" s="8" t="inlineStr">
        <is>
          <t>GBP</t>
        </is>
      </c>
      <c r="N968" s="10" t="n">
        <v>318.2078724540989</v>
      </c>
      <c r="O968" s="11" t="n">
        <v>1</v>
      </c>
      <c r="P968" s="10" t="n">
        <v>318.2078724540989</v>
      </c>
      <c r="Q968" s="10" t="n">
        <v>1.5</v>
      </c>
      <c r="R968" s="12" t="n">
        <v>0.021</v>
      </c>
      <c r="S968" s="13" t="inlineStr">
        <is>
          <t>Success</t>
        </is>
      </c>
      <c r="T968" s="10" t="n">
        <v>0.4773118086811484</v>
      </c>
      <c r="U968" s="10" t="n">
        <v>0</v>
      </c>
      <c r="V968" s="10" t="n">
        <v>3.818494469449187</v>
      </c>
    </row>
    <row r="969">
      <c r="I969" s="8" t="inlineStr">
        <is>
          <t>ACE-10963</t>
        </is>
      </c>
      <c r="J969" s="8" t="inlineStr">
        <is>
          <t>2026-05-13 10:41:31</t>
        </is>
      </c>
      <c r="K969" s="8" t="inlineStr">
        <is>
          <t>CUST-57106</t>
        </is>
      </c>
      <c r="L969" s="9" t="inlineStr">
        <is>
          <t>USD-PKR</t>
        </is>
      </c>
      <c r="M969" s="8" t="inlineStr">
        <is>
          <t>USD</t>
        </is>
      </c>
      <c r="N969" s="10" t="n">
        <v>223.2471967936865</v>
      </c>
      <c r="O969" s="11" t="n">
        <v>0.8</v>
      </c>
      <c r="P969" s="10" t="n">
        <v>178.5977574349492</v>
      </c>
      <c r="Q969" s="10" t="n">
        <v>1.6</v>
      </c>
      <c r="R969" s="12" t="n">
        <v>0.019</v>
      </c>
      <c r="S969" s="13" t="inlineStr">
        <is>
          <t>Success</t>
        </is>
      </c>
      <c r="T969" s="10" t="n">
        <v>0.2678966361524239</v>
      </c>
      <c r="U969" s="10" t="n">
        <v>0.5357932723048477</v>
      </c>
      <c r="V969" s="10" t="n">
        <v>2.143173089219391</v>
      </c>
    </row>
    <row r="970">
      <c r="I970" s="8" t="inlineStr">
        <is>
          <t>ACE-10964</t>
        </is>
      </c>
      <c r="J970" s="8" t="inlineStr">
        <is>
          <t>2026-05-07 17:41:06</t>
        </is>
      </c>
      <c r="K970" s="8" t="inlineStr">
        <is>
          <t>CUST-78939</t>
        </is>
      </c>
      <c r="L970" s="9" t="inlineStr">
        <is>
          <t>USD-PKR</t>
        </is>
      </c>
      <c r="M970" s="8" t="inlineStr">
        <is>
          <t>USD</t>
        </is>
      </c>
      <c r="N970" s="10" t="n">
        <v>234.9864662619793</v>
      </c>
      <c r="O970" s="11" t="n">
        <v>0.8</v>
      </c>
      <c r="P970" s="10" t="n">
        <v>187.9891730095835</v>
      </c>
      <c r="Q970" s="10" t="n">
        <v>1.6</v>
      </c>
      <c r="R970" s="12" t="n">
        <v>0.019</v>
      </c>
      <c r="S970" s="13" t="inlineStr">
        <is>
          <t>Success</t>
        </is>
      </c>
      <c r="T970" s="10" t="n">
        <v>0.2819837595143752</v>
      </c>
      <c r="U970" s="10" t="n">
        <v>0</v>
      </c>
      <c r="V970" s="10" t="n">
        <v>2.255870076115002</v>
      </c>
    </row>
    <row r="971">
      <c r="I971" s="8" t="inlineStr">
        <is>
          <t>ACE-10965</t>
        </is>
      </c>
      <c r="J971" s="8" t="inlineStr">
        <is>
          <t>2026-05-03 09:36:46</t>
        </is>
      </c>
      <c r="K971" s="8" t="inlineStr">
        <is>
          <t>CUST-66423</t>
        </is>
      </c>
      <c r="L971" s="9" t="inlineStr">
        <is>
          <t>GBP-PKR</t>
        </is>
      </c>
      <c r="M971" s="8" t="inlineStr">
        <is>
          <t>GBP</t>
        </is>
      </c>
      <c r="N971" s="10" t="n">
        <v>276.1146101640433</v>
      </c>
      <c r="O971" s="11" t="n">
        <v>1</v>
      </c>
      <c r="P971" s="10" t="n">
        <v>276.1146101640433</v>
      </c>
      <c r="Q971" s="10" t="n">
        <v>1.5</v>
      </c>
      <c r="R971" s="12" t="n">
        <v>0.021</v>
      </c>
      <c r="S971" s="13" t="inlineStr">
        <is>
          <t>Success</t>
        </is>
      </c>
      <c r="T971" s="10" t="n">
        <v>0.414171915246065</v>
      </c>
      <c r="U971" s="10" t="n">
        <v>0</v>
      </c>
      <c r="V971" s="10" t="n">
        <v>3.31337532196852</v>
      </c>
    </row>
    <row r="972">
      <c r="I972" s="8" t="inlineStr">
        <is>
          <t>ACE-10966</t>
        </is>
      </c>
      <c r="J972" s="8" t="inlineStr">
        <is>
          <t>2026-05-16 10:41:40</t>
        </is>
      </c>
      <c r="K972" s="8" t="inlineStr">
        <is>
          <t>CUST-50056</t>
        </is>
      </c>
      <c r="L972" s="9" t="inlineStr">
        <is>
          <t>GBP-PKR</t>
        </is>
      </c>
      <c r="M972" s="8" t="inlineStr">
        <is>
          <t>GBP</t>
        </is>
      </c>
      <c r="N972" s="10" t="n">
        <v>321.7585194858538</v>
      </c>
      <c r="O972" s="11" t="n">
        <v>1</v>
      </c>
      <c r="P972" s="10" t="n">
        <v>321.7585194858538</v>
      </c>
      <c r="Q972" s="10" t="n">
        <v>1.5</v>
      </c>
      <c r="R972" s="12" t="n">
        <v>0.021</v>
      </c>
      <c r="S972" s="13" t="inlineStr">
        <is>
          <t>Success</t>
        </is>
      </c>
      <c r="T972" s="10" t="n">
        <v>0.4826377792287807</v>
      </c>
      <c r="U972" s="10" t="n">
        <v>0.9652755584575614</v>
      </c>
      <c r="V972" s="10" t="n">
        <v>3.861102233830246</v>
      </c>
    </row>
    <row r="973">
      <c r="I973" s="8" t="inlineStr">
        <is>
          <t>ACE-10967</t>
        </is>
      </c>
      <c r="J973" s="8" t="inlineStr">
        <is>
          <t>2026-05-09 10:44:21</t>
        </is>
      </c>
      <c r="K973" s="8" t="inlineStr">
        <is>
          <t>CUST-75646</t>
        </is>
      </c>
      <c r="L973" s="9" t="inlineStr">
        <is>
          <t>GBP-PKR</t>
        </is>
      </c>
      <c r="M973" s="8" t="inlineStr">
        <is>
          <t>GBP</t>
        </is>
      </c>
      <c r="N973" s="10" t="n">
        <v>260.3821534801514</v>
      </c>
      <c r="O973" s="11" t="n">
        <v>1</v>
      </c>
      <c r="P973" s="10" t="n">
        <v>260.3821534801514</v>
      </c>
      <c r="Q973" s="10" t="n">
        <v>1.5</v>
      </c>
      <c r="R973" s="12" t="n">
        <v>0.021</v>
      </c>
      <c r="S973" s="13" t="inlineStr">
        <is>
          <t>Success</t>
        </is>
      </c>
      <c r="T973" s="10" t="n">
        <v>0.3905732302202272</v>
      </c>
      <c r="U973" s="10" t="n">
        <v>0</v>
      </c>
      <c r="V973" s="10" t="n">
        <v>3.124585841761817</v>
      </c>
    </row>
    <row r="974">
      <c r="I974" s="8" t="inlineStr">
        <is>
          <t>ACE-10968</t>
        </is>
      </c>
      <c r="J974" s="8" t="inlineStr">
        <is>
          <t>2026-05-16 15:27:25</t>
        </is>
      </c>
      <c r="K974" s="8" t="inlineStr">
        <is>
          <t>CUST-97694</t>
        </is>
      </c>
      <c r="L974" s="9" t="inlineStr">
        <is>
          <t>GBP-PKR</t>
        </is>
      </c>
      <c r="M974" s="8" t="inlineStr">
        <is>
          <t>GBP</t>
        </is>
      </c>
      <c r="N974" s="10" t="n">
        <v>333.5803101665988</v>
      </c>
      <c r="O974" s="11" t="n">
        <v>1</v>
      </c>
      <c r="P974" s="10" t="n">
        <v>333.5803101665988</v>
      </c>
      <c r="Q974" s="10" t="n">
        <v>1.5</v>
      </c>
      <c r="R974" s="12" t="n">
        <v>0.021</v>
      </c>
      <c r="S974" s="13" t="inlineStr">
        <is>
          <t>Success</t>
        </is>
      </c>
      <c r="T974" s="10" t="n">
        <v>0.5003704652498983</v>
      </c>
      <c r="U974" s="10" t="n">
        <v>1.000740930499797</v>
      </c>
      <c r="V974" s="10" t="n">
        <v>4.002963721999186</v>
      </c>
    </row>
    <row r="975">
      <c r="I975" s="8" t="inlineStr">
        <is>
          <t>ACE-10969</t>
        </is>
      </c>
      <c r="J975" s="8" t="inlineStr">
        <is>
          <t>2026-05-18 11:00:24</t>
        </is>
      </c>
      <c r="K975" s="8" t="inlineStr">
        <is>
          <t>CUST-95171</t>
        </is>
      </c>
      <c r="L975" s="9" t="inlineStr">
        <is>
          <t>GBP-PKR</t>
        </is>
      </c>
      <c r="M975" s="8" t="inlineStr">
        <is>
          <t>GBP</t>
        </is>
      </c>
      <c r="N975" s="10" t="n">
        <v>277.4869230979628</v>
      </c>
      <c r="O975" s="11" t="n">
        <v>1</v>
      </c>
      <c r="P975" s="10" t="n">
        <v>277.4869230979628</v>
      </c>
      <c r="Q975" s="10" t="n">
        <v>1.5</v>
      </c>
      <c r="R975" s="12" t="n">
        <v>0.021</v>
      </c>
      <c r="S975" s="13" t="inlineStr">
        <is>
          <t>Success</t>
        </is>
      </c>
      <c r="T975" s="10" t="n">
        <v>0.4162303846469442</v>
      </c>
      <c r="U975" s="10" t="n">
        <v>0</v>
      </c>
      <c r="V975" s="10" t="n">
        <v>3.329843077175554</v>
      </c>
    </row>
    <row r="976">
      <c r="I976" s="8" t="inlineStr">
        <is>
          <t>ACE-10970</t>
        </is>
      </c>
      <c r="J976" s="8" t="inlineStr">
        <is>
          <t>2026-05-19 16:59:22</t>
        </is>
      </c>
      <c r="K976" s="8" t="inlineStr">
        <is>
          <t>CUST-71852</t>
        </is>
      </c>
      <c r="L976" s="9" t="inlineStr">
        <is>
          <t>EUR-PKR</t>
        </is>
      </c>
      <c r="M976" s="8" t="inlineStr">
        <is>
          <t>EUR</t>
        </is>
      </c>
      <c r="N976" s="10" t="n">
        <v>163.84921135971</v>
      </c>
      <c r="O976" s="11" t="n">
        <v>0.85</v>
      </c>
      <c r="P976" s="10" t="n">
        <v>139.2718296557535</v>
      </c>
      <c r="Q976" s="10" t="n">
        <v>1.275</v>
      </c>
      <c r="R976" s="12" t="n">
        <v>0.023</v>
      </c>
      <c r="S976" s="13" t="inlineStr">
        <is>
          <t>Success</t>
        </is>
      </c>
      <c r="T976" s="10" t="n">
        <v>0.2089077444836303</v>
      </c>
      <c r="U976" s="10" t="n">
        <v>0</v>
      </c>
      <c r="V976" s="10" t="n">
        <v>2.089077444836303</v>
      </c>
    </row>
    <row r="977">
      <c r="I977" s="8" t="inlineStr">
        <is>
          <t>ACE-10971</t>
        </is>
      </c>
      <c r="J977" s="8" t="inlineStr">
        <is>
          <t>2026-05-21 18:05:23</t>
        </is>
      </c>
      <c r="K977" s="8" t="inlineStr">
        <is>
          <t>CUST-85037</t>
        </is>
      </c>
      <c r="L977" s="9" t="inlineStr">
        <is>
          <t>USD-PKR</t>
        </is>
      </c>
      <c r="M977" s="8" t="inlineStr">
        <is>
          <t>USD</t>
        </is>
      </c>
      <c r="N977" s="10" t="n">
        <v>221.7250249620071</v>
      </c>
      <c r="O977" s="11" t="n">
        <v>0.8</v>
      </c>
      <c r="P977" s="10" t="n">
        <v>177.3800199696057</v>
      </c>
      <c r="Q977" s="10" t="n">
        <v>1.6</v>
      </c>
      <c r="R977" s="12" t="n">
        <v>0.019</v>
      </c>
      <c r="S977" s="13" t="inlineStr">
        <is>
          <t>Success</t>
        </is>
      </c>
      <c r="T977" s="10" t="n">
        <v>0.2660700299544085</v>
      </c>
      <c r="U977" s="10" t="n">
        <v>0</v>
      </c>
      <c r="V977" s="10" t="n">
        <v>2.128560239635268</v>
      </c>
    </row>
    <row r="978">
      <c r="I978" s="8" t="inlineStr">
        <is>
          <t>ACE-10972</t>
        </is>
      </c>
      <c r="J978" s="8" t="inlineStr">
        <is>
          <t>2026-05-15 20:49:18</t>
        </is>
      </c>
      <c r="K978" s="8" t="inlineStr">
        <is>
          <t>CUST-92453</t>
        </is>
      </c>
      <c r="L978" s="9" t="inlineStr">
        <is>
          <t>GBP-PKR</t>
        </is>
      </c>
      <c r="M978" s="8" t="inlineStr">
        <is>
          <t>GBP</t>
        </is>
      </c>
      <c r="N978" s="10" t="n">
        <v>260.2608604400205</v>
      </c>
      <c r="O978" s="11" t="n">
        <v>1</v>
      </c>
      <c r="P978" s="10" t="n">
        <v>260.2608604400205</v>
      </c>
      <c r="Q978" s="10" t="n">
        <v>1.5</v>
      </c>
      <c r="R978" s="12" t="n">
        <v>0.021</v>
      </c>
      <c r="S978" s="13" t="inlineStr">
        <is>
          <t>Success</t>
        </is>
      </c>
      <c r="T978" s="10" t="n">
        <v>0.3903912906600307</v>
      </c>
      <c r="U978" s="10" t="n">
        <v>0</v>
      </c>
      <c r="V978" s="10" t="n">
        <v>3.123130325280246</v>
      </c>
    </row>
    <row r="979">
      <c r="I979" s="8" t="inlineStr">
        <is>
          <t>ACE-10973</t>
        </is>
      </c>
      <c r="J979" s="8" t="inlineStr">
        <is>
          <t>2026-05-13 18:12:19</t>
        </is>
      </c>
      <c r="K979" s="8" t="inlineStr">
        <is>
          <t>CUST-95605</t>
        </is>
      </c>
      <c r="L979" s="9" t="inlineStr">
        <is>
          <t>USD-PKR</t>
        </is>
      </c>
      <c r="M979" s="8" t="inlineStr">
        <is>
          <t>USD</t>
        </is>
      </c>
      <c r="N979" s="10" t="n">
        <v>238.1002732814361</v>
      </c>
      <c r="O979" s="11" t="n">
        <v>0.8</v>
      </c>
      <c r="P979" s="10" t="n">
        <v>190.4802186251489</v>
      </c>
      <c r="Q979" s="10" t="n">
        <v>1.6</v>
      </c>
      <c r="R979" s="12" t="n">
        <v>0.019</v>
      </c>
      <c r="S979" s="13" t="inlineStr">
        <is>
          <t>Success</t>
        </is>
      </c>
      <c r="T979" s="10" t="n">
        <v>0.2857203279377233</v>
      </c>
      <c r="U979" s="10" t="n">
        <v>0</v>
      </c>
      <c r="V979" s="10" t="n">
        <v>2.285762623501786</v>
      </c>
    </row>
    <row r="980">
      <c r="I980" s="8" t="inlineStr">
        <is>
          <t>ACE-10974</t>
        </is>
      </c>
      <c r="J980" s="8" t="inlineStr">
        <is>
          <t>2026-05-23 13:31:05</t>
        </is>
      </c>
      <c r="K980" s="8" t="inlineStr">
        <is>
          <t>CUST-91470</t>
        </is>
      </c>
      <c r="L980" s="9" t="inlineStr">
        <is>
          <t>GBP-PKR</t>
        </is>
      </c>
      <c r="M980" s="8" t="inlineStr">
        <is>
          <t>GBP</t>
        </is>
      </c>
      <c r="N980" s="10" t="n">
        <v>261.0017742621894</v>
      </c>
      <c r="O980" s="11" t="n">
        <v>1</v>
      </c>
      <c r="P980" s="10" t="n">
        <v>261.0017742621894</v>
      </c>
      <c r="Q980" s="10" t="n">
        <v>1.5</v>
      </c>
      <c r="R980" s="12" t="n">
        <v>0.021</v>
      </c>
      <c r="S980" s="13" t="inlineStr">
        <is>
          <t>Success</t>
        </is>
      </c>
      <c r="T980" s="10" t="n">
        <v>0.3915026613932842</v>
      </c>
      <c r="U980" s="10" t="n">
        <v>0</v>
      </c>
      <c r="V980" s="10" t="n">
        <v>3.132021291146273</v>
      </c>
    </row>
    <row r="981">
      <c r="I981" s="8" t="inlineStr">
        <is>
          <t>ACE-10975</t>
        </is>
      </c>
      <c r="J981" s="8" t="inlineStr">
        <is>
          <t>2026-05-02 11:01:46</t>
        </is>
      </c>
      <c r="K981" s="8" t="inlineStr">
        <is>
          <t>CUST-88859</t>
        </is>
      </c>
      <c r="L981" s="9" t="inlineStr">
        <is>
          <t>GBP-PKR</t>
        </is>
      </c>
      <c r="M981" s="8" t="inlineStr">
        <is>
          <t>GBP</t>
        </is>
      </c>
      <c r="N981" s="10" t="n">
        <v>266.4459103183082</v>
      </c>
      <c r="O981" s="11" t="n">
        <v>1</v>
      </c>
      <c r="P981" s="10" t="n">
        <v>266.4459103183082</v>
      </c>
      <c r="Q981" s="10" t="n">
        <v>1.5</v>
      </c>
      <c r="R981" s="12" t="n">
        <v>0.021</v>
      </c>
      <c r="S981" s="13" t="inlineStr">
        <is>
          <t>Success</t>
        </is>
      </c>
      <c r="T981" s="10" t="n">
        <v>0.3996688654774623</v>
      </c>
      <c r="U981" s="10" t="n">
        <v>0</v>
      </c>
      <c r="V981" s="10" t="n">
        <v>3.197350923819698</v>
      </c>
    </row>
    <row r="982">
      <c r="I982" s="8" t="inlineStr">
        <is>
          <t>ACE-10976</t>
        </is>
      </c>
      <c r="J982" s="8" t="inlineStr">
        <is>
          <t>2026-05-18 18:19:31</t>
        </is>
      </c>
      <c r="K982" s="8" t="inlineStr">
        <is>
          <t>CUST-84992</t>
        </is>
      </c>
      <c r="L982" s="9" t="inlineStr">
        <is>
          <t>GBP-PKR</t>
        </is>
      </c>
      <c r="M982" s="8" t="inlineStr">
        <is>
          <t>GBP</t>
        </is>
      </c>
      <c r="N982" s="10" t="n">
        <v>230.6348052948639</v>
      </c>
      <c r="O982" s="11" t="n">
        <v>1</v>
      </c>
      <c r="P982" s="10" t="n">
        <v>230.6348052948639</v>
      </c>
      <c r="Q982" s="10" t="n">
        <v>1.5</v>
      </c>
      <c r="R982" s="12" t="n">
        <v>0.021</v>
      </c>
      <c r="S982" s="13" t="inlineStr">
        <is>
          <t>Success</t>
        </is>
      </c>
      <c r="T982" s="10" t="n">
        <v>0.3459522079422959</v>
      </c>
      <c r="U982" s="10" t="n">
        <v>0.6919044158845917</v>
      </c>
      <c r="V982" s="10" t="n">
        <v>2.767617663538367</v>
      </c>
    </row>
    <row r="983">
      <c r="I983" s="8" t="inlineStr">
        <is>
          <t>ACE-10977</t>
        </is>
      </c>
      <c r="J983" s="8" t="inlineStr">
        <is>
          <t>2026-05-01 08:21:03</t>
        </is>
      </c>
      <c r="K983" s="8" t="inlineStr">
        <is>
          <t>CUST-72132</t>
        </is>
      </c>
      <c r="L983" s="9" t="inlineStr">
        <is>
          <t>GBP-PKR</t>
        </is>
      </c>
      <c r="M983" s="8" t="inlineStr">
        <is>
          <t>GBP</t>
        </is>
      </c>
      <c r="N983" s="10" t="n">
        <v>266.2828184587283</v>
      </c>
      <c r="O983" s="11" t="n">
        <v>1</v>
      </c>
      <c r="P983" s="10" t="n">
        <v>266.2828184587283</v>
      </c>
      <c r="Q983" s="10" t="n">
        <v>1.5</v>
      </c>
      <c r="R983" s="12" t="n">
        <v>0.021</v>
      </c>
      <c r="S983" s="13" t="inlineStr">
        <is>
          <t>Success</t>
        </is>
      </c>
      <c r="T983" s="10" t="n">
        <v>0.3994242276880925</v>
      </c>
      <c r="U983" s="10" t="n">
        <v>0</v>
      </c>
      <c r="V983" s="10" t="n">
        <v>3.19539382150474</v>
      </c>
    </row>
    <row r="984">
      <c r="I984" s="8" t="inlineStr">
        <is>
          <t>ACE-10978</t>
        </is>
      </c>
      <c r="J984" s="8" t="inlineStr">
        <is>
          <t>2026-05-04 11:51:41</t>
        </is>
      </c>
      <c r="K984" s="8" t="inlineStr">
        <is>
          <t>CUST-93733</t>
        </is>
      </c>
      <c r="L984" s="9" t="inlineStr">
        <is>
          <t>GBP-PKR</t>
        </is>
      </c>
      <c r="M984" s="8" t="inlineStr">
        <is>
          <t>GBP</t>
        </is>
      </c>
      <c r="N984" s="10" t="n">
        <v>218.6345622473752</v>
      </c>
      <c r="O984" s="11" t="n">
        <v>1</v>
      </c>
      <c r="P984" s="10" t="n">
        <v>218.6345622473752</v>
      </c>
      <c r="Q984" s="10" t="n">
        <v>1.5</v>
      </c>
      <c r="R984" s="12" t="n">
        <v>0.021</v>
      </c>
      <c r="S984" s="13" t="inlineStr">
        <is>
          <t>Success</t>
        </is>
      </c>
      <c r="T984" s="10" t="n">
        <v>0.3279518433710628</v>
      </c>
      <c r="U984" s="10" t="n">
        <v>0.6559036867421256</v>
      </c>
      <c r="V984" s="10" t="n">
        <v>2.623614746968502</v>
      </c>
    </row>
    <row r="985">
      <c r="I985" s="8" t="inlineStr">
        <is>
          <t>ACE-10979</t>
        </is>
      </c>
      <c r="J985" s="8" t="inlineStr">
        <is>
          <t>2026-05-18 10:47:37</t>
        </is>
      </c>
      <c r="K985" s="8" t="inlineStr">
        <is>
          <t>CUST-65268</t>
        </is>
      </c>
      <c r="L985" s="9" t="inlineStr">
        <is>
          <t>GBP-PKR</t>
        </is>
      </c>
      <c r="M985" s="8" t="inlineStr">
        <is>
          <t>GBP</t>
        </is>
      </c>
      <c r="N985" s="10" t="n">
        <v>237.7927083467122</v>
      </c>
      <c r="O985" s="11" t="n">
        <v>1</v>
      </c>
      <c r="P985" s="10" t="n">
        <v>237.7927083467122</v>
      </c>
      <c r="Q985" s="10" t="n">
        <v>1.5</v>
      </c>
      <c r="R985" s="12" t="n">
        <v>0.021</v>
      </c>
      <c r="S985" s="13" t="inlineStr">
        <is>
          <t>Success</t>
        </is>
      </c>
      <c r="T985" s="10" t="n">
        <v>0.3566890625200683</v>
      </c>
      <c r="U985" s="10" t="n">
        <v>0</v>
      </c>
      <c r="V985" s="10" t="n">
        <v>2.853512500160546</v>
      </c>
    </row>
    <row r="986">
      <c r="I986" s="8" t="inlineStr">
        <is>
          <t>ACE-10980</t>
        </is>
      </c>
      <c r="J986" s="8" t="inlineStr">
        <is>
          <t>2026-05-05 15:41:01</t>
        </is>
      </c>
      <c r="K986" s="8" t="inlineStr">
        <is>
          <t>CUST-80881</t>
        </is>
      </c>
      <c r="L986" s="9" t="inlineStr">
        <is>
          <t>GBP-PKR</t>
        </is>
      </c>
      <c r="M986" s="8" t="inlineStr">
        <is>
          <t>GBP</t>
        </is>
      </c>
      <c r="N986" s="10" t="n">
        <v>300.6152081790191</v>
      </c>
      <c r="O986" s="11" t="n">
        <v>1</v>
      </c>
      <c r="P986" s="10" t="n">
        <v>300.6152081790191</v>
      </c>
      <c r="Q986" s="10" t="n">
        <v>1.5</v>
      </c>
      <c r="R986" s="12" t="n">
        <v>0.021</v>
      </c>
      <c r="S986" s="13" t="inlineStr">
        <is>
          <t>Success</t>
        </is>
      </c>
      <c r="T986" s="10" t="n">
        <v>0.4509228122685287</v>
      </c>
      <c r="U986" s="10" t="n">
        <v>0.9018456245370574</v>
      </c>
      <c r="V986" s="10" t="n">
        <v>3.60738249814823</v>
      </c>
    </row>
    <row r="987">
      <c r="I987" s="8" t="inlineStr">
        <is>
          <t>ACE-10981</t>
        </is>
      </c>
      <c r="J987" s="8" t="inlineStr">
        <is>
          <t>2026-05-08 19:41:08</t>
        </is>
      </c>
      <c r="K987" s="8" t="inlineStr">
        <is>
          <t>CUST-50941</t>
        </is>
      </c>
      <c r="L987" s="9" t="inlineStr">
        <is>
          <t>GBP-PKR</t>
        </is>
      </c>
      <c r="M987" s="8" t="inlineStr">
        <is>
          <t>GBP</t>
        </is>
      </c>
      <c r="N987" s="10" t="n">
        <v>301.3793044291211</v>
      </c>
      <c r="O987" s="11" t="n">
        <v>1</v>
      </c>
      <c r="P987" s="10" t="n">
        <v>301.3793044291211</v>
      </c>
      <c r="Q987" s="10" t="n">
        <v>1.5</v>
      </c>
      <c r="R987" s="12" t="n">
        <v>0.021</v>
      </c>
      <c r="S987" s="13" t="inlineStr">
        <is>
          <t>Success</t>
        </is>
      </c>
      <c r="T987" s="10" t="n">
        <v>0.4520689566436816</v>
      </c>
      <c r="U987" s="10" t="n">
        <v>0</v>
      </c>
      <c r="V987" s="10" t="n">
        <v>3.616551653149453</v>
      </c>
    </row>
    <row r="988">
      <c r="I988" s="8" t="inlineStr">
        <is>
          <t>ACE-10982</t>
        </is>
      </c>
      <c r="J988" s="8" t="inlineStr">
        <is>
          <t>2026-05-10 20:06:29</t>
        </is>
      </c>
      <c r="K988" s="8" t="inlineStr">
        <is>
          <t>CUST-90057</t>
        </is>
      </c>
      <c r="L988" s="9" t="inlineStr">
        <is>
          <t>GBP-PKR</t>
        </is>
      </c>
      <c r="M988" s="8" t="inlineStr">
        <is>
          <t>GBP</t>
        </is>
      </c>
      <c r="N988" s="10" t="n">
        <v>290.7126607789913</v>
      </c>
      <c r="O988" s="11" t="n">
        <v>1</v>
      </c>
      <c r="P988" s="10" t="n">
        <v>290.7126607789913</v>
      </c>
      <c r="Q988" s="10" t="n">
        <v>1.5</v>
      </c>
      <c r="R988" s="12" t="n">
        <v>0.021</v>
      </c>
      <c r="S988" s="13" t="inlineStr">
        <is>
          <t>Success</t>
        </is>
      </c>
      <c r="T988" s="10" t="n">
        <v>0.4360689911684869</v>
      </c>
      <c r="U988" s="10" t="n">
        <v>0</v>
      </c>
      <c r="V988" s="10" t="n">
        <v>3.488551929347895</v>
      </c>
    </row>
    <row r="989">
      <c r="I989" s="8" t="inlineStr">
        <is>
          <t>ACE-10983</t>
        </is>
      </c>
      <c r="J989" s="8" t="inlineStr">
        <is>
          <t>2026-05-04 09:31:38</t>
        </is>
      </c>
      <c r="K989" s="8" t="inlineStr">
        <is>
          <t>CUST-90345</t>
        </is>
      </c>
      <c r="L989" s="9" t="inlineStr">
        <is>
          <t>GBP-PKR</t>
        </is>
      </c>
      <c r="M989" s="8" t="inlineStr">
        <is>
          <t>GBP</t>
        </is>
      </c>
      <c r="N989" s="10" t="n">
        <v>252.9247437275091</v>
      </c>
      <c r="O989" s="11" t="n">
        <v>1</v>
      </c>
      <c r="P989" s="10" t="n">
        <v>252.9247437275091</v>
      </c>
      <c r="Q989" s="10" t="n">
        <v>1.5</v>
      </c>
      <c r="R989" s="12" t="n">
        <v>0.021</v>
      </c>
      <c r="S989" s="13" t="inlineStr">
        <is>
          <t>Success</t>
        </is>
      </c>
      <c r="T989" s="10" t="n">
        <v>0.3793871155912637</v>
      </c>
      <c r="U989" s="10" t="n">
        <v>0.7587742311825274</v>
      </c>
      <c r="V989" s="10" t="n">
        <v>3.03509692473011</v>
      </c>
    </row>
    <row r="990">
      <c r="I990" s="8" t="inlineStr">
        <is>
          <t>ACE-10984</t>
        </is>
      </c>
      <c r="J990" s="8" t="inlineStr">
        <is>
          <t>2026-05-14 13:51:53</t>
        </is>
      </c>
      <c r="K990" s="8" t="inlineStr">
        <is>
          <t>CUST-98360</t>
        </is>
      </c>
      <c r="L990" s="9" t="inlineStr">
        <is>
          <t>GBP-PKR</t>
        </is>
      </c>
      <c r="M990" s="8" t="inlineStr">
        <is>
          <t>GBP</t>
        </is>
      </c>
      <c r="N990" s="10" t="n">
        <v>277.2774051115949</v>
      </c>
      <c r="O990" s="11" t="n">
        <v>1</v>
      </c>
      <c r="P990" s="10" t="n">
        <v>277.2774051115949</v>
      </c>
      <c r="Q990" s="10" t="n">
        <v>1.5</v>
      </c>
      <c r="R990" s="12" t="n">
        <v>0.021</v>
      </c>
      <c r="S990" s="13" t="inlineStr">
        <is>
          <t>Success</t>
        </is>
      </c>
      <c r="T990" s="10" t="n">
        <v>0.4159161076673923</v>
      </c>
      <c r="U990" s="10" t="n">
        <v>0</v>
      </c>
      <c r="V990" s="10" t="n">
        <v>3.327328861339139</v>
      </c>
    </row>
    <row r="991">
      <c r="I991" s="8" t="inlineStr">
        <is>
          <t>ACE-10985</t>
        </is>
      </c>
      <c r="J991" s="8" t="inlineStr">
        <is>
          <t>2026-05-22 17:34:08</t>
        </is>
      </c>
      <c r="K991" s="8" t="inlineStr">
        <is>
          <t>CUST-71075</t>
        </is>
      </c>
      <c r="L991" s="9" t="inlineStr">
        <is>
          <t>GBP-PKR</t>
        </is>
      </c>
      <c r="M991" s="8" t="inlineStr">
        <is>
          <t>GBP</t>
        </is>
      </c>
      <c r="N991" s="10" t="n">
        <v>278.5031442529088</v>
      </c>
      <c r="O991" s="11" t="n">
        <v>1</v>
      </c>
      <c r="P991" s="10" t="n">
        <v>278.5031442529088</v>
      </c>
      <c r="Q991" s="10" t="n">
        <v>1.5</v>
      </c>
      <c r="R991" s="12" t="n">
        <v>0.021</v>
      </c>
      <c r="S991" s="13" t="inlineStr">
        <is>
          <t>Success</t>
        </is>
      </c>
      <c r="T991" s="10" t="n">
        <v>0.4177547163793633</v>
      </c>
      <c r="U991" s="10" t="n">
        <v>0.8355094327587266</v>
      </c>
      <c r="V991" s="10" t="n">
        <v>3.342037731034906</v>
      </c>
    </row>
    <row r="992">
      <c r="I992" s="8" t="inlineStr">
        <is>
          <t>ACE-10986</t>
        </is>
      </c>
      <c r="J992" s="8" t="inlineStr">
        <is>
          <t>2026-05-02 17:11:21</t>
        </is>
      </c>
      <c r="K992" s="8" t="inlineStr">
        <is>
          <t>CUST-54143</t>
        </is>
      </c>
      <c r="L992" s="9" t="inlineStr">
        <is>
          <t>GBP-PKR</t>
        </is>
      </c>
      <c r="M992" s="8" t="inlineStr">
        <is>
          <t>GBP</t>
        </is>
      </c>
      <c r="N992" s="10" t="n">
        <v>248.1300823489192</v>
      </c>
      <c r="O992" s="11" t="n">
        <v>1</v>
      </c>
      <c r="P992" s="10" t="n">
        <v>248.1300823489192</v>
      </c>
      <c r="Q992" s="10" t="n">
        <v>1.5</v>
      </c>
      <c r="R992" s="12" t="n">
        <v>0.021</v>
      </c>
      <c r="S992" s="13" t="inlineStr">
        <is>
          <t>Success</t>
        </is>
      </c>
      <c r="T992" s="10" t="n">
        <v>0.3721951235233789</v>
      </c>
      <c r="U992" s="10" t="n">
        <v>0</v>
      </c>
      <c r="V992" s="10" t="n">
        <v>2.977560988187031</v>
      </c>
    </row>
    <row r="993">
      <c r="I993" s="8" t="inlineStr">
        <is>
          <t>ACE-10987</t>
        </is>
      </c>
      <c r="J993" s="8" t="inlineStr">
        <is>
          <t>2026-05-14 10:44:23</t>
        </is>
      </c>
      <c r="K993" s="8" t="inlineStr">
        <is>
          <t>CUST-86268</t>
        </is>
      </c>
      <c r="L993" s="9" t="inlineStr">
        <is>
          <t>GBP-PKR</t>
        </is>
      </c>
      <c r="M993" s="8" t="inlineStr">
        <is>
          <t>GBP</t>
        </is>
      </c>
      <c r="N993" s="10" t="n">
        <v>323.8010983646295</v>
      </c>
      <c r="O993" s="11" t="n">
        <v>1</v>
      </c>
      <c r="P993" s="10" t="n">
        <v>323.8010983646295</v>
      </c>
      <c r="Q993" s="10" t="n">
        <v>1.5</v>
      </c>
      <c r="R993" s="12" t="n">
        <v>0.021</v>
      </c>
      <c r="S993" s="13" t="inlineStr">
        <is>
          <t>Success</t>
        </is>
      </c>
      <c r="T993" s="10" t="n">
        <v>0.4857016475469442</v>
      </c>
      <c r="U993" s="10" t="n">
        <v>0</v>
      </c>
      <c r="V993" s="10" t="n">
        <v>3.885613180375554</v>
      </c>
    </row>
    <row r="994">
      <c r="I994" s="8" t="inlineStr">
        <is>
          <t>ACE-10988</t>
        </is>
      </c>
      <c r="J994" s="8" t="inlineStr">
        <is>
          <t>2026-05-19 08:08:06</t>
        </is>
      </c>
      <c r="K994" s="8" t="inlineStr">
        <is>
          <t>CUST-91431</t>
        </is>
      </c>
      <c r="L994" s="9" t="inlineStr">
        <is>
          <t>EUR-PKR</t>
        </is>
      </c>
      <c r="M994" s="8" t="inlineStr">
        <is>
          <t>EUR</t>
        </is>
      </c>
      <c r="N994" s="10" t="n">
        <v>206.3884971553808</v>
      </c>
      <c r="O994" s="11" t="n">
        <v>0.85</v>
      </c>
      <c r="P994" s="10" t="n">
        <v>175.4302225820737</v>
      </c>
      <c r="Q994" s="10" t="n">
        <v>1.275</v>
      </c>
      <c r="R994" s="12" t="n">
        <v>0.023</v>
      </c>
      <c r="S994" s="13" t="inlineStr">
        <is>
          <t>Success</t>
        </is>
      </c>
      <c r="T994" s="10" t="n">
        <v>0.2631453338731105</v>
      </c>
      <c r="U994" s="10" t="n">
        <v>0.526290667746221</v>
      </c>
      <c r="V994" s="10" t="n">
        <v>2.631453338731105</v>
      </c>
    </row>
    <row r="995">
      <c r="I995" s="8" t="inlineStr">
        <is>
          <t>ACE-10989</t>
        </is>
      </c>
      <c r="J995" s="8" t="inlineStr">
        <is>
          <t>2026-05-01 15:05:00</t>
        </is>
      </c>
      <c r="K995" s="8" t="inlineStr">
        <is>
          <t>CUST-50473</t>
        </is>
      </c>
      <c r="L995" s="9" t="inlineStr">
        <is>
          <t>USD-PKR</t>
        </is>
      </c>
      <c r="M995" s="8" t="inlineStr">
        <is>
          <t>USD</t>
        </is>
      </c>
      <c r="N995" s="10" t="n">
        <v>214.1188273630863</v>
      </c>
      <c r="O995" s="11" t="n">
        <v>0.8</v>
      </c>
      <c r="P995" s="10" t="n">
        <v>171.295061890469</v>
      </c>
      <c r="Q995" s="10" t="n">
        <v>1.6</v>
      </c>
      <c r="R995" s="12" t="n">
        <v>0.019</v>
      </c>
      <c r="S995" s="13" t="inlineStr">
        <is>
          <t>Success</t>
        </is>
      </c>
      <c r="T995" s="10" t="n">
        <v>0.2569425928357035</v>
      </c>
      <c r="U995" s="10" t="n">
        <v>0</v>
      </c>
      <c r="V995" s="10" t="n">
        <v>2.055540742685628</v>
      </c>
    </row>
    <row r="996">
      <c r="I996" s="8" t="inlineStr">
        <is>
          <t>ACE-10990</t>
        </is>
      </c>
      <c r="J996" s="8" t="inlineStr">
        <is>
          <t>2026-05-21 17:56:18</t>
        </is>
      </c>
      <c r="K996" s="8" t="inlineStr">
        <is>
          <t>CUST-77277</t>
        </is>
      </c>
      <c r="L996" s="9" t="inlineStr">
        <is>
          <t>GBP-PKR</t>
        </is>
      </c>
      <c r="M996" s="8" t="inlineStr">
        <is>
          <t>GBP</t>
        </is>
      </c>
      <c r="N996" s="10" t="n">
        <v>279.3535508861041</v>
      </c>
      <c r="O996" s="11" t="n">
        <v>1</v>
      </c>
      <c r="P996" s="10" t="n">
        <v>279.3535508861041</v>
      </c>
      <c r="Q996" s="10" t="n">
        <v>1.5</v>
      </c>
      <c r="R996" s="12" t="n">
        <v>0.021</v>
      </c>
      <c r="S996" s="13" t="inlineStr">
        <is>
          <t>Success</t>
        </is>
      </c>
      <c r="T996" s="10" t="n">
        <v>0.4190303263291562</v>
      </c>
      <c r="U996" s="10" t="n">
        <v>0.8380606526583124</v>
      </c>
      <c r="V996" s="10" t="n">
        <v>3.35224261063325</v>
      </c>
    </row>
    <row r="997">
      <c r="I997" s="8" t="inlineStr">
        <is>
          <t>ACE-10991</t>
        </is>
      </c>
      <c r="J997" s="8" t="inlineStr">
        <is>
          <t>2026-05-16 19:08:13</t>
        </is>
      </c>
      <c r="K997" s="8" t="inlineStr">
        <is>
          <t>CUST-59377</t>
        </is>
      </c>
      <c r="L997" s="9" t="inlineStr">
        <is>
          <t>GBP-PKR</t>
        </is>
      </c>
      <c r="M997" s="8" t="inlineStr">
        <is>
          <t>GBP</t>
        </is>
      </c>
      <c r="N997" s="10" t="n">
        <v>284.4700239274337</v>
      </c>
      <c r="O997" s="11" t="n">
        <v>1</v>
      </c>
      <c r="P997" s="10" t="n">
        <v>284.4700239274337</v>
      </c>
      <c r="Q997" s="10" t="n">
        <v>1.5</v>
      </c>
      <c r="R997" s="12" t="n">
        <v>0.021</v>
      </c>
      <c r="S997" s="13" t="inlineStr">
        <is>
          <t>Success</t>
        </is>
      </c>
      <c r="T997" s="10" t="n">
        <v>0.4267050358911505</v>
      </c>
      <c r="U997" s="10" t="n">
        <v>0</v>
      </c>
      <c r="V997" s="10" t="n">
        <v>3.413640287129204</v>
      </c>
    </row>
    <row r="998">
      <c r="I998" s="8" t="inlineStr">
        <is>
          <t>ACE-10992</t>
        </is>
      </c>
      <c r="J998" s="8" t="inlineStr">
        <is>
          <t>2026-05-14 11:11:39</t>
        </is>
      </c>
      <c r="K998" s="8" t="inlineStr">
        <is>
          <t>CUST-95329</t>
        </is>
      </c>
      <c r="L998" s="9" t="inlineStr">
        <is>
          <t>USD-PKR</t>
        </is>
      </c>
      <c r="M998" s="8" t="inlineStr">
        <is>
          <t>USD</t>
        </is>
      </c>
      <c r="N998" s="10" t="n">
        <v>178.4759859202915</v>
      </c>
      <c r="O998" s="11" t="n">
        <v>0.8</v>
      </c>
      <c r="P998" s="10" t="n">
        <v>142.7807887362332</v>
      </c>
      <c r="Q998" s="10" t="n">
        <v>1.6</v>
      </c>
      <c r="R998" s="12" t="n">
        <v>0.019</v>
      </c>
      <c r="S998" s="13" t="inlineStr">
        <is>
          <t>Success</t>
        </is>
      </c>
      <c r="T998" s="10" t="n">
        <v>0.2141711831043498</v>
      </c>
      <c r="U998" s="10" t="n">
        <v>0</v>
      </c>
      <c r="V998" s="10" t="n">
        <v>1.713369464834799</v>
      </c>
    </row>
    <row r="999">
      <c r="I999" s="8" t="inlineStr">
        <is>
          <t>ACE-10993</t>
        </is>
      </c>
      <c r="J999" s="8" t="inlineStr">
        <is>
          <t>2026-05-16 17:05:40</t>
        </is>
      </c>
      <c r="K999" s="8" t="inlineStr">
        <is>
          <t>CUST-69739</t>
        </is>
      </c>
      <c r="L999" s="9" t="inlineStr">
        <is>
          <t>GBP-PKR</t>
        </is>
      </c>
      <c r="M999" s="8" t="inlineStr">
        <is>
          <t>GBP</t>
        </is>
      </c>
      <c r="N999" s="10" t="n">
        <v>271.8014577217089</v>
      </c>
      <c r="O999" s="11" t="n">
        <v>1</v>
      </c>
      <c r="P999" s="10" t="n">
        <v>271.8014577217089</v>
      </c>
      <c r="Q999" s="10" t="n">
        <v>1.5</v>
      </c>
      <c r="R999" s="12" t="n">
        <v>0.021</v>
      </c>
      <c r="S999" s="13" t="inlineStr">
        <is>
          <t>Success</t>
        </is>
      </c>
      <c r="T999" s="10" t="n">
        <v>0.4077021865825634</v>
      </c>
      <c r="U999" s="10" t="n">
        <v>0</v>
      </c>
      <c r="V999" s="10" t="n">
        <v>3.261617492660507</v>
      </c>
    </row>
    <row r="1000">
      <c r="I1000" s="8" t="inlineStr">
        <is>
          <t>ACE-10994</t>
        </is>
      </c>
      <c r="J1000" s="8" t="inlineStr">
        <is>
          <t>2026-05-08 11:07:33</t>
        </is>
      </c>
      <c r="K1000" s="8" t="inlineStr">
        <is>
          <t>CUST-56270</t>
        </is>
      </c>
      <c r="L1000" s="9" t="inlineStr">
        <is>
          <t>GBP-PKR</t>
        </is>
      </c>
      <c r="M1000" s="8" t="inlineStr">
        <is>
          <t>GBP</t>
        </is>
      </c>
      <c r="N1000" s="10" t="n">
        <v>260.2365898905688</v>
      </c>
      <c r="O1000" s="11" t="n">
        <v>1</v>
      </c>
      <c r="P1000" s="10" t="n">
        <v>260.2365898905688</v>
      </c>
      <c r="Q1000" s="10" t="n">
        <v>1.5</v>
      </c>
      <c r="R1000" s="12" t="n">
        <v>0.021</v>
      </c>
      <c r="S1000" s="13" t="inlineStr">
        <is>
          <t>Success</t>
        </is>
      </c>
      <c r="T1000" s="10" t="n">
        <v>0.3903548848358533</v>
      </c>
      <c r="U1000" s="10" t="n">
        <v>0.7807097696717066</v>
      </c>
      <c r="V1000" s="10" t="n">
        <v>3.122839078686826</v>
      </c>
    </row>
    <row r="1001">
      <c r="I1001" s="8" t="inlineStr">
        <is>
          <t>ACE-10995</t>
        </is>
      </c>
      <c r="J1001" s="8" t="inlineStr">
        <is>
          <t>2026-05-18 16:14:29</t>
        </is>
      </c>
      <c r="K1001" s="8" t="inlineStr">
        <is>
          <t>CUST-91055</t>
        </is>
      </c>
      <c r="L1001" s="9" t="inlineStr">
        <is>
          <t>GBP-PKR</t>
        </is>
      </c>
      <c r="M1001" s="8" t="inlineStr">
        <is>
          <t>GBP</t>
        </is>
      </c>
      <c r="N1001" s="10" t="n">
        <v>252.0500306621662</v>
      </c>
      <c r="O1001" s="11" t="n">
        <v>1</v>
      </c>
      <c r="P1001" s="10" t="n">
        <v>252.0500306621662</v>
      </c>
      <c r="Q1001" s="10" t="n">
        <v>1.5</v>
      </c>
      <c r="R1001" s="12" t="n">
        <v>0.021</v>
      </c>
      <c r="S1001" s="13" t="inlineStr">
        <is>
          <t>Success</t>
        </is>
      </c>
      <c r="T1001" s="10" t="n">
        <v>0.3780750459932493</v>
      </c>
      <c r="U1001" s="10" t="n">
        <v>0</v>
      </c>
      <c r="V1001" s="10" t="n">
        <v>3.024600367945995</v>
      </c>
    </row>
    <row r="1002">
      <c r="I1002" s="8" t="inlineStr">
        <is>
          <t>ACE-10996</t>
        </is>
      </c>
      <c r="J1002" s="8" t="inlineStr">
        <is>
          <t>2026-05-07 09:50:09</t>
        </is>
      </c>
      <c r="K1002" s="8" t="inlineStr">
        <is>
          <t>CUST-94908</t>
        </is>
      </c>
      <c r="L1002" s="9" t="inlineStr">
        <is>
          <t>GBP-PKR</t>
        </is>
      </c>
      <c r="M1002" s="8" t="inlineStr">
        <is>
          <t>GBP</t>
        </is>
      </c>
      <c r="N1002" s="10" t="n">
        <v>270.8809902025199</v>
      </c>
      <c r="O1002" s="11" t="n">
        <v>1</v>
      </c>
      <c r="P1002" s="10" t="n">
        <v>270.8809902025199</v>
      </c>
      <c r="Q1002" s="10" t="n">
        <v>1.5</v>
      </c>
      <c r="R1002" s="12" t="n">
        <v>0.021</v>
      </c>
      <c r="S1002" s="13" t="inlineStr">
        <is>
          <t>Success</t>
        </is>
      </c>
      <c r="T1002" s="10" t="n">
        <v>0.4063214853037799</v>
      </c>
      <c r="U1002" s="10" t="n">
        <v>0.8126429706075597</v>
      </c>
      <c r="V1002" s="10" t="n">
        <v>3.250571882430239</v>
      </c>
    </row>
    <row r="1003">
      <c r="I1003" s="8" t="inlineStr">
        <is>
          <t>ACE-10997</t>
        </is>
      </c>
      <c r="J1003" s="8" t="inlineStr">
        <is>
          <t>2026-05-16 10:10:42</t>
        </is>
      </c>
      <c r="K1003" s="8" t="inlineStr">
        <is>
          <t>CUST-52825</t>
        </is>
      </c>
      <c r="L1003" s="9" t="inlineStr">
        <is>
          <t>USD-PKR</t>
        </is>
      </c>
      <c r="M1003" s="8" t="inlineStr">
        <is>
          <t>USD</t>
        </is>
      </c>
      <c r="N1003" s="10" t="n">
        <v>262.0135445124596</v>
      </c>
      <c r="O1003" s="11" t="n">
        <v>0.8</v>
      </c>
      <c r="P1003" s="10" t="n">
        <v>209.6108356099677</v>
      </c>
      <c r="Q1003" s="10" t="n">
        <v>1.6</v>
      </c>
      <c r="R1003" s="12" t="n">
        <v>0.019</v>
      </c>
      <c r="S1003" s="13" t="inlineStr">
        <is>
          <t>Success</t>
        </is>
      </c>
      <c r="T1003" s="10" t="n">
        <v>0.3144162534149516</v>
      </c>
      <c r="U1003" s="10" t="n">
        <v>0</v>
      </c>
      <c r="V1003" s="10" t="n">
        <v>2.515330027319613</v>
      </c>
    </row>
    <row r="1004">
      <c r="I1004" s="8" t="inlineStr">
        <is>
          <t>ACE-10998</t>
        </is>
      </c>
      <c r="J1004" s="8" t="inlineStr">
        <is>
          <t>2026-05-07 14:16:21</t>
        </is>
      </c>
      <c r="K1004" s="8" t="inlineStr">
        <is>
          <t>CUST-90423</t>
        </is>
      </c>
      <c r="L1004" s="9" t="inlineStr">
        <is>
          <t>GBP-PKR</t>
        </is>
      </c>
      <c r="M1004" s="8" t="inlineStr">
        <is>
          <t>GBP</t>
        </is>
      </c>
      <c r="N1004" s="10" t="n">
        <v>297.0421028804771</v>
      </c>
      <c r="O1004" s="11" t="n">
        <v>1</v>
      </c>
      <c r="P1004" s="10" t="n">
        <v>297.0421028804771</v>
      </c>
      <c r="Q1004" s="10" t="n">
        <v>1.5</v>
      </c>
      <c r="R1004" s="12" t="n">
        <v>0.021</v>
      </c>
      <c r="S1004" s="13" t="inlineStr">
        <is>
          <t>Success</t>
        </is>
      </c>
      <c r="T1004" s="10" t="n">
        <v>0.4455631543207156</v>
      </c>
      <c r="U1004" s="10" t="n">
        <v>0.8911263086414313</v>
      </c>
      <c r="V1004" s="10" t="n">
        <v>3.564505234565725</v>
      </c>
    </row>
    <row r="1005">
      <c r="I1005" s="8" t="inlineStr">
        <is>
          <t>ACE-10999</t>
        </is>
      </c>
      <c r="J1005" s="8" t="inlineStr">
        <is>
          <t>2026-05-02 09:47:03</t>
        </is>
      </c>
      <c r="K1005" s="8" t="inlineStr">
        <is>
          <t>CUST-85216</t>
        </is>
      </c>
      <c r="L1005" s="9" t="inlineStr">
        <is>
          <t>GBP-PKR</t>
        </is>
      </c>
      <c r="M1005" s="8" t="inlineStr">
        <is>
          <t>GBP</t>
        </is>
      </c>
      <c r="N1005" s="10" t="n">
        <v>263.136182985492</v>
      </c>
      <c r="O1005" s="11" t="n">
        <v>1</v>
      </c>
      <c r="P1005" s="10" t="n">
        <v>263.136182985492</v>
      </c>
      <c r="Q1005" s="10" t="n">
        <v>1.5</v>
      </c>
      <c r="R1005" s="12" t="n">
        <v>0.021</v>
      </c>
      <c r="S1005" s="13" t="inlineStr">
        <is>
          <t>Success</t>
        </is>
      </c>
      <c r="T1005" s="10" t="n">
        <v>0.394704274478238</v>
      </c>
      <c r="U1005" s="10" t="n">
        <v>0.7894085489564759</v>
      </c>
      <c r="V1005" s="10" t="n">
        <v>3.157634195825904</v>
      </c>
    </row>
    <row r="1006">
      <c r="I1006" s="8" t="inlineStr">
        <is>
          <t>ACE-11000</t>
        </is>
      </c>
      <c r="J1006" s="8" t="inlineStr">
        <is>
          <t>2026-05-16 16:07:04</t>
        </is>
      </c>
      <c r="K1006" s="8" t="inlineStr">
        <is>
          <t>CUST-65420</t>
        </is>
      </c>
      <c r="L1006" s="9" t="inlineStr">
        <is>
          <t>GBP-PKR</t>
        </is>
      </c>
      <c r="M1006" s="8" t="inlineStr">
        <is>
          <t>GBP</t>
        </is>
      </c>
      <c r="N1006" s="10" t="n">
        <v>295.0213956405381</v>
      </c>
      <c r="O1006" s="11" t="n">
        <v>1</v>
      </c>
      <c r="P1006" s="10" t="n">
        <v>295.0213956405381</v>
      </c>
      <c r="Q1006" s="10" t="n">
        <v>1.5</v>
      </c>
      <c r="R1006" s="12" t="n">
        <v>0.021</v>
      </c>
      <c r="S1006" s="13" t="inlineStr">
        <is>
          <t>Success</t>
        </is>
      </c>
      <c r="T1006" s="10" t="n">
        <v>0.4425320934608071</v>
      </c>
      <c r="U1006" s="10" t="n">
        <v>0</v>
      </c>
      <c r="V1006" s="10" t="n">
        <v>3.540256747686457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2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2" customWidth="1" min="3" max="3"/>
    <col width="22" customWidth="1" min="4" max="4"/>
    <col width="22" customWidth="1" min="5" max="5"/>
  </cols>
  <sheetData>
    <row r="2" ht="25" customHeight="1">
      <c r="B2" s="1" t="inlineStr">
        <is>
          <t>Transaction Unit Economics per Corridor</t>
        </is>
      </c>
    </row>
    <row r="4" ht="22" customHeight="1">
      <c r="B4" s="4" t="inlineStr">
        <is>
          <t>Unit Metric (GBP / £ equivalent)</t>
        </is>
      </c>
      <c r="C4" s="4" t="inlineStr">
        <is>
          <t>GBP-PKR Corridor</t>
        </is>
      </c>
      <c r="D4" s="4" t="inlineStr">
        <is>
          <t>USD-PKR Corridor</t>
        </is>
      </c>
      <c r="E4" s="4" t="inlineStr">
        <is>
          <t>EUR-PKR Corridor</t>
        </is>
      </c>
    </row>
    <row r="5" ht="18" customHeight="1">
      <c r="B5" s="9" t="inlineStr">
        <is>
          <t>Average Send Value (GBP Equivalent)</t>
        </is>
      </c>
      <c r="C5" s="14">
        <f>'1. INPUT ASSUMPTIONS'!C8*'1. INPUT ASSUMPTIONS'!C10</f>
        <v/>
      </c>
      <c r="D5" s="14">
        <f>'1. INPUT ASSUMPTIONS'!D8*'1. INPUT ASSUMPTIONS'!D10</f>
        <v/>
      </c>
      <c r="E5" s="14">
        <f>'1. INPUT ASSUMPTIONS'!E8*'1. INPUT ASSUMPTIONS'!E10</f>
        <v/>
      </c>
    </row>
    <row r="6" ht="18" customHeight="1">
      <c r="B6" s="9" t="inlineStr">
        <is>
          <t>Remittance Fee Revenue (GBP)</t>
        </is>
      </c>
      <c r="C6" s="14">
        <f>'1. INPUT ASSUMPTIONS'!C9*'1. INPUT ASSUMPTIONS'!C10</f>
        <v/>
      </c>
      <c r="D6" s="14">
        <f>'1. INPUT ASSUMPTIONS'!D9*'1. INPUT ASSUMPTIONS'!D10</f>
        <v/>
      </c>
      <c r="E6" s="14">
        <f>'1. INPUT ASSUMPTIONS'!E9*'1. INPUT ASSUMPTIONS'!E10</f>
        <v/>
      </c>
    </row>
    <row r="7" ht="18" customHeight="1">
      <c r="B7" s="9" t="inlineStr">
        <is>
          <t>FX Spread Revenue (GBP Quoted)</t>
        </is>
      </c>
      <c r="C7" s="14">
        <f>C5*'1. INPUT ASSUMPTIONS'!C11</f>
        <v/>
      </c>
      <c r="D7" s="14">
        <f>D5*'1. INPUT ASSUMPTIONS'!D11</f>
        <v/>
      </c>
      <c r="E7" s="14">
        <f>E5*'1. INPUT ASSUMPTIONS'!E11</f>
        <v/>
      </c>
    </row>
    <row r="8" ht="18" customHeight="1">
      <c r="B8" s="6" t="inlineStr">
        <is>
          <t>Total Transaction Revenue</t>
        </is>
      </c>
      <c r="C8" s="18">
        <f>C6+C7</f>
        <v/>
      </c>
      <c r="D8" s="18">
        <f>D6+D7</f>
        <v/>
      </c>
      <c r="E8" s="18">
        <f>E6+E7</f>
        <v/>
      </c>
    </row>
    <row r="9" ht="18" customHeight="1">
      <c r="B9" s="9" t="inlineStr">
        <is>
          <t>Acquirer Card Acceptance Fee %</t>
        </is>
      </c>
      <c r="C9" s="12">
        <f>VLOOKUP('1. INPUT ASSUMPTIONS'!C7,'1. INPUT ASSUMPTIONS'!$B$15:$C$17,2,TRUE)</f>
        <v/>
      </c>
      <c r="D9" s="12">
        <f>VLOOKUP('1. INPUT ASSUMPTIONS'!D7,'1. INPUT ASSUMPTIONS'!$B$15:$C$17,2,TRUE)</f>
        <v/>
      </c>
      <c r="E9" s="12">
        <f>VLOOKUP('1. INPUT ASSUMPTIONS'!E7,'1. INPUT ASSUMPTIONS'!$B$15:$C$17,2,TRUE)</f>
        <v/>
      </c>
    </row>
    <row r="10" ht="18" customHeight="1">
      <c r="B10" s="9" t="inlineStr">
        <is>
          <t>Acquirer Card Acceptance Cost (GBP)</t>
        </is>
      </c>
      <c r="C10" s="14">
        <f>C5*C9</f>
        <v/>
      </c>
      <c r="D10" s="14">
        <f>D5*D9</f>
        <v/>
      </c>
      <c r="E10" s="14">
        <f>E5*E9</f>
        <v/>
      </c>
    </row>
    <row r="11" ht="18" customHeight="1">
      <c r="B11" s="9" t="inlineStr">
        <is>
          <t>Compliance Verification Cost</t>
        </is>
      </c>
      <c r="C11" s="14">
        <f>'1. INPUT ASSUMPTIONS'!$C$20</f>
        <v/>
      </c>
      <c r="D11" s="14">
        <f>'1. INPUT ASSUMPTIONS'!$C$20</f>
        <v/>
      </c>
      <c r="E11" s="14">
        <f>'1. INPUT ASSUMPTIONS'!$C$20</f>
        <v/>
      </c>
    </row>
    <row r="12" ht="18" customHeight="1">
      <c r="B12" s="9" t="inlineStr">
        <is>
          <t>Local Bank Payout Network Cost</t>
        </is>
      </c>
      <c r="C12" s="14">
        <f>'1. INPUT ASSUMPTIONS'!$C$21</f>
        <v/>
      </c>
      <c r="D12" s="14">
        <f>'1. INPUT ASSUMPTIONS'!$C$21</f>
        <v/>
      </c>
      <c r="E12" s="14">
        <f>'1. INPUT ASSUMPTIONS'!$C$21</f>
        <v/>
      </c>
    </row>
    <row r="13" ht="18" customHeight="1">
      <c r="B13" s="9" t="inlineStr">
        <is>
          <t>Failed Transaction Gateways Impact</t>
        </is>
      </c>
      <c r="C13" s="14">
        <f>'1. INPUT ASSUMPTIONS'!$C$22*'1. INPUT ASSUMPTIONS'!$C$23</f>
        <v/>
      </c>
      <c r="D13" s="14">
        <f>'1. INPUT ASSUMPTIONS'!$C$22*'1. INPUT ASSUMPTIONS'!$C$23</f>
        <v/>
      </c>
      <c r="E13" s="14">
        <f>'1. INPUT ASSUMPTIONS'!$C$22*'1. INPUT ASSUMPTIONS'!$C$23</f>
        <v/>
      </c>
    </row>
    <row r="14" ht="18" customHeight="1">
      <c r="B14" s="6" t="inlineStr">
        <is>
          <t>Total Cost per Transaction</t>
        </is>
      </c>
      <c r="C14" s="18">
        <f>SUM(C10:C13)</f>
        <v/>
      </c>
      <c r="D14" s="18">
        <f>SUM(D10:D13)</f>
        <v/>
      </c>
      <c r="E14" s="18">
        <f>SUM(E10:E13)</f>
        <v/>
      </c>
    </row>
    <row r="15" ht="18" customHeight="1">
      <c r="B15" s="19" t="inlineStr">
        <is>
          <t>Contribution Margin per Transaction (GBP)</t>
        </is>
      </c>
      <c r="C15" s="20">
        <f>C8-C14</f>
        <v/>
      </c>
      <c r="D15" s="20">
        <f>D8-D14</f>
        <v/>
      </c>
      <c r="E15" s="20">
        <f>E8-E14</f>
        <v/>
      </c>
    </row>
    <row r="16" ht="18" customHeight="1">
      <c r="B16" s="6" t="inlineStr">
        <is>
          <t>Contribution Margin % (CM %)</t>
        </is>
      </c>
      <c r="C16" s="21">
        <f>C15/C8</f>
        <v/>
      </c>
      <c r="D16" s="21">
        <f>D15/D8</f>
        <v/>
      </c>
      <c r="E16" s="21">
        <f>E15/E8</f>
        <v/>
      </c>
    </row>
    <row r="17" ht="18" customHeight="1">
      <c r="B17" s="9" t="inlineStr">
        <is>
          <t>Transactions per Customer Lifespan</t>
        </is>
      </c>
      <c r="C17" s="15">
        <f>'1. INPUT ASSUMPTIONS'!$C$25*'1. INPUT ASSUMPTIONS'!$C$26</f>
        <v/>
      </c>
      <c r="D17" s="15">
        <f>'1. INPUT ASSUMPTIONS'!$C$25*'1. INPUT ASSUMPTIONS'!$C$26</f>
        <v/>
      </c>
      <c r="E17" s="15">
        <f>'1. INPUT ASSUMPTIONS'!$C$25*'1. INPUT ASSUMPTIONS'!$C$26</f>
        <v/>
      </c>
    </row>
    <row r="18" ht="18" customHeight="1">
      <c r="B18" s="6" t="inlineStr">
        <is>
          <t>Customer Lifetime Value (LTV based on CM)</t>
        </is>
      </c>
      <c r="C18" s="18">
        <f>C17*C15</f>
        <v/>
      </c>
      <c r="D18" s="18">
        <f>D17*D15</f>
        <v/>
      </c>
      <c r="E18" s="18">
        <f>E17*E15</f>
        <v/>
      </c>
    </row>
    <row r="19" ht="18" customHeight="1">
      <c r="B19" s="9" t="inlineStr">
        <is>
          <t>Customer Acquisition Cost (CAC)</t>
        </is>
      </c>
      <c r="C19" s="14">
        <f>'1. INPUT ASSUMPTIONS'!$C$24</f>
        <v/>
      </c>
      <c r="D19" s="14">
        <f>'1. INPUT ASSUMPTIONS'!$C$24</f>
        <v/>
      </c>
      <c r="E19" s="14">
        <f>'1. INPUT ASSUMPTIONS'!$C$24</f>
        <v/>
      </c>
    </row>
    <row r="20" ht="18" customHeight="1">
      <c r="B20" s="6" t="inlineStr">
        <is>
          <t>LTV to CAC Ratio (Target: &gt;3x)</t>
        </is>
      </c>
      <c r="C20" s="22">
        <f>C18/C19</f>
        <v/>
      </c>
      <c r="D20" s="22">
        <f>D18/D19</f>
        <v/>
      </c>
      <c r="E20" s="22">
        <f>E18/E19</f>
        <v/>
      </c>
    </row>
    <row r="21" ht="18" customHeight="1">
      <c r="B21" s="9" t="inlineStr">
        <is>
          <t>Payback Period (Months)</t>
        </is>
      </c>
      <c r="C21" s="23">
        <f>C19/(C15*'1. INPUT ASSUMPTIONS'!$C$26)</f>
        <v/>
      </c>
      <c r="D21" s="23">
        <f>D19/(D15*'1. INPUT ASSUMPTIONS'!$C$26)</f>
        <v/>
      </c>
      <c r="E21" s="23">
        <f>E19/(E15*'1. INPUT ASSUMPTIONS'!$C$26)</f>
        <v/>
      </c>
    </row>
    <row r="22" ht="18" customHeight="1">
      <c r="B22" s="9" t="inlineStr">
        <is>
          <t>Monthly Fixed Operating Overhead (GBP)</t>
        </is>
      </c>
      <c r="C22" s="14">
        <f>'1. INPUT ASSUMPTIONS'!$C$29</f>
        <v/>
      </c>
      <c r="D22" s="14">
        <f>'1. INPUT ASSUMPTIONS'!$C$29</f>
        <v/>
      </c>
      <c r="E22" s="14">
        <f>'1. INPUT ASSUMPTIONS'!$C$29</f>
        <v/>
      </c>
    </row>
    <row r="23" ht="18" customHeight="1">
      <c r="B23" s="24" t="inlineStr">
        <is>
          <t>Break-Even Monthly Volume (Transactions)</t>
        </is>
      </c>
      <c r="C23" s="25">
        <f>C22/C15</f>
        <v/>
      </c>
      <c r="D23" s="25">
        <f>D22/D15</f>
        <v/>
      </c>
      <c r="E23" s="25">
        <f>E22/E15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2" customWidth="1" min="3" max="3"/>
    <col width="22" customWidth="1" min="4" max="4"/>
    <col width="22" customWidth="1" min="5" max="5"/>
    <col width="25" customWidth="1" min="6" max="6"/>
    <col width="25" customWidth="1" min="7" max="7"/>
    <col width="25" customWidth="1" min="8" max="8"/>
  </cols>
  <sheetData>
    <row r="2" ht="25" customHeight="1">
      <c r="B2" s="1" t="inlineStr">
        <is>
          <t>Corridor Benchmarking Matrix &amp; Regulatory Stress Test</t>
        </is>
      </c>
    </row>
    <row r="4" ht="22" customHeight="1">
      <c r="B4" s="4" t="inlineStr">
        <is>
          <t>Benchmark Comparison Metric</t>
        </is>
      </c>
      <c r="C4" s="4" t="inlineStr">
        <is>
          <t>GBP-PKR Corridor</t>
        </is>
      </c>
      <c r="D4" s="4" t="inlineStr">
        <is>
          <t>USD-PKR Corridor</t>
        </is>
      </c>
      <c r="E4" s="4" t="inlineStr">
        <is>
          <t>EUR-PKR Corridor</t>
        </is>
      </c>
      <c r="F4" s="4" t="inlineStr">
        <is>
          <t>Corridor Profitability Rank</t>
        </is>
      </c>
      <c r="G4" s="4" t="inlineStr">
        <is>
          <t>FX 0.5% Stress Test CM %</t>
        </is>
      </c>
      <c r="H4" s="4" t="inlineStr">
        <is>
          <t>Stress CM Variance (bps)</t>
        </is>
      </c>
    </row>
    <row r="5" ht="18" customHeight="1">
      <c r="B5" s="9" t="inlineStr">
        <is>
          <t>Monthly Transaction Volume</t>
        </is>
      </c>
      <c r="C5" s="7">
        <f>'1. INPUT ASSUMPTIONS'!C7</f>
        <v/>
      </c>
      <c r="D5" s="7">
        <f>'1. INPUT ASSUMPTIONS'!D7</f>
        <v/>
      </c>
      <c r="E5" s="7">
        <f>'1. INPUT ASSUMPTIONS'!E7</f>
        <v/>
      </c>
      <c r="F5" s="26">
        <f>RANK(C13, $C$13:$E$13, 0)</f>
        <v/>
      </c>
      <c r="G5" s="27">
        <f>(C12-(C6*0.005))/(C7-(C6*0.005))</f>
        <v/>
      </c>
      <c r="H5" s="28">
        <f>(G5-C13)*10000</f>
        <v/>
      </c>
    </row>
    <row r="6" ht="18" customHeight="1">
      <c r="B6" s="9" t="inlineStr">
        <is>
          <t>Average Send Amount per Remittance</t>
        </is>
      </c>
      <c r="C6" s="14">
        <f>'2. UNIT ECONOMICS'!C5</f>
        <v/>
      </c>
      <c r="D6" s="14">
        <f>'2. UNIT ECONOMICS'!D5</f>
        <v/>
      </c>
      <c r="E6" s="14">
        <f>'2. UNIT ECONOMICS'!E5</f>
        <v/>
      </c>
      <c r="F6" s="29" t="n"/>
      <c r="G6" s="30" t="n"/>
      <c r="H6" s="30" t="n"/>
    </row>
    <row r="7" ht="18" customHeight="1">
      <c r="B7" s="9" t="inlineStr">
        <is>
          <t>Gross Transaction Revenue</t>
        </is>
      </c>
      <c r="C7" s="14">
        <f>'2. UNIT ECONOMICS'!C8</f>
        <v/>
      </c>
      <c r="D7" s="14">
        <f>'2. UNIT ECONOMICS'!D8</f>
        <v/>
      </c>
      <c r="E7" s="14">
        <f>'2. UNIT ECONOMICS'!E8</f>
        <v/>
      </c>
      <c r="F7" s="31">
        <f>RANK(D13, $C$13:$E$13, 0)</f>
        <v/>
      </c>
      <c r="G7" s="27">
        <f>(D12-(D6*0.005))/(D7-(D6*0.005))</f>
        <v/>
      </c>
      <c r="H7" s="28">
        <f>(G7-D13)*10000</f>
        <v/>
      </c>
    </row>
    <row r="8" ht="18" customHeight="1">
      <c r="B8" s="9" t="inlineStr">
        <is>
          <t>Acquirer Card Acceptance Fee %</t>
        </is>
      </c>
      <c r="C8" s="12">
        <f>'2. UNIT ECONOMICS'!C9</f>
        <v/>
      </c>
      <c r="D8" s="12">
        <f>'2. UNIT ECONOMICS'!D9</f>
        <v/>
      </c>
      <c r="E8" s="12">
        <f>'2. UNIT ECONOMICS'!E9</f>
        <v/>
      </c>
      <c r="F8" s="29" t="n"/>
      <c r="G8" s="30" t="n"/>
      <c r="H8" s="30" t="n"/>
    </row>
    <row r="9" ht="18" customHeight="1">
      <c r="B9" s="9" t="inlineStr">
        <is>
          <t>Compliance &amp; Verification overhead</t>
        </is>
      </c>
      <c r="C9" s="14">
        <f>'2. UNIT ECONOMICS'!C11</f>
        <v/>
      </c>
      <c r="D9" s="14">
        <f>'2. UNIT ECONOMICS'!D11</f>
        <v/>
      </c>
      <c r="E9" s="14">
        <f>'2. UNIT ECONOMICS'!E11</f>
        <v/>
      </c>
      <c r="F9" s="31">
        <f>RANK(E13, $C$13:$E$13, 0)</f>
        <v/>
      </c>
      <c r="G9" s="27">
        <f>(E12-(E6*0.005))/(E7-(E6*0.005))</f>
        <v/>
      </c>
      <c r="H9" s="28">
        <f>(G9-E13)*10000</f>
        <v/>
      </c>
    </row>
    <row r="10" ht="18" customHeight="1">
      <c r="B10" s="9" t="inlineStr">
        <is>
          <t>Payout Network Partner overhead</t>
        </is>
      </c>
      <c r="C10" s="14">
        <f>'2. UNIT ECONOMICS'!C12</f>
        <v/>
      </c>
      <c r="D10" s="14">
        <f>'2. UNIT ECONOMICS'!D12</f>
        <v/>
      </c>
      <c r="E10" s="14">
        <f>'2. UNIT ECONOMICS'!E12</f>
        <v/>
      </c>
      <c r="F10" s="29" t="n"/>
      <c r="G10" s="30" t="n"/>
      <c r="H10" s="30" t="n"/>
    </row>
    <row r="11" ht="18" customHeight="1">
      <c r="B11" s="9" t="inlineStr">
        <is>
          <t>Total Transaction Costs (GBP)</t>
        </is>
      </c>
      <c r="C11" s="14">
        <f>'2. UNIT ECONOMICS'!C14</f>
        <v/>
      </c>
      <c r="D11" s="14">
        <f>'2. UNIT ECONOMICS'!D14</f>
        <v/>
      </c>
      <c r="E11" s="14">
        <f>'2. UNIT ECONOMICS'!E14</f>
        <v/>
      </c>
      <c r="G11" s="30" t="n"/>
      <c r="H11" s="30" t="n"/>
    </row>
    <row r="12" ht="18" customHeight="1">
      <c r="B12" s="6" t="inlineStr">
        <is>
          <t>Contribution Margin per Transaction</t>
        </is>
      </c>
      <c r="C12" s="20">
        <f>'2. UNIT ECONOMICS'!C15</f>
        <v/>
      </c>
      <c r="D12" s="20">
        <f>'2. UNIT ECONOMICS'!D15</f>
        <v/>
      </c>
      <c r="E12" s="20">
        <f>'2. UNIT ECONOMICS'!E15</f>
        <v/>
      </c>
      <c r="G12" s="30" t="n"/>
      <c r="H12" s="30" t="n"/>
    </row>
    <row r="13" ht="18" customHeight="1">
      <c r="B13" s="6" t="inlineStr">
        <is>
          <t>Contribution Margin % (CM %)</t>
        </is>
      </c>
      <c r="C13" s="21">
        <f>'2. UNIT ECONOMICS'!C16</f>
        <v/>
      </c>
      <c r="D13" s="21">
        <f>'2. UNIT ECONOMICS'!D16</f>
        <v/>
      </c>
      <c r="E13" s="21">
        <f>'2. UNIT ECONOMICS'!E16</f>
        <v/>
      </c>
      <c r="F13" s="32">
        <f>RANK(C13,$C$13:$E$13,0)</f>
        <v/>
      </c>
      <c r="G13" s="27">
        <f>(C12-(C6*0.005))/(C7-(C6*0.005))</f>
        <v/>
      </c>
      <c r="H13" s="27">
        <f>(D12-(D6*0.005))/(D7-(D6*0.005))</f>
        <v/>
      </c>
    </row>
    <row r="14" ht="18" customHeight="1">
      <c r="B14" s="6" t="inlineStr">
        <is>
          <t>Customer LTV to CAC Leverage Ratio</t>
        </is>
      </c>
      <c r="C14" s="33">
        <f>'2. UNIT ECONOMICS'!C20</f>
        <v/>
      </c>
      <c r="D14" s="33">
        <f>'2. UNIT ECONOMICS'!D20</f>
        <v/>
      </c>
      <c r="E14" s="33">
        <f>'2. UNIT ECONOMICS'!E20</f>
        <v/>
      </c>
      <c r="G14" s="30" t="n"/>
      <c r="H14" s="30" t="n"/>
    </row>
    <row r="15" ht="18" customHeight="1">
      <c r="B15" s="9" t="inlineStr">
        <is>
          <t>Corridor Break-Even Monthly Volume</t>
        </is>
      </c>
      <c r="C15" s="7">
        <f>'2. UNIT ECONOMICS'!C23</f>
        <v/>
      </c>
      <c r="D15" s="7">
        <f>'2. UNIT ECONOMICS'!D23</f>
        <v/>
      </c>
      <c r="E15" s="7">
        <f>'2. UNIT ECONOMICS'!E23</f>
        <v/>
      </c>
      <c r="G15" s="30" t="n"/>
      <c r="H15" s="30" t="n"/>
    </row>
    <row r="17">
      <c r="B17" s="3" t="inlineStr">
        <is>
          <t>Senior Analyst Executive Commentary - Key Corridor Insights</t>
        </is>
      </c>
    </row>
    <row r="19">
      <c r="B19" s="34" t="inlineStr">
        <is>
          <t>Remittance Business Analysis &amp; Key Recommendations:
1. GBP-PKR Corridor Dominance: GBP-PKR is the absolute primary anchor for ACE Money Transfer, accounting for 70% of volume and yielding the highest contribution margin of 45.8% (£3.38 per transaction) driven by the high average transaction size (£280) and 2.1% FX spread. LTV:CAC is an outstanding 13.5x with a fast payback of 1.3 months.
2. EUR-PKR Exposure: EUR-PKR is the weakest corridor (38.6% margin). This is due to its low volume (5,000 tx/month) which keeps it in the 1.5% acquirer card fee tier (versus the 1.2% tier enjoyed by GBP and USD) and a lower average transaction value (€190). Action: Standardize pricing or drive marketing to reach the 5,000+ transaction tier to lower card fees.
3. Regulatory FX Spread Compression Risk: Under a stressed scenario where competitive and regulatory pressure compresses wholesale margins by 0.5%, all corridors suffer margin contraction. EUR-PKR is highly vulnerable, with margins dropping to 27.0% (a -1,159 bps variance), which would severely lengthen its payback period.</t>
        </is>
      </c>
      <c r="C19" s="35" t="n"/>
      <c r="D19" s="35" t="n"/>
      <c r="E19" s="35" t="n"/>
      <c r="F19" s="35" t="n"/>
      <c r="G19" s="35" t="n"/>
      <c r="H19" s="35" t="n"/>
    </row>
    <row r="20">
      <c r="B20" s="35" t="n"/>
      <c r="C20" s="35" t="n"/>
      <c r="D20" s="35" t="n"/>
      <c r="E20" s="35" t="n"/>
      <c r="F20" s="35" t="n"/>
      <c r="G20" s="35" t="n"/>
      <c r="H20" s="35" t="n"/>
    </row>
    <row r="21">
      <c r="B21" s="35" t="n"/>
      <c r="C21" s="35" t="n"/>
      <c r="D21" s="35" t="n"/>
      <c r="E21" s="35" t="n"/>
      <c r="F21" s="35" t="n"/>
      <c r="G21" s="35" t="n"/>
      <c r="H21" s="35" t="n"/>
    </row>
    <row r="22">
      <c r="B22" s="35" t="n"/>
      <c r="C22" s="35" t="n"/>
      <c r="D22" s="35" t="n"/>
      <c r="E22" s="35" t="n"/>
      <c r="F22" s="35" t="n"/>
      <c r="G22" s="35" t="n"/>
      <c r="H22" s="35" t="n"/>
    </row>
  </sheetData>
  <mergeCells count="4">
    <mergeCell ref="B19:H22"/>
    <mergeCell ref="F9:F10"/>
    <mergeCell ref="F7:F8"/>
    <mergeCell ref="F5:F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2" customWidth="1" min="3" max="3"/>
    <col width="22" customWidth="1" min="4" max="4"/>
    <col width="38" customWidth="1" min="5" max="5"/>
  </cols>
  <sheetData>
    <row r="2" ht="25" customHeight="1">
      <c r="B2" s="1" t="inlineStr">
        <is>
          <t>Revenue Leakage &amp; Margin Erosion Tracker (Monthly Aggregate)</t>
        </is>
      </c>
    </row>
    <row r="4" ht="22" customHeight="1">
      <c r="B4" s="4" t="inlineStr">
        <is>
          <t>Leakage Walk Item</t>
        </is>
      </c>
      <c r="C4" s="4" t="inlineStr">
        <is>
          <t>Monthly Value (GBP / £)</t>
        </is>
      </c>
      <c r="D4" s="4" t="inlineStr">
        <is>
          <t>% of Gross Revenue</t>
        </is>
      </c>
      <c r="E4" s="4" t="inlineStr">
        <is>
          <t>Leakage Status Alert</t>
        </is>
      </c>
    </row>
    <row r="5" ht="18" customHeight="1">
      <c r="B5" s="6" t="inlineStr">
        <is>
          <t>Gross Remittance Revenue (Fees + FX Spreads)</t>
        </is>
      </c>
      <c r="C5" s="36">
        <f>SUMPRODUCT('1. INPUT ASSUMPTIONS'!$C$7:$E$7, '2. UNIT ECONOMICS'!$C$8:$E$8)</f>
        <v/>
      </c>
      <c r="D5" s="37">
        <f>C5/C5</f>
        <v/>
      </c>
      <c r="E5" s="38" t="inlineStr">
        <is>
          <t>Baseline</t>
        </is>
      </c>
    </row>
    <row r="6" ht="18" customHeight="1">
      <c r="B6" s="9" t="inlineStr">
        <is>
          <t>FX Slippage Loss (Wholesale Settlement)</t>
        </is>
      </c>
      <c r="C6" s="17">
        <f>SUMPRODUCT('1. INPUT ASSUMPTIONS'!$C$7:$E$7, '2. UNIT ECONOMICS'!$C$5:$E$5)*'1. INPUT ASSUMPTIONS'!$C$27</f>
        <v/>
      </c>
      <c r="D6" s="16">
        <f>C6/$C$5</f>
        <v/>
      </c>
      <c r="E6" s="38" t="inlineStr">
        <is>
          <t>Leakage</t>
        </is>
      </c>
    </row>
    <row r="7" ht="18" customHeight="1">
      <c r="B7" s="9" t="inlineStr">
        <is>
          <t>Failed Transaction gateways processing overhead</t>
        </is>
      </c>
      <c r="C7" s="17">
        <f>('1. INPUT ASSUMPTIONS'!$C$7+'1. INPUT ASSUMPTIONS'!$D$7+'1. INPUT ASSUMPTIONS'!$E$7)*'1. INPUT ASSUMPTIONS'!$C$22*'1. INPUT ASSUMPTIONS'!$C$23</f>
        <v/>
      </c>
      <c r="D7" s="16">
        <f>C7/$C$5</f>
        <v/>
      </c>
      <c r="E7" s="38" t="inlineStr">
        <is>
          <t>Leakage</t>
        </is>
      </c>
    </row>
    <row r="8" ht="18" customHeight="1">
      <c r="B8" s="9" t="inlineStr">
        <is>
          <t>Promotional Waivers &amp; Customer Incentives</t>
        </is>
      </c>
      <c r="C8" s="17">
        <f>SUMPRODUCT('1. INPUT ASSUMPTIONS'!$C$7:$E$7, '2. UNIT ECONOMICS'!$C$5:$E$5)*'1. INPUT ASSUMPTIONS'!$C$28</f>
        <v/>
      </c>
      <c r="D8" s="16">
        <f>C8/$C$5</f>
        <v/>
      </c>
      <c r="E8" s="38" t="inlineStr">
        <is>
          <t>Leakage</t>
        </is>
      </c>
    </row>
    <row r="9" ht="18" customHeight="1">
      <c r="B9" s="9" t="inlineStr">
        <is>
          <t>Compliance KYC &amp; Verification Fees</t>
        </is>
      </c>
      <c r="C9" s="17">
        <f>SUM('1. INPUT ASSUMPTIONS'!$C$7:$E$7)*'1. INPUT ASSUMPTIONS'!$C$20</f>
        <v/>
      </c>
      <c r="D9" s="16">
        <f>C9/$C$5</f>
        <v/>
      </c>
      <c r="E9" s="38" t="inlineStr">
        <is>
          <t>Cost</t>
        </is>
      </c>
    </row>
    <row r="10" ht="18" customHeight="1">
      <c r="B10" s="9" t="inlineStr">
        <is>
          <t>Payout Network Partner Fees</t>
        </is>
      </c>
      <c r="C10" s="17">
        <f>SUM('1. INPUT ASSUMPTIONS'!$C$7:$E$7)*'1. INPUT ASSUMPTIONS'!$C$21</f>
        <v/>
      </c>
      <c r="D10" s="16">
        <f>C10/$C$5</f>
        <v/>
      </c>
      <c r="E10" s="38" t="inlineStr">
        <is>
          <t>Cost</t>
        </is>
      </c>
    </row>
    <row r="11" ht="18" customHeight="1">
      <c r="B11" s="9" t="inlineStr">
        <is>
          <t>Acquirer Credit Card Processing Costs</t>
        </is>
      </c>
      <c r="C11" s="17">
        <f>SUMPRODUCT('1. INPUT ASSUMPTIONS'!$C$7:$E$7, '2. UNIT ECONOMICS'!$C$10:$E$10)</f>
        <v/>
      </c>
      <c r="D11" s="16">
        <f>C11/$C$5</f>
        <v/>
      </c>
      <c r="E11" s="38" t="inlineStr">
        <is>
          <t>Cost</t>
        </is>
      </c>
    </row>
    <row r="12" ht="18" customHeight="1">
      <c r="B12" s="6" t="inlineStr">
        <is>
          <t>Net Contribution Margin (Residual Profit)</t>
        </is>
      </c>
      <c r="C12" s="36">
        <f>C5-SUM(C6:C11)</f>
        <v/>
      </c>
      <c r="D12" s="37">
        <f>C12/C5</f>
        <v/>
      </c>
      <c r="E12" s="39" t="inlineStr">
        <is>
          <t>Ending Margin</t>
        </is>
      </c>
    </row>
    <row r="15">
      <c r="B15" s="3" t="inlineStr">
        <is>
          <t>Revenue Leakage Summary</t>
        </is>
      </c>
    </row>
    <row r="16">
      <c r="B16" s="40" t="inlineStr">
        <is>
          <t>Total Monthly Operational Revenue Leakage (Slippage + Failed + Promo):</t>
        </is>
      </c>
      <c r="C16" s="41">
        <f>SUM(C6,C7,C8)</f>
        <v/>
      </c>
      <c r="D16" s="42">
        <f>C16/C5</f>
        <v/>
      </c>
      <c r="E16" s="43">
        <f>IF(D16&gt;0.08, "HIGH LEAKAGE - ACTION NEEDED", IF(D16&gt;=0.05, "MODERATE LEAKAGE", "HEALTHY LEAKAGE"))</f>
        <v/>
      </c>
    </row>
  </sheetData>
  <conditionalFormatting sqref="D16">
    <cfRule type="cellIs" priority="1" operator="greaterThan" dxfId="0">
      <formula>0.08</formula>
    </cfRule>
    <cfRule type="cellIs" priority="2" operator="between" dxfId="1">
      <formula>0.05</formula>
      <formula>0.08</formula>
    </cfRule>
    <cfRule type="cellIs" priority="3" operator="lessThan" dxfId="2">
      <formula>0.05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2" customWidth="1" min="3" max="3"/>
    <col width="22" customWidth="1" min="4" max="4"/>
    <col width="22" customWidth="1" min="5" max="5"/>
    <col width="25" customWidth="1" min="6" max="6"/>
    <col width="3" customWidth="1" min="7" max="7"/>
    <col width="20" customWidth="1" min="8" max="8"/>
    <col width="20" customWidth="1" min="9" max="9"/>
    <col width="15" customWidth="1" min="10" max="10"/>
    <col width="20" customWidth="1" min="11" max="11"/>
    <col width="20" customWidth="1" min="12" max="12"/>
  </cols>
  <sheetData>
    <row r="2" ht="25" customHeight="1">
      <c r="B2" s="1" t="inlineStr">
        <is>
          <t>ACE Money Transfer - Executive Payments Dashboard</t>
        </is>
      </c>
    </row>
    <row r="3">
      <c r="B3" s="2" t="inlineStr">
        <is>
          <t>Real-time Operational Performance &amp; Corridor Profitability Overview</t>
        </is>
      </c>
    </row>
    <row r="4" ht="20" customHeight="1"/>
    <row r="5">
      <c r="B5" s="44">
        <f>'2. UNIT ECONOMICS'!C16</f>
        <v/>
      </c>
      <c r="C5" s="35" t="n"/>
      <c r="E5" s="44">
        <f>'4. Revenue Leakage Tracker'!D16</f>
        <v/>
      </c>
      <c r="F5" s="35" t="n"/>
      <c r="H5" s="45" t="inlineStr">
        <is>
          <t>GBP-PKR Corridor</t>
        </is>
      </c>
      <c r="I5" s="35" t="n"/>
      <c r="K5" s="46">
        <f>'4. Revenue Leakage Tracker'!C12</f>
        <v/>
      </c>
      <c r="L5" s="35" t="n"/>
    </row>
    <row r="6">
      <c r="B6" s="35" t="n"/>
      <c r="C6" s="35" t="n"/>
      <c r="E6" s="35" t="n"/>
      <c r="F6" s="35" t="n"/>
      <c r="H6" s="35" t="n"/>
      <c r="I6" s="35" t="n"/>
      <c r="K6" s="35" t="n"/>
      <c r="L6" s="35" t="n"/>
    </row>
    <row r="7" ht="22" customHeight="1">
      <c r="B7" s="47" t="inlineStr">
        <is>
          <t>GBP-PKR Anchor Contribution %</t>
        </is>
      </c>
      <c r="E7" s="47" t="inlineStr">
        <is>
          <t>Operational Revenue Leakage %</t>
        </is>
      </c>
      <c r="H7" s="47" t="inlineStr">
        <is>
          <t>Best Performing Corridor</t>
        </is>
      </c>
      <c r="K7" s="47" t="inlineStr">
        <is>
          <t>Monthly Net Contribution (GBP)</t>
        </is>
      </c>
    </row>
    <row r="9">
      <c r="B9" s="3" t="inlineStr">
        <is>
          <t>Corridor Health &amp; Traffic Light Status</t>
        </is>
      </c>
    </row>
    <row r="11" ht="20" customHeight="1">
      <c r="B11" s="5" t="inlineStr">
        <is>
          <t>Corridor Route</t>
        </is>
      </c>
      <c r="C11" s="5" t="inlineStr">
        <is>
          <t>Monthly Volume (tx)</t>
        </is>
      </c>
      <c r="D11" s="5" t="inlineStr">
        <is>
          <t>Average CM %</t>
        </is>
      </c>
      <c r="E11" s="5" t="inlineStr">
        <is>
          <t>Regulatory GPM stress test</t>
        </is>
      </c>
      <c r="F11" s="5" t="inlineStr">
        <is>
          <t>Health Status</t>
        </is>
      </c>
    </row>
    <row r="12" ht="18" customHeight="1">
      <c r="B12" s="6" t="inlineStr">
        <is>
          <t>GBP-PKR (Remittance from UK)</t>
        </is>
      </c>
      <c r="C12" s="48">
        <f>'1. INPUT ASSUMPTIONS'!C7</f>
        <v/>
      </c>
      <c r="D12" s="49">
        <f>'2. UNIT ECONOMICS'!C16</f>
        <v/>
      </c>
      <c r="E12" s="49">
        <f>'3. CORRIDOR BENCHMARKING'!G5</f>
        <v/>
      </c>
      <c r="F12" s="50">
        <f>IF(D12&gt;0.4, "GREEN - RESILIENT", IF(D12&gt;=0.3, "AMBER", "RED"))</f>
        <v/>
      </c>
    </row>
    <row r="13" ht="18" customHeight="1">
      <c r="B13" s="6" t="inlineStr">
        <is>
          <t>USD-PKR (Remittance from US/Global)</t>
        </is>
      </c>
      <c r="C13" s="48">
        <f>'1. INPUT ASSUMPTIONS'!D7</f>
        <v/>
      </c>
      <c r="D13" s="49">
        <f>'2. UNIT ECONOMICS'!D16</f>
        <v/>
      </c>
      <c r="E13" s="49">
        <f>'3. CORRIDOR BENCHMARKING'!G7</f>
        <v/>
      </c>
      <c r="F13" s="50">
        <f>IF(D13&gt;0.4, "GREEN - RESILIENT", IF(D13&gt;=0.3, "AMBER", "RED"))</f>
        <v/>
      </c>
    </row>
    <row r="14" ht="18" customHeight="1">
      <c r="B14" s="6" t="inlineStr">
        <is>
          <t>EUR-PKR (Remittance from Europe)</t>
        </is>
      </c>
      <c r="C14" s="48">
        <f>'1. INPUT ASSUMPTIONS'!E7</f>
        <v/>
      </c>
      <c r="D14" s="49">
        <f>'2. UNIT ECONOMICS'!E16</f>
        <v/>
      </c>
      <c r="E14" s="49">
        <f>'3. CORRIDOR BENCHMARKING'!G9</f>
        <v/>
      </c>
      <c r="F14" s="51">
        <f>IF(D14&gt;0.4, "GREEN - RESILIENT", IF(D14&gt;=0.3, "AMBER - COST PRESSURE", "RED"))</f>
        <v/>
      </c>
    </row>
  </sheetData>
  <mergeCells count="4">
    <mergeCell ref="H5:I6"/>
    <mergeCell ref="E5:F6"/>
    <mergeCell ref="K5:L6"/>
    <mergeCell ref="B5:C6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2026-05-24T05:29:23Z</dcterms:created>
  <dcterms:modified xmlns:dcterms="http://purl.org/dc/terms/" xmlns:xsi="http://www.w3.org/2001/XMLSchema-instance" xsi:type="dcterms:W3CDTF">2026-05-24T05:29:23Z</dcterms:modified>
</cp:coreProperties>
</file>