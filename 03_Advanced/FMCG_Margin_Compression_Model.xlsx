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ummary Dashboard" sheetId="2" state="visible" r:id="rId2"/>
    <sheet xmlns:r="http://schemas.openxmlformats.org/officeDocument/2006/relationships" name="Scenario Analysis" sheetId="3" state="visible" r:id="rId3"/>
    <sheet xmlns:r="http://schemas.openxmlformats.org/officeDocument/2006/relationships" name="COGS Waterfall" sheetId="4" state="visible" r:id="rId4"/>
    <sheet xmlns:r="http://schemas.openxmlformats.org/officeDocument/2006/relationships" name="Data Inp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+0.0%;-0.0%;0.0%"/>
    <numFmt numFmtId="167" formatCode="+#,##0;-#,##0;0"/>
  </numFmts>
  <fonts count="1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1F4E78"/>
      <sz val="16"/>
    </font>
    <font>
      <name val="Segoe UI"/>
      <i val="1"/>
      <color rgb="00595959"/>
      <sz val="10"/>
    </font>
    <font>
      <name val="Segoe UI"/>
      <color rgb="00595959"/>
      <sz val="9"/>
    </font>
    <font>
      <name val="Segoe UI"/>
      <b val="1"/>
      <color rgb="001F4E78"/>
      <sz val="13"/>
    </font>
    <font>
      <name val="Segoe UI"/>
      <b val="1"/>
      <color rgb="001F4E78"/>
      <sz val="12"/>
    </font>
    <font>
      <name val="Segoe UI"/>
      <b val="1"/>
      <sz val="10"/>
    </font>
    <font>
      <name val="Segoe UI"/>
      <b val="1"/>
      <color rgb="001F4E78"/>
      <sz val="24"/>
    </font>
    <font>
      <name val="Segoe UI"/>
      <b val="1"/>
      <color rgb="00595959"/>
      <sz val="9"/>
    </font>
    <font>
      <name val="Segoe UI"/>
      <i val="1"/>
      <color rgb="00595959"/>
      <sz val="9"/>
    </font>
    <font>
      <name val="Segoe UI"/>
      <b val="1"/>
      <color rgb="001F4E78"/>
      <sz val="10"/>
    </font>
    <font>
      <name val="Segoe UI"/>
      <i val="1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2F5597"/>
        <bgColor rgb="002F5597"/>
      </patternFill>
    </fill>
    <fill>
      <patternFill patternType="solid">
        <fgColor rgb="00DDEBF7"/>
        <bgColor rgb="00DDEBF7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top style="thin">
        <color rgb="00D9D9D9"/>
      </top>
      <bottom style="double">
        <color rgb="001F4E78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7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1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0" fontId="8" fillId="0" borderId="3" applyAlignment="1" pivotButton="0" quotePrefix="0" xfId="0">
      <alignment horizontal="center" vertical="center"/>
    </xf>
    <xf numFmtId="3" fontId="8" fillId="0" borderId="3" applyAlignment="1" pivotButton="0" quotePrefix="0" xfId="0">
      <alignment horizontal="right" vertical="center"/>
    </xf>
    <xf numFmtId="164" fontId="8" fillId="0" borderId="3" applyAlignment="1" pivotButton="0" quotePrefix="0" xfId="0">
      <alignment horizontal="right" vertical="center"/>
    </xf>
    <xf numFmtId="0" fontId="8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8" fillId="0" borderId="1" applyAlignment="1" pivotButton="0" quotePrefix="0" xfId="0">
      <alignment horizontal="lef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0" fontId="11" fillId="5" borderId="2" applyAlignment="1" pivotButton="0" quotePrefix="0" xfId="0">
      <alignment horizontal="left" vertical="center" wrapText="1"/>
    </xf>
    <xf numFmtId="0" fontId="0" fillId="5" borderId="2" pivotButton="0" quotePrefix="0" xfId="0"/>
    <xf numFmtId="0" fontId="12" fillId="0" borderId="1" pivotButton="0" quotePrefix="0" xfId="0"/>
    <xf numFmtId="164" fontId="13" fillId="0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dxfs count="3">
    <dxf>
      <font>
        <name val="Segoe UI"/>
        <b val="1"/>
        <color rgb="009C0006"/>
        <sz val="10"/>
      </font>
      <fill>
        <patternFill patternType="solid">
          <fgColor rgb="00FFC7CE"/>
          <bgColor rgb="00FFC7CE"/>
        </patternFill>
      </fill>
    </dxf>
    <dxf>
      <font>
        <name val="Segoe UI"/>
        <b val="1"/>
        <color rgb="009C6500"/>
        <sz val="10"/>
      </font>
      <fill>
        <patternFill patternType="solid">
          <fgColor rgb="00FFEB9C"/>
          <bgColor rgb="00FFEB9C"/>
        </patternFill>
      </fill>
    </dxf>
    <dxf>
      <font>
        <name val="Segoe UI"/>
        <b val="1"/>
        <color rgb="00006100"/>
        <sz val="1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FMCG Sector COGS Ratio vs. GPM &amp; A/S Trends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 Dashboard'!F4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Dashboard'!$B$5:$B$10</f>
            </numRef>
          </cat>
          <val>
            <numRef>
              <f>'Summary Dashboard'!$F$5:$F$10</f>
            </numRef>
          </val>
        </ser>
        <ser>
          <idx val="1"/>
          <order val="1"/>
          <tx>
            <strRef>
              <f>'Summary Dashboard'!G4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Dashboard'!$B$5:$B$10</f>
            </numRef>
          </cat>
          <val>
            <numRef>
              <f>'Summary Dashboard'!$G$5:$G$10</f>
            </numRef>
          </val>
        </ser>
        <ser>
          <idx val="2"/>
          <order val="2"/>
          <tx>
            <strRef>
              <f>'Summary Dashboard'!H4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Dashboard'!$B$5:$B$10</f>
            </numRef>
          </cat>
          <val>
            <numRef>
              <f>'Summary Dashboard'!$H$5:$H$10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Percentage Margin / Ratio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Sector Average GPM Walk (2019-2024)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'COGS Waterfall'!C4</f>
            </strRef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cat>
            <numRef>
              <f>'COGS Waterfall'!$B$5:$B$11</f>
            </numRef>
          </cat>
          <val>
            <numRef>
              <f>'COGS Waterfall'!$C$5:$C$11</f>
            </numRef>
          </val>
        </ser>
        <ser>
          <idx val="1"/>
          <order val="1"/>
          <tx>
            <strRef>
              <f>'COGS Waterfall'!D4</f>
            </strRef>
          </tx>
          <spPr>
            <a:solidFill xmlns:a="http://schemas.openxmlformats.org/drawingml/2006/main">
              <a:srgbClr val="FFC7CE"/>
            </a:solidFill>
            <a:ln xmlns:a="http://schemas.openxmlformats.org/drawingml/2006/main">
              <a:prstDash val="solid"/>
            </a:ln>
          </spPr>
          <cat>
            <numRef>
              <f>'COGS Waterfall'!$B$5:$B$11</f>
            </numRef>
          </cat>
          <val>
            <numRef>
              <f>'COGS Waterfall'!$D$5:$D$11</f>
            </numRef>
          </val>
        </ser>
        <ser>
          <idx val="2"/>
          <order val="2"/>
          <tx>
            <strRef>
              <f>'COGS Waterfall'!E4</f>
            </strRef>
          </tx>
          <spPr>
            <a:solidFill xmlns:a="http://schemas.openxmlformats.org/drawingml/2006/main">
              <a:srgbClr val="C6EFCE"/>
            </a:solidFill>
            <a:ln xmlns:a="http://schemas.openxmlformats.org/drawingml/2006/main">
              <a:prstDash val="solid"/>
            </a:ln>
          </spPr>
          <cat>
            <numRef>
              <f>'COGS Waterfall'!$B$5:$B$11</f>
            </numRef>
          </cat>
          <val>
            <numRef>
              <f>'COGS Waterfall'!$E$5:$E$11</f>
            </numRef>
          </val>
        </ser>
        <ser>
          <idx val="3"/>
          <order val="3"/>
          <tx>
            <strRef>
              <f>'COGS Waterfall'!F4</f>
            </strRef>
          </tx>
          <spPr>
            <a:solidFill xmlns:a="http://schemas.openxmlformats.org/drawingml/2006/main">
              <a:srgbClr val="1F4E78"/>
            </a:solidFill>
            <a:ln xmlns:a="http://schemas.openxmlformats.org/drawingml/2006/main">
              <a:prstDash val="solid"/>
            </a:ln>
          </spPr>
          <cat>
            <numRef>
              <f>'COGS Waterfall'!$B$5:$B$11</f>
            </numRef>
          </cat>
          <val>
            <numRef>
              <f>'COGS Waterfall'!$F$5:$F$11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Progression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Gross Profit Margin (GPM)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61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3</row>
      <rowOff>0</rowOff>
    </from>
    <ext cx="61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4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28" customWidth="1" min="3" max="3"/>
    <col width="28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2" ht="25" customHeight="1">
      <c r="B2" s="1" t="inlineStr">
        <is>
          <t>FMCG Sector Margin Compression Model (2019-2024)</t>
        </is>
      </c>
    </row>
    <row r="3" ht="18" customHeight="1">
      <c r="B3" s="2" t="inlineStr">
        <is>
          <t>Professional Commercial Analyst Portfolio Deliverable</t>
        </is>
      </c>
    </row>
    <row r="4" ht="15" customHeight="1">
      <c r="B4" s="3" t="inlineStr">
        <is>
          <t>Author: Rai Abdul Rehman | Date: May 2026 | Focus: Peak Inflation Strategic Response</t>
        </is>
      </c>
    </row>
    <row r="6" ht="22" customHeight="1">
      <c r="B6" s="4" t="inlineStr">
        <is>
          <t>Executive Briefing &amp; Strategic Insights</t>
        </is>
      </c>
    </row>
    <row r="8">
      <c r="B8" s="5" t="inlineStr">
        <is>
          <t>1. SEVERE MARGIN COMPRESSION DRIVEN BY COGS PRESSURE
The Pakistani FMCG sector witnessed unprecedented cost pressure between 2019 and 2024. Average COGS rose from 73.8% in 2019 to a peak of 76.1% in 2022, directly eroding the sector average GPM from 26.2% to a low of 23.9% in 2022. This severe compression was driven by macro-economic shocks, historic PKR devaluation, and supply chain disruptions. Importantly, 2023 saw a dramatic pricing power recovery (GPM spiked to 29.0%) as firms aggressive in price hikes lagged commodity stabilization, before normalizing back to a 26.0% baseline in 2024.</t>
        </is>
      </c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3">
      <c r="B13" s="5" t="inlineStr">
        <is>
          <t>2. STRATEGIC DIVERGENCE IN MARKETING RESPONSE (PROACTIVE VS. COMMODITY-DEFENSIVE)
FMCG firms demonstrated highly divergent strategies to survive cost inflation. Shield Corporation Limited adopted an extremely proactive brand equity defense strategy, maintaining a sector-highest average Advertising-to-Sales (A/S) ratio of 11.6% (exceeding the sector average of 3.77% by 3x) to preserve top-of-mind recall, achieving a resilient average GPM of 26.5%. Conversely, Unity Foods Limited followed a classic commodity-defensive model, spending a razor-thin 0.29% on advertising, which left them exposed with an average GPM of only 9.55% as they operated a high-volume, low-margin business.</t>
        </is>
      </c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8">
      <c r="B18" s="5" t="inlineStr">
        <is>
          <t>3. THE EMPIRICAL 'MISSING LINK': STRATEGY DOMINATES INFLATION
A key value-add of this analysis is the validation of the academic marketing theory under crisis conditions. Contrary to intuitive expectation that high inflation forces sector-wide advertising cuts, empirical regression on this 90-observation dataset proved no statistically significant relationship between inflation (CPI) and advertising-to-sales ratios (empirical β = -0.110, p &gt; .10). This confirms that FMCG advertising spend is not macro-driven, but rather dictated by independent, firm-level strategic choices (brand builder vs. volume vendor) and capital structure constraints.</t>
        </is>
      </c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3">
      <c r="B23" s="7" t="inlineStr">
        <is>
          <t>Strategic Outlier Spotlight (Company Comparison Table)</t>
        </is>
      </c>
    </row>
    <row r="25">
      <c r="B25" s="8" t="inlineStr">
        <is>
          <t>Comparative Entity</t>
        </is>
      </c>
      <c r="C25" s="8" t="inlineStr">
        <is>
          <t>Avg Gross Profit Margin (GPM)</t>
        </is>
      </c>
      <c r="D25" s="8" t="inlineStr">
        <is>
          <t>Avg Advertising-to-Sales (A/S)</t>
        </is>
      </c>
      <c r="E25" s="8" t="inlineStr">
        <is>
          <t>Avg COGS Ratio</t>
        </is>
      </c>
      <c r="F25" s="8" t="inlineStr">
        <is>
          <t>Strategic Classification</t>
        </is>
      </c>
    </row>
    <row r="26">
      <c r="B26" s="9" t="inlineStr">
        <is>
          <t>Sector Average (15 Companies)</t>
        </is>
      </c>
      <c r="C26" s="10">
        <f>AVERAGE('Data Input'!H2:H91)</f>
        <v/>
      </c>
      <c r="D26" s="10">
        <f>AVERAGE('Data Input'!J2:J91)</f>
        <v/>
      </c>
      <c r="E26" s="10">
        <f>AVERAGE('Data Input'!I2:I91)</f>
        <v/>
      </c>
      <c r="F26" s="11" t="inlineStr">
        <is>
          <t>Sector Benchmark</t>
        </is>
      </c>
    </row>
    <row r="27">
      <c r="B27" s="12" t="inlineStr">
        <is>
          <t>Shield Corporation Limited</t>
        </is>
      </c>
      <c r="C27" s="13">
        <f>AVERAGEIFS('Data Input'!H2:H91, 'Data Input'!A2:A91, "shield_corporation_limited")</f>
        <v/>
      </c>
      <c r="D27" s="13">
        <f>AVERAGEIFS('Data Input'!J2:J91, 'Data Input'!A2:A91, "shield_corporation_limited")</f>
        <v/>
      </c>
      <c r="E27" s="13">
        <f>AVERAGEIFS('Data Input'!I2:I91, 'Data Input'!A2:A91, "shield_corporation_limited")</f>
        <v/>
      </c>
      <c r="F27" s="14" t="inlineStr">
        <is>
          <t>Proactive Brand Builder</t>
        </is>
      </c>
    </row>
    <row r="28">
      <c r="B28" s="12" t="inlineStr">
        <is>
          <t>Unity Foods Limited</t>
        </is>
      </c>
      <c r="C28" s="13">
        <f>AVERAGEIFS('Data Input'!H2:H91, 'Data Input'!A2:A91, "unity_foods_limited")</f>
        <v/>
      </c>
      <c r="D28" s="13">
        <f>AVERAGEIFS('Data Input'!J2:J91, 'Data Input'!A2:A91, "unity_foods_limited")</f>
        <v/>
      </c>
      <c r="E28" s="13">
        <f>AVERAGEIFS('Data Input'!I2:I91, 'Data Input'!A2:A91, "unity_foods_limited")</f>
        <v/>
      </c>
      <c r="F28" s="14" t="inlineStr">
        <is>
          <t>Commodity Cost-Leader</t>
        </is>
      </c>
    </row>
    <row r="30">
      <c r="B30" s="7" t="inlineStr">
        <is>
          <t>Model Specifications &amp; Data Scope</t>
        </is>
      </c>
    </row>
    <row r="32">
      <c r="B32" s="15" t="n">
        <v>15</v>
      </c>
      <c r="C32" s="16" t="n"/>
      <c r="E32" s="15" t="inlineStr">
        <is>
          <t>6 Years</t>
        </is>
      </c>
      <c r="F32" s="16" t="n"/>
      <c r="H32" s="15" t="n">
        <v>90</v>
      </c>
      <c r="I32" s="16" t="n"/>
    </row>
    <row r="33">
      <c r="B33" s="16" t="n"/>
      <c r="C33" s="16" t="n"/>
      <c r="E33" s="16" t="n"/>
      <c r="F33" s="16" t="n"/>
      <c r="H33" s="16" t="n"/>
      <c r="I33" s="16" t="n"/>
    </row>
    <row r="34">
      <c r="B34" s="17" t="inlineStr">
        <is>
          <t>Firms Analyzed</t>
        </is>
      </c>
      <c r="E34" s="17" t="inlineStr">
        <is>
          <t>Time Horizon (2019-2024)</t>
        </is>
      </c>
      <c r="H34" s="17" t="inlineStr">
        <is>
          <t>Total Observations</t>
        </is>
      </c>
    </row>
  </sheetData>
  <mergeCells count="6">
    <mergeCell ref="H32:I33"/>
    <mergeCell ref="B13:J16"/>
    <mergeCell ref="B8:J11"/>
    <mergeCell ref="B32:C33"/>
    <mergeCell ref="E32:F33"/>
    <mergeCell ref="B18:J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20" customWidth="1" min="4" max="4"/>
    <col width="20" customWidth="1" min="5" max="5"/>
    <col width="15" customWidth="1" min="6" max="6"/>
    <col width="15" customWidth="1" min="7" max="7"/>
    <col width="15" customWidth="1" min="8" max="8"/>
  </cols>
  <sheetData>
    <row r="2" ht="25" customHeight="1">
      <c r="B2" s="1" t="inlineStr">
        <is>
          <t>Sector Margin Compression Timeline (2019-2024)</t>
        </is>
      </c>
    </row>
    <row r="4" ht="22" customHeight="1">
      <c r="B4" s="18" t="inlineStr">
        <is>
          <t>Year</t>
        </is>
      </c>
      <c r="C4" s="18" t="inlineStr">
        <is>
          <t>Total Revenue (PKR)</t>
        </is>
      </c>
      <c r="D4" s="18" t="inlineStr">
        <is>
          <t>Total COGS (PKR)</t>
        </is>
      </c>
      <c r="E4" s="18" t="inlineStr">
        <is>
          <t>Gross Profit (PKR)</t>
        </is>
      </c>
      <c r="F4" s="18" t="inlineStr">
        <is>
          <t>Avg GPM</t>
        </is>
      </c>
      <c r="G4" s="18" t="inlineStr">
        <is>
          <t>Avg COGS Ratio</t>
        </is>
      </c>
      <c r="H4" s="18" t="inlineStr">
        <is>
          <t>Avg A/S Ratio</t>
        </is>
      </c>
    </row>
    <row r="5" ht="20" customHeight="1">
      <c r="B5" s="19" t="n">
        <v>2019</v>
      </c>
      <c r="C5" s="20">
        <f>SUMIFS('Data Input'!C:C, 'Data Input'!B:B, 2019)</f>
        <v/>
      </c>
      <c r="D5" s="20">
        <f>SUMIFS('Data Input'!D:D, 'Data Input'!B:B, 2019)</f>
        <v/>
      </c>
      <c r="E5" s="20">
        <f>C5-D5</f>
        <v/>
      </c>
      <c r="F5" s="21">
        <f>AVERAGEIFS('Data Input'!H:H, 'Data Input'!B:B, 2019)</f>
        <v/>
      </c>
      <c r="G5" s="22">
        <f>AVERAGEIFS('Data Input'!I:I, 'Data Input'!B:B, 2019)</f>
        <v/>
      </c>
      <c r="H5" s="22">
        <f>AVERAGEIFS('Data Input'!J:J, 'Data Input'!B:B, 2019)</f>
        <v/>
      </c>
    </row>
    <row r="6" ht="20" customHeight="1">
      <c r="B6" s="23" t="n">
        <v>2020</v>
      </c>
      <c r="C6" s="24">
        <f>SUMIFS('Data Input'!C:C, 'Data Input'!B:B, 2020)</f>
        <v/>
      </c>
      <c r="D6" s="24">
        <f>SUMIFS('Data Input'!D:D, 'Data Input'!B:B, 2020)</f>
        <v/>
      </c>
      <c r="E6" s="24">
        <f>C6-D6</f>
        <v/>
      </c>
      <c r="F6" s="21">
        <f>AVERAGEIFS('Data Input'!H:H, 'Data Input'!B:B, 2020)</f>
        <v/>
      </c>
      <c r="G6" s="13">
        <f>AVERAGEIFS('Data Input'!I:I, 'Data Input'!B:B, 2020)</f>
        <v/>
      </c>
      <c r="H6" s="13">
        <f>AVERAGEIFS('Data Input'!J:J, 'Data Input'!B:B, 2020)</f>
        <v/>
      </c>
    </row>
    <row r="7" ht="20" customHeight="1">
      <c r="B7" s="19" t="n">
        <v>2021</v>
      </c>
      <c r="C7" s="20">
        <f>SUMIFS('Data Input'!C:C, 'Data Input'!B:B, 2021)</f>
        <v/>
      </c>
      <c r="D7" s="20">
        <f>SUMIFS('Data Input'!D:D, 'Data Input'!B:B, 2021)</f>
        <v/>
      </c>
      <c r="E7" s="20">
        <f>C7-D7</f>
        <v/>
      </c>
      <c r="F7" s="21">
        <f>AVERAGEIFS('Data Input'!H:H, 'Data Input'!B:B, 2021)</f>
        <v/>
      </c>
      <c r="G7" s="22">
        <f>AVERAGEIFS('Data Input'!I:I, 'Data Input'!B:B, 2021)</f>
        <v/>
      </c>
      <c r="H7" s="22">
        <f>AVERAGEIFS('Data Input'!J:J, 'Data Input'!B:B, 2021)</f>
        <v/>
      </c>
    </row>
    <row r="8" ht="20" customHeight="1">
      <c r="B8" s="23" t="n">
        <v>2022</v>
      </c>
      <c r="C8" s="24">
        <f>SUMIFS('Data Input'!C:C, 'Data Input'!B:B, 2022)</f>
        <v/>
      </c>
      <c r="D8" s="24">
        <f>SUMIFS('Data Input'!D:D, 'Data Input'!B:B, 2022)</f>
        <v/>
      </c>
      <c r="E8" s="24">
        <f>C8-D8</f>
        <v/>
      </c>
      <c r="F8" s="21">
        <f>AVERAGEIFS('Data Input'!H:H, 'Data Input'!B:B, 2022)</f>
        <v/>
      </c>
      <c r="G8" s="13">
        <f>AVERAGEIFS('Data Input'!I:I, 'Data Input'!B:B, 2022)</f>
        <v/>
      </c>
      <c r="H8" s="13">
        <f>AVERAGEIFS('Data Input'!J:J, 'Data Input'!B:B, 2022)</f>
        <v/>
      </c>
    </row>
    <row r="9" ht="20" customHeight="1">
      <c r="B9" s="19" t="n">
        <v>2023</v>
      </c>
      <c r="C9" s="20">
        <f>SUMIFS('Data Input'!C:C, 'Data Input'!B:B, 2023)</f>
        <v/>
      </c>
      <c r="D9" s="20">
        <f>SUMIFS('Data Input'!D:D, 'Data Input'!B:B, 2023)</f>
        <v/>
      </c>
      <c r="E9" s="20">
        <f>C9-D9</f>
        <v/>
      </c>
      <c r="F9" s="21">
        <f>AVERAGEIFS('Data Input'!H:H, 'Data Input'!B:B, 2023)</f>
        <v/>
      </c>
      <c r="G9" s="22">
        <f>AVERAGEIFS('Data Input'!I:I, 'Data Input'!B:B, 2023)</f>
        <v/>
      </c>
      <c r="H9" s="22">
        <f>AVERAGEIFS('Data Input'!J:J, 'Data Input'!B:B, 2023)</f>
        <v/>
      </c>
    </row>
    <row r="10" ht="20" customHeight="1">
      <c r="B10" s="23" t="n">
        <v>2024</v>
      </c>
      <c r="C10" s="24">
        <f>SUMIFS('Data Input'!C:C, 'Data Input'!B:B, 2024)</f>
        <v/>
      </c>
      <c r="D10" s="24">
        <f>SUMIFS('Data Input'!D:D, 'Data Input'!B:B, 2024)</f>
        <v/>
      </c>
      <c r="E10" s="24">
        <f>C10-D10</f>
        <v/>
      </c>
      <c r="F10" s="21">
        <f>AVERAGEIFS('Data Input'!H:H, 'Data Input'!B:B, 2024)</f>
        <v/>
      </c>
      <c r="G10" s="13">
        <f>AVERAGEIFS('Data Input'!I:I, 'Data Input'!B:B, 2024)</f>
        <v/>
      </c>
      <c r="H10" s="13">
        <f>AVERAGEIFS('Data Input'!J:J, 'Data Input'!B:B, 2024)</f>
        <v/>
      </c>
    </row>
    <row r="11" ht="20" customHeight="1">
      <c r="B11" s="25" t="inlineStr">
        <is>
          <t>Sector Mean</t>
        </is>
      </c>
      <c r="C11" s="26">
        <f>AVERAGE(C5:C10)</f>
        <v/>
      </c>
      <c r="D11" s="26">
        <f>AVERAGE(D5:D10)</f>
        <v/>
      </c>
      <c r="E11" s="26">
        <f>AVERAGE(E5:E10)</f>
        <v/>
      </c>
      <c r="F11" s="27">
        <f>AVERAGE(F5:F10)</f>
        <v/>
      </c>
      <c r="G11" s="27">
        <f>AVERAGE(G5:G10)</f>
        <v/>
      </c>
      <c r="H11" s="27">
        <f>AVERAGE(H5:H10)</f>
        <v/>
      </c>
    </row>
  </sheetData>
  <conditionalFormatting sqref="F5:F10">
    <cfRule type="cellIs" priority="1" operator="lessThan" dxfId="0">
      <formula>0.25</formula>
    </cfRule>
    <cfRule type="cellIs" priority="2" operator="between" dxfId="1">
      <formula>0.25</formula>
      <formula>0.30</formula>
    </cfRule>
    <cfRule type="cellIs" priority="3" operator="greaterThan" dxfId="2">
      <formula>0.30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22" customWidth="1" min="3" max="3"/>
    <col width="22" customWidth="1" min="4" max="4"/>
    <col width="16" customWidth="1" min="5" max="5"/>
    <col width="16" customWidth="1" min="6" max="6"/>
    <col width="25" customWidth="1" min="7" max="7"/>
  </cols>
  <sheetData>
    <row r="2" ht="25" customHeight="1">
      <c r="B2" s="1" t="inlineStr">
        <is>
          <t>Sensitivity Analysis: Contribution Margin After Marketing (CMAM)</t>
        </is>
      </c>
    </row>
    <row r="4" ht="20" customHeight="1">
      <c r="B4" s="28" t="inlineStr">
        <is>
          <t>Baseline Metrics (Sector Averages)</t>
        </is>
      </c>
    </row>
    <row r="5">
      <c r="B5" s="29" t="inlineStr">
        <is>
          <t>Sector Average Gross Profit Margin (GPM):</t>
        </is>
      </c>
      <c r="C5" s="30" t="n"/>
      <c r="D5" s="21">
        <f>AVERAGE('Data Input'!H2:H91)</f>
        <v/>
      </c>
    </row>
    <row r="6">
      <c r="B6" s="29" t="inlineStr">
        <is>
          <t>Sector Average Advertising-to-Sales (A/S) Ratio:</t>
        </is>
      </c>
      <c r="C6" s="30" t="n"/>
      <c r="D6" s="21">
        <f>AVERAGE('Data Input'!J2:J91)</f>
        <v/>
      </c>
    </row>
    <row r="7">
      <c r="B7" s="29" t="inlineStr">
        <is>
          <t>Baseline Contribution Margin After Marketing (CMAM):</t>
        </is>
      </c>
      <c r="C7" s="30" t="n"/>
      <c r="D7" s="10">
        <f>D5-D6</f>
        <v/>
      </c>
    </row>
    <row r="9">
      <c r="B9" s="7" t="inlineStr">
        <is>
          <t>Advertising Budget Sensitivity Matrix (Static Revenue)</t>
        </is>
      </c>
    </row>
    <row r="10" ht="22" customHeight="1"/>
    <row r="11">
      <c r="B11" s="8" t="inlineStr">
        <is>
          <t>Scenario</t>
        </is>
      </c>
      <c r="C11" s="8" t="inlineStr">
        <is>
          <t>Change in Advertising</t>
        </is>
      </c>
      <c r="D11" s="8" t="inlineStr">
        <is>
          <t>Ad-to-Sales Ratio</t>
        </is>
      </c>
      <c r="E11" s="8" t="inlineStr">
        <is>
          <t>Model GPM</t>
        </is>
      </c>
      <c r="F11" s="8" t="inlineStr">
        <is>
          <t>CMAM</t>
        </is>
      </c>
      <c r="G11" s="8" t="inlineStr">
        <is>
          <t>Variance from Baseline (bps)</t>
        </is>
      </c>
    </row>
    <row r="12" ht="18" customHeight="1">
      <c r="B12" s="31" t="inlineStr">
        <is>
          <t>Extreme Budget Cut</t>
        </is>
      </c>
      <c r="C12" s="32" t="n">
        <v>-0.3</v>
      </c>
      <c r="D12" s="13">
        <f>$D$6*(1+C12)</f>
        <v/>
      </c>
      <c r="E12" s="13">
        <f>$D$5</f>
        <v/>
      </c>
      <c r="F12" s="21">
        <f>E12-D12</f>
        <v/>
      </c>
      <c r="G12" s="33">
        <f>(F12-$D$7)*10000</f>
        <v/>
      </c>
    </row>
    <row r="13" ht="18" customHeight="1">
      <c r="B13" s="31" t="inlineStr">
        <is>
          <t>Moderate Budget Cut</t>
        </is>
      </c>
      <c r="C13" s="32" t="n">
        <v>-0.2</v>
      </c>
      <c r="D13" s="13">
        <f>$D$6*(1+C13)</f>
        <v/>
      </c>
      <c r="E13" s="13">
        <f>$D$5</f>
        <v/>
      </c>
      <c r="F13" s="21">
        <f>E13-D13</f>
        <v/>
      </c>
      <c r="G13" s="33">
        <f>(F13-$D$7)*10000</f>
        <v/>
      </c>
    </row>
    <row r="14" ht="18" customHeight="1">
      <c r="B14" s="31" t="inlineStr">
        <is>
          <t>Mild Budget Cut</t>
        </is>
      </c>
      <c r="C14" s="32" t="n">
        <v>-0.1</v>
      </c>
      <c r="D14" s="13">
        <f>$D$6*(1+C14)</f>
        <v/>
      </c>
      <c r="E14" s="13">
        <f>$D$5</f>
        <v/>
      </c>
      <c r="F14" s="21">
        <f>E14-D14</f>
        <v/>
      </c>
      <c r="G14" s="33">
        <f>(F14-$D$7)*10000</f>
        <v/>
      </c>
    </row>
    <row r="15" ht="18" customHeight="1">
      <c r="B15" s="31" t="inlineStr">
        <is>
          <t>Baseline (Current Sector)</t>
        </is>
      </c>
      <c r="C15" s="32" t="n">
        <v>0</v>
      </c>
      <c r="D15" s="13">
        <f>$D$6*(1+C15)</f>
        <v/>
      </c>
      <c r="E15" s="13">
        <f>$D$5</f>
        <v/>
      </c>
      <c r="F15" s="10">
        <f>E15-D15</f>
        <v/>
      </c>
      <c r="G15" s="33">
        <f>(F15-$D$7)*10000</f>
        <v/>
      </c>
    </row>
    <row r="16" ht="18" customHeight="1">
      <c r="B16" s="31" t="inlineStr">
        <is>
          <t>Mild Budget Expansion</t>
        </is>
      </c>
      <c r="C16" s="32" t="n">
        <v>0.1</v>
      </c>
      <c r="D16" s="13">
        <f>$D$6*(1+C16)</f>
        <v/>
      </c>
      <c r="E16" s="13">
        <f>$D$5</f>
        <v/>
      </c>
      <c r="F16" s="21">
        <f>E16-D16</f>
        <v/>
      </c>
      <c r="G16" s="33">
        <f>(F16-$D$7)*10000</f>
        <v/>
      </c>
    </row>
    <row r="17" ht="18" customHeight="1">
      <c r="B17" s="31" t="inlineStr">
        <is>
          <t>Moderate Budget Expansion</t>
        </is>
      </c>
      <c r="C17" s="32" t="n">
        <v>0.2</v>
      </c>
      <c r="D17" s="13">
        <f>$D$6*(1+C17)</f>
        <v/>
      </c>
      <c r="E17" s="13">
        <f>$D$5</f>
        <v/>
      </c>
      <c r="F17" s="21">
        <f>E17-D17</f>
        <v/>
      </c>
      <c r="G17" s="33">
        <f>(F17-$D$7)*10000</f>
        <v/>
      </c>
    </row>
    <row r="18" ht="18" customHeight="1">
      <c r="B18" s="31" t="inlineStr">
        <is>
          <t>Extreme Budget Expansion</t>
        </is>
      </c>
      <c r="C18" s="32" t="n">
        <v>0.3</v>
      </c>
      <c r="D18" s="13">
        <f>$D$6*(1+C18)</f>
        <v/>
      </c>
      <c r="E18" s="13">
        <f>$D$5</f>
        <v/>
      </c>
      <c r="F18" s="21">
        <f>E18-D18</f>
        <v/>
      </c>
      <c r="G18" s="33">
        <f>(F18-$D$7)*10000</f>
        <v/>
      </c>
    </row>
    <row r="21">
      <c r="B21" s="34" t="inlineStr">
        <is>
          <t>Note on Empirical Findings vs. Scenario Modeling:
The Scenario Analysis above represents sensitivity modeling based on standard financial planning assumptions (e.g., assessing the linear cost erosion of marketing expenditures on the Contribution Margin After Marketing - CMAM).
However, empirical regression analysis conducted on this specific 90-observation dataset reveals that the actual relationship between advertising spend and revenue is not statistically significant (empirical β = -0.110, p &gt; .10), confirming that macro-economic conditions during the peak inflation crisis did not result in a uniform industry-wide advertising-to-sales correlation. In reality, firm-level strategic positioning (such as Shield Corp's brand defense vs. Unity Foods' commodity cost-leadership) dominated macro forces. Therefore, ad budget expansion does not empirically guarantee revenue growth or margin degradation within this market sample.</t>
        </is>
      </c>
      <c r="C21" s="35" t="n"/>
      <c r="D21" s="35" t="n"/>
      <c r="E21" s="35" t="n"/>
      <c r="F21" s="35" t="n"/>
      <c r="G21" s="35" t="n"/>
    </row>
    <row r="22">
      <c r="B22" s="35" t="n"/>
      <c r="C22" s="35" t="n"/>
      <c r="D22" s="35" t="n"/>
      <c r="E22" s="35" t="n"/>
      <c r="F22" s="35" t="n"/>
      <c r="G22" s="35" t="n"/>
    </row>
    <row r="23">
      <c r="B23" s="35" t="n"/>
      <c r="C23" s="35" t="n"/>
      <c r="D23" s="35" t="n"/>
      <c r="E23" s="35" t="n"/>
      <c r="F23" s="35" t="n"/>
      <c r="G23" s="35" t="n"/>
    </row>
    <row r="24">
      <c r="B24" s="35" t="n"/>
      <c r="C24" s="35" t="n"/>
      <c r="D24" s="35" t="n"/>
      <c r="E24" s="35" t="n"/>
      <c r="F24" s="35" t="n"/>
      <c r="G24" s="35" t="n"/>
    </row>
    <row r="25">
      <c r="B25" s="35" t="n"/>
      <c r="C25" s="35" t="n"/>
      <c r="D25" s="35" t="n"/>
      <c r="E25" s="35" t="n"/>
      <c r="F25" s="35" t="n"/>
      <c r="G25" s="35" t="n"/>
    </row>
    <row r="26">
      <c r="B26" s="35" t="n"/>
      <c r="C26" s="35" t="n"/>
      <c r="D26" s="35" t="n"/>
      <c r="E26" s="35" t="n"/>
      <c r="F26" s="35" t="n"/>
      <c r="G26" s="35" t="n"/>
    </row>
  </sheetData>
  <mergeCells count="1">
    <mergeCell ref="B21:G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1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22" customWidth="1" min="4" max="4"/>
    <col width="22" customWidth="1" min="5" max="5"/>
    <col width="18" customWidth="1" min="6" max="6"/>
    <col width="16" customWidth="1" min="8" max="8"/>
  </cols>
  <sheetData>
    <row r="2" ht="25" customHeight="1">
      <c r="B2" s="1" t="inlineStr">
        <is>
          <t>Waterfall Analysis: Gross Margin Erosion &amp; Recovery Walk</t>
        </is>
      </c>
    </row>
    <row r="4" ht="22" customHeight="1">
      <c r="B4" s="18" t="inlineStr">
        <is>
          <t>GPM Progression Step</t>
        </is>
      </c>
      <c r="C4" s="18" t="inlineStr">
        <is>
          <t>Base (Invisible)</t>
        </is>
      </c>
      <c r="D4" s="18" t="inlineStr">
        <is>
          <t>Erosion (COGS Increase)</t>
        </is>
      </c>
      <c r="E4" s="18" t="inlineStr">
        <is>
          <t>Recovery (Pricing Power)</t>
        </is>
      </c>
      <c r="F4" s="18" t="inlineStr">
        <is>
          <t>Pillars (Endpoint)</t>
        </is>
      </c>
      <c r="H4" s="36" t="inlineStr">
        <is>
          <t>Actual GPM Ref</t>
        </is>
      </c>
    </row>
    <row r="5" ht="20" customHeight="1">
      <c r="B5" s="31" t="inlineStr">
        <is>
          <t>2019 GPM (Start)</t>
        </is>
      </c>
      <c r="C5" s="13" t="n">
        <v>0</v>
      </c>
      <c r="D5" s="13" t="n">
        <v>0</v>
      </c>
      <c r="E5" s="13" t="n">
        <v>0</v>
      </c>
      <c r="F5" s="10">
        <f>H5</f>
        <v/>
      </c>
      <c r="H5" s="37">
        <f>'Summary Dashboard'!F5</f>
        <v/>
      </c>
    </row>
    <row r="6" ht="20" customHeight="1">
      <c r="B6" s="31" t="inlineStr">
        <is>
          <t>2020 COGS Pressure</t>
        </is>
      </c>
      <c r="C6" s="13">
        <f>MIN(H6, H5)</f>
        <v/>
      </c>
      <c r="D6" s="13">
        <f>IF(H6 &lt; H5, H5 - H6, 0)</f>
        <v/>
      </c>
      <c r="E6" s="13">
        <f>IF(H6 &gt; H5, H6 - H5, 0)</f>
        <v/>
      </c>
      <c r="F6" s="13" t="n">
        <v>0</v>
      </c>
      <c r="H6" s="37">
        <f>'Summary Dashboard'!F6</f>
        <v/>
      </c>
    </row>
    <row r="7" ht="20" customHeight="1">
      <c r="B7" s="31" t="inlineStr">
        <is>
          <t>2021 Margin Recovery</t>
        </is>
      </c>
      <c r="C7" s="13">
        <f>MIN(H7, H6)</f>
        <v/>
      </c>
      <c r="D7" s="13">
        <f>IF(H7 &lt; H6, H6 - H7, 0)</f>
        <v/>
      </c>
      <c r="E7" s="13">
        <f>IF(H7 &gt; H6, H7 - H6, 0)</f>
        <v/>
      </c>
      <c r="F7" s="13" t="n">
        <v>0</v>
      </c>
      <c r="H7" s="37">
        <f>'Summary Dashboard'!F7</f>
        <v/>
      </c>
    </row>
    <row r="8" ht="20" customHeight="1">
      <c r="B8" s="31" t="inlineStr">
        <is>
          <t>2022 Peak Inflation COGS</t>
        </is>
      </c>
      <c r="C8" s="13">
        <f>MIN(H8, H7)</f>
        <v/>
      </c>
      <c r="D8" s="13">
        <f>IF(H8 &lt; H7, H7 - H8, 0)</f>
        <v/>
      </c>
      <c r="E8" s="13">
        <f>IF(H8 &gt; H7, H8 - H7, 0)</f>
        <v/>
      </c>
      <c r="F8" s="13" t="n">
        <v>0</v>
      </c>
      <c r="H8" s="37">
        <f>'Summary Dashboard'!F8</f>
        <v/>
      </c>
    </row>
    <row r="9" ht="20" customHeight="1">
      <c r="B9" s="31" t="inlineStr">
        <is>
          <t>2023 Pricing Power Spike</t>
        </is>
      </c>
      <c r="C9" s="13">
        <f>MIN(H9, H8)</f>
        <v/>
      </c>
      <c r="D9" s="13">
        <f>IF(H9 &lt; H8, H8 - H9, 0)</f>
        <v/>
      </c>
      <c r="E9" s="13">
        <f>IF(H9 &gt; H8, H9 - H8, 0)</f>
        <v/>
      </c>
      <c r="F9" s="13" t="n">
        <v>0</v>
      </c>
      <c r="H9" s="37">
        <f>'Summary Dashboard'!F9</f>
        <v/>
      </c>
    </row>
    <row r="10" ht="20" customHeight="1">
      <c r="B10" s="31" t="inlineStr">
        <is>
          <t>2024 Margin Normalization</t>
        </is>
      </c>
      <c r="C10" s="13">
        <f>MIN(H10, H9)</f>
        <v/>
      </c>
      <c r="D10" s="13">
        <f>IF(H10 &lt; H9, H9 - H10, 0)</f>
        <v/>
      </c>
      <c r="E10" s="13">
        <f>IF(H10 &gt; H9, H10 - H9, 0)</f>
        <v/>
      </c>
      <c r="F10" s="13" t="n">
        <v>0</v>
      </c>
      <c r="H10" s="37">
        <f>'Summary Dashboard'!F10</f>
        <v/>
      </c>
    </row>
    <row r="11" ht="20" customHeight="1">
      <c r="B11" s="31" t="inlineStr">
        <is>
          <t>2024 GPM (End)</t>
        </is>
      </c>
      <c r="C11" s="13" t="n">
        <v>0</v>
      </c>
      <c r="D11" s="13" t="n">
        <v>0</v>
      </c>
      <c r="E11" s="13" t="n">
        <v>0</v>
      </c>
      <c r="F11" s="10">
        <f>H11</f>
        <v/>
      </c>
      <c r="H11" s="37">
        <f>'Summary Dashboard'!F10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28" customHeight="1">
      <c r="A1" s="38" t="inlineStr">
        <is>
          <t>firm_name</t>
        </is>
      </c>
      <c r="B1" s="38" t="inlineStr">
        <is>
          <t>year</t>
        </is>
      </c>
      <c r="C1" s="38" t="inlineStr">
        <is>
          <t>revenue</t>
        </is>
      </c>
      <c r="D1" s="38" t="inlineStr">
        <is>
          <t>cogs</t>
        </is>
      </c>
      <c r="E1" s="38" t="inlineStr">
        <is>
          <t>advertising</t>
        </is>
      </c>
      <c r="F1" s="38" t="inlineStr">
        <is>
          <t>ebit</t>
        </is>
      </c>
      <c r="G1" s="38" t="inlineStr">
        <is>
          <t>finance_costs</t>
        </is>
      </c>
      <c r="H1" s="38" t="inlineStr">
        <is>
          <t>gpm</t>
        </is>
      </c>
      <c r="I1" s="38" t="inlineStr">
        <is>
          <t>cogs_ratio</t>
        </is>
      </c>
      <c r="J1" s="38" t="inlineStr">
        <is>
          <t>as_ratio</t>
        </is>
      </c>
      <c r="K1" s="38" t="inlineStr">
        <is>
          <t>icr</t>
        </is>
      </c>
      <c r="L1" s="38" t="inlineStr">
        <is>
          <t>cpi</t>
        </is>
      </c>
      <c r="M1" s="38" t="inlineStr">
        <is>
          <t>sbp_rate</t>
        </is>
      </c>
    </row>
    <row r="2" ht="18" customHeight="1">
      <c r="A2" s="12" t="inlineStr">
        <is>
          <t>mitchells_fruit_farms_limited</t>
        </is>
      </c>
      <c r="B2" s="39" t="n">
        <v>2019</v>
      </c>
      <c r="C2" s="24" t="n">
        <v>1987552095</v>
      </c>
      <c r="D2" s="24" t="n">
        <v>1553138999</v>
      </c>
      <c r="E2" s="24" t="n">
        <v>25943230</v>
      </c>
      <c r="F2" s="24" t="n">
        <v>26777465</v>
      </c>
      <c r="G2" s="24" t="n">
        <v>78300349</v>
      </c>
      <c r="H2" s="13" t="n">
        <v>0.2186</v>
      </c>
      <c r="I2" s="13" t="n">
        <v>0.7814</v>
      </c>
      <c r="J2" s="13" t="n">
        <v>0.0131</v>
      </c>
      <c r="K2" s="40" t="n">
        <v>0.342</v>
      </c>
      <c r="L2" s="41" t="n">
        <v>10.57836180045548</v>
      </c>
      <c r="M2" s="41" t="n">
        <v>11.99041095890411</v>
      </c>
    </row>
    <row r="3" ht="18" customHeight="1">
      <c r="A3" s="12" t="inlineStr">
        <is>
          <t>mitchells_fruit_farms_limited</t>
        </is>
      </c>
      <c r="B3" s="39" t="n">
        <v>2020</v>
      </c>
      <c r="C3" s="24" t="n">
        <v>2112492576</v>
      </c>
      <c r="D3" s="24" t="n">
        <v>1670069764</v>
      </c>
      <c r="E3" s="24" t="n">
        <v>12995746</v>
      </c>
      <c r="F3" s="24" t="n">
        <v>47016162</v>
      </c>
      <c r="G3" s="24" t="n">
        <v>74272355</v>
      </c>
      <c r="H3" s="13" t="n">
        <v>0.2094</v>
      </c>
      <c r="I3" s="13" t="n">
        <v>0.7906</v>
      </c>
      <c r="J3" s="13" t="n">
        <v>0.0062</v>
      </c>
      <c r="K3" s="40" t="n">
        <v>0.633</v>
      </c>
      <c r="L3" s="41" t="n">
        <v>9.739993138981546</v>
      </c>
      <c r="M3" s="41" t="n">
        <v>8.936475409836065</v>
      </c>
    </row>
    <row r="4" ht="18" customHeight="1">
      <c r="A4" s="12" t="inlineStr">
        <is>
          <t>mitchells_fruit_farms_limited</t>
        </is>
      </c>
      <c r="B4" s="39" t="n">
        <v>2021</v>
      </c>
      <c r="C4" s="24" t="n">
        <v>2210620000</v>
      </c>
      <c r="D4" s="24" t="n">
        <v>1721280000</v>
      </c>
      <c r="E4" s="24" t="n">
        <v>24019000</v>
      </c>
      <c r="F4" s="24" t="n">
        <v>67426000</v>
      </c>
      <c r="G4" s="24" t="n">
        <v>25631000</v>
      </c>
      <c r="H4" s="13" t="n">
        <v>0.2214</v>
      </c>
      <c r="I4" s="13" t="n">
        <v>0.7786</v>
      </c>
      <c r="J4" s="13" t="n">
        <v>0.0109</v>
      </c>
      <c r="K4" s="40" t="n">
        <v>2.6306</v>
      </c>
      <c r="L4" s="41" t="n">
        <v>9.49621056124947</v>
      </c>
      <c r="M4" s="41" t="n">
        <v>7.280821917808219</v>
      </c>
    </row>
    <row r="5" ht="18" customHeight="1">
      <c r="A5" s="12" t="inlineStr">
        <is>
          <t>mitchells_fruit_farms_limited</t>
        </is>
      </c>
      <c r="B5" s="39" t="n">
        <v>2022</v>
      </c>
      <c r="C5" s="24" t="n">
        <v>2489291011</v>
      </c>
      <c r="D5" s="24" t="n">
        <v>2295470632</v>
      </c>
      <c r="E5" s="24" t="n">
        <v>179515917</v>
      </c>
      <c r="F5" s="24" t="n">
        <v>-597192213</v>
      </c>
      <c r="G5" s="24" t="n">
        <v>36980631</v>
      </c>
      <c r="H5" s="13" t="n">
        <v>0.0779</v>
      </c>
      <c r="I5" s="13" t="n">
        <v>0.9221</v>
      </c>
      <c r="J5" s="13" t="n">
        <v>0.0721</v>
      </c>
      <c r="K5" s="40" t="n">
        <v>-16.1488</v>
      </c>
      <c r="L5" s="41" t="n">
        <v>19.87385996466555</v>
      </c>
      <c r="M5" s="41" t="n">
        <v>11.99109589041096</v>
      </c>
    </row>
    <row r="6" ht="18" customHeight="1">
      <c r="A6" s="12" t="inlineStr">
        <is>
          <t>mitchells_fruit_farms_limited</t>
        </is>
      </c>
      <c r="B6" s="39" t="n">
        <v>2023</v>
      </c>
      <c r="C6" s="24" t="n">
        <v>2724930890</v>
      </c>
      <c r="D6" s="24" t="n">
        <v>2076814684</v>
      </c>
      <c r="E6" s="24" t="n">
        <v>33416934</v>
      </c>
      <c r="F6" s="24" t="n">
        <v>15439408</v>
      </c>
      <c r="G6" s="24" t="n">
        <v>85083157</v>
      </c>
      <c r="H6" s="13" t="n">
        <v>0.2379</v>
      </c>
      <c r="I6" s="13" t="n">
        <v>0.7628</v>
      </c>
      <c r="J6" s="13" t="n">
        <v>0.0123</v>
      </c>
      <c r="K6" s="40" t="n">
        <v>0.181</v>
      </c>
      <c r="L6" s="41" t="n">
        <v>30.76812806570052</v>
      </c>
      <c r="M6" s="41" t="n">
        <v>20.61369863013699</v>
      </c>
    </row>
    <row r="7" ht="18" customHeight="1">
      <c r="A7" s="12" t="inlineStr">
        <is>
          <t>mitchells_fruit_farms_limited</t>
        </is>
      </c>
      <c r="B7" s="39" t="n">
        <v>2024</v>
      </c>
      <c r="C7" s="24" t="n">
        <v>2642163811</v>
      </c>
      <c r="D7" s="24" t="n">
        <v>1852996860</v>
      </c>
      <c r="E7" s="24" t="n">
        <v>1902336</v>
      </c>
      <c r="F7" s="24" t="n">
        <v>270527955</v>
      </c>
      <c r="G7" s="24" t="n">
        <v>96186801</v>
      </c>
      <c r="H7" s="13" t="n">
        <v>0.2986</v>
      </c>
      <c r="I7" s="13" t="n">
        <v>0.7013</v>
      </c>
      <c r="J7" s="13" t="n">
        <v>0.0007</v>
      </c>
      <c r="K7" s="40" t="n">
        <v>2.813</v>
      </c>
      <c r="L7" s="41" t="n">
        <v>12.63253185304518</v>
      </c>
      <c r="M7" s="41" t="n">
        <v>18.96174863387978</v>
      </c>
    </row>
    <row r="8" ht="18" customHeight="1">
      <c r="A8" s="12" t="inlineStr">
        <is>
          <t>colgate_palmolive_pakistan_ltd</t>
        </is>
      </c>
      <c r="B8" s="39" t="n">
        <v>2019</v>
      </c>
      <c r="C8" s="24" t="n">
        <v>48718781000</v>
      </c>
      <c r="D8" s="24" t="n">
        <v>26490454000</v>
      </c>
      <c r="E8" s="24" t="n">
        <v>2365195000</v>
      </c>
      <c r="F8" s="24" t="n">
        <v>5002686000</v>
      </c>
      <c r="G8" s="24" t="n">
        <v>38496000</v>
      </c>
      <c r="H8" s="13" t="n">
        <v>0.4563</v>
      </c>
      <c r="I8" s="13" t="n">
        <v>0.5438</v>
      </c>
      <c r="J8" s="13" t="n">
        <v>0.0485</v>
      </c>
      <c r="K8" s="40" t="n">
        <v>129.965</v>
      </c>
      <c r="L8" s="41" t="n">
        <v>10.57836180045548</v>
      </c>
      <c r="M8" s="41" t="n">
        <v>11.99041095890411</v>
      </c>
    </row>
    <row r="9" ht="18" customHeight="1">
      <c r="A9" s="12" t="inlineStr">
        <is>
          <t>colgate_palmolive_pakistan_ltd</t>
        </is>
      </c>
      <c r="B9" s="39" t="n">
        <v>2020</v>
      </c>
      <c r="C9" s="24" t="n">
        <v>43530322000</v>
      </c>
      <c r="D9" s="24" t="n">
        <v>30912914000</v>
      </c>
      <c r="E9" s="24" t="n">
        <v>2278060000</v>
      </c>
      <c r="F9" s="24" t="n">
        <v>6807580000</v>
      </c>
      <c r="G9" s="24" t="n">
        <v>95813000</v>
      </c>
      <c r="H9" s="13" t="n">
        <v>0.2899</v>
      </c>
      <c r="I9" s="13" t="n">
        <v>0.7101</v>
      </c>
      <c r="J9" s="13" t="n">
        <v>0.0523</v>
      </c>
      <c r="K9" s="40" t="n">
        <v>71.04900000000001</v>
      </c>
      <c r="L9" s="41" t="n">
        <v>9.739993138981546</v>
      </c>
      <c r="M9" s="41" t="n">
        <v>8.936475409836065</v>
      </c>
    </row>
    <row r="10" ht="18" customHeight="1">
      <c r="A10" s="12" t="inlineStr">
        <is>
          <t>colgate_palmolive_pakistan_ltd</t>
        </is>
      </c>
      <c r="B10" s="39" t="n">
        <v>2021</v>
      </c>
      <c r="C10" s="24" t="n">
        <v>67567680000</v>
      </c>
      <c r="D10" s="24" t="n">
        <v>35715642000</v>
      </c>
      <c r="E10" s="24" t="n">
        <v>2821256000</v>
      </c>
      <c r="F10" s="24" t="n">
        <v>8080848000</v>
      </c>
      <c r="G10" s="24" t="n">
        <v>118175000</v>
      </c>
      <c r="H10" s="13" t="n">
        <v>0.4714</v>
      </c>
      <c r="I10" s="13" t="n">
        <v>0.5286</v>
      </c>
      <c r="J10" s="13" t="n">
        <v>0.0418</v>
      </c>
      <c r="K10" s="40" t="n">
        <v>68.379</v>
      </c>
      <c r="L10" s="41" t="n">
        <v>9.49621056124947</v>
      </c>
      <c r="M10" s="41" t="n">
        <v>7.280821917808219</v>
      </c>
    </row>
    <row r="11" ht="18" customHeight="1">
      <c r="A11" s="12" t="inlineStr">
        <is>
          <t>colgate_palmolive_pakistan_ltd</t>
        </is>
      </c>
      <c r="B11" s="39" t="n">
        <v>2022</v>
      </c>
      <c r="C11" s="24" t="n">
        <v>62330226000</v>
      </c>
      <c r="D11" s="24" t="n">
        <v>46288481000</v>
      </c>
      <c r="E11" s="24" t="n">
        <v>2632780000</v>
      </c>
      <c r="F11" s="24" t="n">
        <v>8864832000</v>
      </c>
      <c r="G11" s="24" t="n">
        <v>142810000</v>
      </c>
      <c r="H11" s="13" t="n">
        <v>0.2574</v>
      </c>
      <c r="I11" s="13" t="n">
        <v>0.7427</v>
      </c>
      <c r="J11" s="13" t="n">
        <v>0.0422</v>
      </c>
      <c r="K11" s="40" t="n">
        <v>62.074</v>
      </c>
      <c r="L11" s="41" t="n">
        <v>19.87385996466555</v>
      </c>
      <c r="M11" s="41" t="n">
        <v>11.99109589041096</v>
      </c>
    </row>
    <row r="12" ht="18" customHeight="1">
      <c r="A12" s="12" t="inlineStr">
        <is>
          <t>colgate_palmolive_pakistan_ltd</t>
        </is>
      </c>
      <c r="B12" s="39" t="n">
        <v>2023</v>
      </c>
      <c r="C12" s="24" t="n">
        <v>91459504000</v>
      </c>
      <c r="D12" s="24" t="n">
        <v>65360062000</v>
      </c>
      <c r="E12" s="24" t="n">
        <v>3291302000</v>
      </c>
      <c r="F12" s="24" t="n">
        <v>16684618000</v>
      </c>
      <c r="G12" s="24" t="n">
        <v>150682000</v>
      </c>
      <c r="H12" s="13" t="n">
        <v>0.2854</v>
      </c>
      <c r="I12" s="13" t="n">
        <v>0.7146</v>
      </c>
      <c r="J12" s="13" t="n">
        <v>0.036</v>
      </c>
      <c r="K12" s="40" t="n">
        <v>110.7203</v>
      </c>
      <c r="L12" s="41" t="n">
        <v>30.76812806570052</v>
      </c>
      <c r="M12" s="41" t="n">
        <v>20.61369863013699</v>
      </c>
    </row>
    <row r="13" ht="18" customHeight="1">
      <c r="A13" s="12" t="inlineStr">
        <is>
          <t>colgate_palmolive_pakistan_ltd</t>
        </is>
      </c>
      <c r="B13" s="39" t="n">
        <v>2024</v>
      </c>
      <c r="C13" s="24" t="n">
        <v>113230777000</v>
      </c>
      <c r="D13" s="24" t="n">
        <v>76338286000</v>
      </c>
      <c r="E13" s="24" t="n">
        <v>4209973000</v>
      </c>
      <c r="F13" s="24" t="n">
        <v>27799569000</v>
      </c>
      <c r="G13" s="24" t="n">
        <v>165476000</v>
      </c>
      <c r="H13" s="13" t="n">
        <v>0.3258</v>
      </c>
      <c r="I13" s="13" t="n">
        <v>0.6742</v>
      </c>
      <c r="J13" s="13" t="n">
        <v>0.0372</v>
      </c>
      <c r="K13" s="40" t="n">
        <v>168.0937</v>
      </c>
      <c r="L13" s="41" t="n">
        <v>12.63253185304518</v>
      </c>
      <c r="M13" s="41" t="n">
        <v>18.96174863387978</v>
      </c>
    </row>
    <row r="14" ht="18" customHeight="1">
      <c r="A14" s="12" t="inlineStr">
        <is>
          <t>frieslandcampina_engro_pakistan_limited</t>
        </is>
      </c>
      <c r="B14" s="39" t="n">
        <v>2019</v>
      </c>
      <c r="C14" s="24" t="n">
        <v>38857336000</v>
      </c>
      <c r="D14" s="24" t="n">
        <v>33687049000</v>
      </c>
      <c r="E14" s="24" t="n">
        <v>1091329000</v>
      </c>
      <c r="F14" s="24" t="n">
        <v>121219000</v>
      </c>
      <c r="G14" s="24" t="n">
        <v>1221574000</v>
      </c>
      <c r="H14" s="13" t="n">
        <v>0.1331</v>
      </c>
      <c r="I14" s="13" t="n">
        <v>0.867</v>
      </c>
      <c r="J14" s="13" t="n">
        <v>0.0281</v>
      </c>
      <c r="K14" s="40" t="n">
        <v>0.0992</v>
      </c>
      <c r="L14" s="41" t="n">
        <v>10.57836180045548</v>
      </c>
      <c r="M14" s="41" t="n">
        <v>11.99041095890411</v>
      </c>
    </row>
    <row r="15" ht="18" customHeight="1">
      <c r="A15" s="12" t="inlineStr">
        <is>
          <t>frieslandcampina_engro_pakistan_limited</t>
        </is>
      </c>
      <c r="B15" s="39" t="n">
        <v>2020</v>
      </c>
      <c r="C15" s="24" t="n">
        <v>44155023000</v>
      </c>
      <c r="D15" s="24" t="n">
        <v>38202175000</v>
      </c>
      <c r="E15" s="24" t="n">
        <v>1186196000</v>
      </c>
      <c r="F15" s="24" t="n">
        <v>1506520000</v>
      </c>
      <c r="G15" s="24" t="n">
        <v>1238840000</v>
      </c>
      <c r="H15" s="13" t="n">
        <v>0.1348</v>
      </c>
      <c r="I15" s="13" t="n">
        <v>0.8651</v>
      </c>
      <c r="J15" s="13" t="n">
        <v>0.0269</v>
      </c>
      <c r="K15" s="40" t="n">
        <v>1.2161</v>
      </c>
      <c r="L15" s="41" t="n">
        <v>9.739993138981546</v>
      </c>
      <c r="M15" s="41" t="n">
        <v>8.936475409836065</v>
      </c>
    </row>
    <row r="16" ht="18" customHeight="1">
      <c r="A16" s="12" t="inlineStr">
        <is>
          <t>frieslandcampina_engro_pakistan_limited</t>
        </is>
      </c>
      <c r="B16" s="39" t="n">
        <v>2021</v>
      </c>
      <c r="C16" s="24" t="n">
        <v>52094197000</v>
      </c>
      <c r="D16" s="24" t="n">
        <v>43256759000</v>
      </c>
      <c r="E16" s="24" t="n">
        <v>1636401000</v>
      </c>
      <c r="F16" s="24" t="n">
        <v>3441763000</v>
      </c>
      <c r="G16" s="24" t="n">
        <v>861374000</v>
      </c>
      <c r="H16" s="13" t="n">
        <v>0.1697</v>
      </c>
      <c r="I16" s="13" t="n">
        <v>0.8304</v>
      </c>
      <c r="J16" s="13" t="n">
        <v>0.0314</v>
      </c>
      <c r="K16" s="40" t="n">
        <v>3.9956</v>
      </c>
      <c r="L16" s="41" t="n">
        <v>9.49621056124947</v>
      </c>
      <c r="M16" s="41" t="n">
        <v>7.280821917808219</v>
      </c>
    </row>
    <row r="17" ht="18" customHeight="1">
      <c r="A17" s="12" t="inlineStr">
        <is>
          <t>frieslandcampina_engro_pakistan_limited</t>
        </is>
      </c>
      <c r="B17" s="39" t="n">
        <v>2022</v>
      </c>
      <c r="C17" s="24" t="n">
        <v>73473687000</v>
      </c>
      <c r="D17" s="24" t="n">
        <v>61365299000</v>
      </c>
      <c r="E17" s="24" t="n">
        <v>2042050000</v>
      </c>
      <c r="F17" s="24" t="n">
        <v>5330781000</v>
      </c>
      <c r="G17" s="24" t="n">
        <v>1379787000</v>
      </c>
      <c r="H17" s="13" t="n">
        <v>0.1648</v>
      </c>
      <c r="I17" s="13" t="n">
        <v>0.8352000000000001</v>
      </c>
      <c r="J17" s="13" t="n">
        <v>0.0278</v>
      </c>
      <c r="K17" s="40" t="n">
        <v>3.863</v>
      </c>
      <c r="L17" s="41" t="n">
        <v>19.87385996466555</v>
      </c>
      <c r="M17" s="41" t="n">
        <v>11.99109589041096</v>
      </c>
    </row>
    <row r="18" ht="18" customHeight="1">
      <c r="A18" s="12" t="inlineStr">
        <is>
          <t>frieslandcampina_engro_pakistan_limited</t>
        </is>
      </c>
      <c r="B18" s="39" t="n">
        <v>2023</v>
      </c>
      <c r="C18" s="24" t="n">
        <v>100235403000</v>
      </c>
      <c r="D18" s="24" t="n">
        <v>85826661000</v>
      </c>
      <c r="E18" s="24" t="n">
        <v>2523695000</v>
      </c>
      <c r="F18" s="24" t="n">
        <v>6117375000</v>
      </c>
      <c r="G18" s="24" t="n">
        <v>3126988000</v>
      </c>
      <c r="H18" s="13" t="n">
        <v>0.1438</v>
      </c>
      <c r="I18" s="13" t="n">
        <v>0.8563</v>
      </c>
      <c r="J18" s="13" t="n">
        <v>0.0252</v>
      </c>
      <c r="K18" s="40" t="n">
        <v>1.956</v>
      </c>
      <c r="L18" s="41" t="n">
        <v>30.76812806570052</v>
      </c>
      <c r="M18" s="41" t="n">
        <v>20.61369863013699</v>
      </c>
    </row>
    <row r="19" ht="18" customHeight="1">
      <c r="A19" s="12" t="inlineStr">
        <is>
          <t>frieslandcampina_engro_pakistan_limited</t>
        </is>
      </c>
      <c r="B19" s="39" t="n">
        <v>2024</v>
      </c>
      <c r="C19" s="24" t="n">
        <v>107051450000</v>
      </c>
      <c r="D19" s="24" t="n">
        <v>90023807000</v>
      </c>
      <c r="E19" s="24" t="n">
        <v>2338291000</v>
      </c>
      <c r="F19" s="24" t="n">
        <v>6834741000</v>
      </c>
      <c r="G19" s="24" t="n">
        <v>3259327000</v>
      </c>
      <c r="H19" s="13" t="n">
        <v>0.1591</v>
      </c>
      <c r="I19" s="13" t="n">
        <v>0.8409</v>
      </c>
      <c r="J19" s="13" t="n">
        <v>0.0218</v>
      </c>
      <c r="K19" s="40" t="n">
        <v>2.097</v>
      </c>
      <c r="L19" s="41" t="n">
        <v>12.63253185304518</v>
      </c>
      <c r="M19" s="41" t="n">
        <v>18.96174863387978</v>
      </c>
    </row>
    <row r="20" ht="18" customHeight="1">
      <c r="A20" s="12" t="inlineStr">
        <is>
          <t>nestle_pakistan_limited</t>
        </is>
      </c>
      <c r="B20" s="39" t="n">
        <v>2019</v>
      </c>
      <c r="C20" s="24" t="n">
        <v>115962473000</v>
      </c>
      <c r="D20" s="24" t="n">
        <v>82613501000</v>
      </c>
      <c r="E20" s="24" t="n">
        <v>5058655000</v>
      </c>
      <c r="F20" s="24" t="n">
        <v>15024753000</v>
      </c>
      <c r="G20" s="24" t="n">
        <v>3187695000</v>
      </c>
      <c r="H20" s="13" t="n">
        <v>0.2876</v>
      </c>
      <c r="I20" s="13" t="n">
        <v>0.7124</v>
      </c>
      <c r="J20" s="13" t="n">
        <v>0.0436</v>
      </c>
      <c r="K20" s="40" t="n">
        <v>4.7131</v>
      </c>
      <c r="L20" s="41" t="n">
        <v>10.57836180045548</v>
      </c>
      <c r="M20" s="41" t="n">
        <v>11.99041095890411</v>
      </c>
    </row>
    <row r="21" ht="18" customHeight="1">
      <c r="A21" s="12" t="inlineStr">
        <is>
          <t>nestle_pakistan_limited</t>
        </is>
      </c>
      <c r="B21" s="39" t="n">
        <v>2020</v>
      </c>
      <c r="C21" s="24" t="n">
        <v>118781274000</v>
      </c>
      <c r="D21" s="24" t="n">
        <v>84016549000</v>
      </c>
      <c r="E21" s="24" t="n">
        <v>5054207000</v>
      </c>
      <c r="F21" s="24" t="n">
        <v>16060500000</v>
      </c>
      <c r="G21" s="24" t="n">
        <v>2805015000</v>
      </c>
      <c r="H21" s="13" t="n">
        <v>0.2927</v>
      </c>
      <c r="I21" s="13" t="n">
        <v>0.7074</v>
      </c>
      <c r="J21" s="13" t="n">
        <v>0.0426</v>
      </c>
      <c r="K21" s="40" t="n">
        <v>5.726</v>
      </c>
      <c r="L21" s="41" t="n">
        <v>9.739993138981546</v>
      </c>
      <c r="M21" s="41" t="n">
        <v>8.936475409836065</v>
      </c>
    </row>
    <row r="22" ht="18" customHeight="1">
      <c r="A22" s="12" t="inlineStr">
        <is>
          <t>nestle_pakistan_limited</t>
        </is>
      </c>
      <c r="B22" s="39" t="n">
        <v>2021</v>
      </c>
      <c r="C22" s="24" t="n">
        <v>133295472000</v>
      </c>
      <c r="D22" s="24" t="n">
        <v>92803347000</v>
      </c>
      <c r="E22" s="24" t="n">
        <v>5051395000</v>
      </c>
      <c r="F22" s="24" t="n">
        <v>21577611000</v>
      </c>
      <c r="G22" s="24" t="n">
        <v>1840228000</v>
      </c>
      <c r="H22" s="13" t="n">
        <v>0.30404</v>
      </c>
      <c r="I22" s="13" t="n">
        <v>0.69619</v>
      </c>
      <c r="J22" s="13" t="n">
        <v>0.0379</v>
      </c>
      <c r="K22" s="40" t="n">
        <v>11.7255</v>
      </c>
      <c r="L22" s="41" t="n">
        <v>9.49621056124947</v>
      </c>
      <c r="M22" s="41" t="n">
        <v>7.280821917808219</v>
      </c>
    </row>
    <row r="23" ht="18" customHeight="1">
      <c r="A23" s="12" t="inlineStr">
        <is>
          <t>nestle_pakistan_limited</t>
        </is>
      </c>
      <c r="B23" s="39" t="n">
        <v>2022</v>
      </c>
      <c r="C23" s="24" t="n">
        <v>162516255000</v>
      </c>
      <c r="D23" s="24" t="n">
        <v>112886474000</v>
      </c>
      <c r="E23" s="24" t="n">
        <v>5829265000</v>
      </c>
      <c r="F23" s="24" t="n">
        <v>26778978000</v>
      </c>
      <c r="G23" s="24" t="n">
        <v>2335994000</v>
      </c>
      <c r="H23" s="13" t="n">
        <v>0.3054</v>
      </c>
      <c r="I23" s="13" t="n">
        <v>0.6947</v>
      </c>
      <c r="J23" s="13" t="n">
        <v>0.0359</v>
      </c>
      <c r="K23" s="40" t="n">
        <v>11.463</v>
      </c>
      <c r="L23" s="41" t="n">
        <v>19.87385996466555</v>
      </c>
      <c r="M23" s="41" t="n">
        <v>11.99109589041096</v>
      </c>
    </row>
    <row r="24" ht="18" customHeight="1">
      <c r="A24" s="12" t="inlineStr">
        <is>
          <t>nestle_pakistan_limited</t>
        </is>
      </c>
      <c r="B24" s="39" t="n">
        <v>2023</v>
      </c>
      <c r="C24" s="24" t="n">
        <v>200605005000</v>
      </c>
      <c r="D24" s="24" t="n">
        <v>129845135000</v>
      </c>
      <c r="E24" s="24" t="n">
        <v>8578415000</v>
      </c>
      <c r="F24" s="24" t="n">
        <v>34553298000</v>
      </c>
      <c r="G24" s="24" t="n">
        <v>2623853000</v>
      </c>
      <c r="H24" s="13" t="n">
        <v>0.3527</v>
      </c>
      <c r="I24" s="13" t="n">
        <v>0.6473</v>
      </c>
      <c r="J24" s="13" t="n">
        <v>0.0428</v>
      </c>
      <c r="K24" s="40" t="n">
        <v>13.162</v>
      </c>
      <c r="L24" s="41" t="n">
        <v>30.76812806570052</v>
      </c>
      <c r="M24" s="41" t="n">
        <v>20.61369863013699</v>
      </c>
    </row>
    <row r="25" ht="18" customHeight="1">
      <c r="A25" s="12" t="inlineStr">
        <is>
          <t>nestle_pakistan_limited</t>
        </is>
      </c>
      <c r="B25" s="39" t="n">
        <v>2024</v>
      </c>
      <c r="C25" s="24" t="n">
        <v>193205756000</v>
      </c>
      <c r="D25" s="24" t="n">
        <v>123681762000</v>
      </c>
      <c r="E25" s="24" t="n">
        <v>9866771000</v>
      </c>
      <c r="F25" s="24" t="n">
        <v>29549225000</v>
      </c>
      <c r="G25" s="24" t="n">
        <v>2589499000</v>
      </c>
      <c r="H25" s="13" t="n">
        <v>0.3598</v>
      </c>
      <c r="I25" s="13" t="n">
        <v>0.6398</v>
      </c>
      <c r="J25" s="13" t="n">
        <v>0.0511</v>
      </c>
      <c r="K25" s="40" t="n">
        <v>11.411</v>
      </c>
      <c r="L25" s="41" t="n">
        <v>12.63253185304518</v>
      </c>
      <c r="M25" s="41" t="n">
        <v>18.96174863387978</v>
      </c>
    </row>
    <row r="26" ht="18" customHeight="1">
      <c r="A26" s="12" t="inlineStr">
        <is>
          <t>national_foods_limited</t>
        </is>
      </c>
      <c r="B26" s="39" t="n">
        <v>2019</v>
      </c>
      <c r="C26" s="24" t="n">
        <v>16602206000</v>
      </c>
      <c r="D26" s="24" t="n">
        <v>11283038000</v>
      </c>
      <c r="E26" s="24" t="n">
        <v>896967000</v>
      </c>
      <c r="F26" s="24" t="n">
        <v>1519678000</v>
      </c>
      <c r="G26" s="24" t="n">
        <v>157070000</v>
      </c>
      <c r="H26" s="13" t="n">
        <v>0.3204</v>
      </c>
      <c r="I26" s="13" t="n">
        <v>0.6796</v>
      </c>
      <c r="J26" s="13" t="n">
        <v>0.054</v>
      </c>
      <c r="K26" s="40" t="n">
        <v>9.6751</v>
      </c>
      <c r="L26" s="41" t="n">
        <v>10.57836180045548</v>
      </c>
      <c r="M26" s="41" t="n">
        <v>11.99041095890411</v>
      </c>
    </row>
    <row r="27" ht="18" customHeight="1">
      <c r="A27" s="12" t="inlineStr">
        <is>
          <t>national_foods_limited</t>
        </is>
      </c>
      <c r="B27" s="39" t="n">
        <v>2020</v>
      </c>
      <c r="C27" s="24" t="n">
        <v>19258717000</v>
      </c>
      <c r="D27" s="24" t="n">
        <v>13150298000</v>
      </c>
      <c r="E27" s="24" t="n">
        <v>1124242000</v>
      </c>
      <c r="F27" s="24" t="n">
        <v>1752011000</v>
      </c>
      <c r="G27" s="24" t="n">
        <v>163887000</v>
      </c>
      <c r="H27" s="13" t="n">
        <v>0.3172</v>
      </c>
      <c r="I27" s="13" t="n">
        <v>0.6828</v>
      </c>
      <c r="J27" s="13" t="n">
        <v>0.0584</v>
      </c>
      <c r="K27" s="40" t="n">
        <v>10.69</v>
      </c>
      <c r="L27" s="41" t="n">
        <v>9.739993138981546</v>
      </c>
      <c r="M27" s="41" t="n">
        <v>8.936475409836065</v>
      </c>
    </row>
    <row r="28" ht="18" customHeight="1">
      <c r="A28" s="12" t="inlineStr">
        <is>
          <t>national_foods_limited</t>
        </is>
      </c>
      <c r="B28" s="39" t="n">
        <v>2021</v>
      </c>
      <c r="C28" s="24" t="n">
        <v>34588433000</v>
      </c>
      <c r="D28" s="24" t="n">
        <v>24836018000</v>
      </c>
      <c r="E28" s="24" t="n">
        <v>1457949000</v>
      </c>
      <c r="F28" s="24" t="n">
        <v>2945756000</v>
      </c>
      <c r="G28" s="24" t="n">
        <v>314768000</v>
      </c>
      <c r="H28" s="13" t="n">
        <v>0.282</v>
      </c>
      <c r="I28" s="13" t="n">
        <v>0.718</v>
      </c>
      <c r="J28" s="13" t="n">
        <v>0.0422</v>
      </c>
      <c r="K28" s="40" t="n">
        <v>9.358000000000001</v>
      </c>
      <c r="L28" s="41" t="n">
        <v>9.49621056124947</v>
      </c>
      <c r="M28" s="41" t="n">
        <v>7.280821917808219</v>
      </c>
    </row>
    <row r="29" ht="18" customHeight="1">
      <c r="A29" s="12" t="inlineStr">
        <is>
          <t>national_foods_limited</t>
        </is>
      </c>
      <c r="B29" s="39" t="n">
        <v>2022</v>
      </c>
      <c r="C29" s="24" t="n">
        <v>45525608000</v>
      </c>
      <c r="D29" s="24" t="n">
        <v>32322189000</v>
      </c>
      <c r="E29" s="24" t="n">
        <v>2088031000</v>
      </c>
      <c r="F29" s="24" t="n">
        <v>3615001000</v>
      </c>
      <c r="G29" s="24" t="n">
        <v>463810000</v>
      </c>
      <c r="H29" s="13" t="n">
        <v>0.2899</v>
      </c>
      <c r="I29" s="13" t="n">
        <v>0.71</v>
      </c>
      <c r="J29" s="13" t="n">
        <v>0.0459</v>
      </c>
      <c r="K29" s="40" t="n">
        <v>7.7947</v>
      </c>
      <c r="L29" s="41" t="n">
        <v>19.87385996466555</v>
      </c>
      <c r="M29" s="41" t="n">
        <v>11.99109589041096</v>
      </c>
    </row>
    <row r="30" ht="18" customHeight="1">
      <c r="A30" s="12" t="inlineStr">
        <is>
          <t>national_foods_limited</t>
        </is>
      </c>
      <c r="B30" s="39" t="n">
        <v>2023</v>
      </c>
      <c r="C30" s="24" t="n">
        <v>64322287000</v>
      </c>
      <c r="D30" s="24" t="n">
        <v>46128408000</v>
      </c>
      <c r="E30" s="24" t="n">
        <v>2270000000</v>
      </c>
      <c r="F30" s="24" t="n">
        <v>6163690000</v>
      </c>
      <c r="G30" s="24" t="n">
        <v>1158889000</v>
      </c>
      <c r="H30" s="13" t="n">
        <v>0.2828</v>
      </c>
      <c r="I30" s="13" t="n">
        <v>0.7171</v>
      </c>
      <c r="J30" s="13" t="n">
        <v>0.0353</v>
      </c>
      <c r="K30" s="40" t="n">
        <v>5.3185</v>
      </c>
      <c r="L30" s="41" t="n">
        <v>30.76812806570052</v>
      </c>
      <c r="M30" s="41" t="n">
        <v>20.61369863013699</v>
      </c>
    </row>
    <row r="31" ht="18" customHeight="1">
      <c r="A31" s="12" t="inlineStr">
        <is>
          <t>national_foods_limited</t>
        </is>
      </c>
      <c r="B31" s="39" t="n">
        <v>2024</v>
      </c>
      <c r="C31" s="24" t="n">
        <v>86375106000</v>
      </c>
      <c r="D31" s="24" t="n">
        <v>62805113000</v>
      </c>
      <c r="E31" s="24" t="n">
        <v>2569760000</v>
      </c>
      <c r="F31" s="24" t="n">
        <v>6223148000</v>
      </c>
      <c r="G31" s="24" t="n">
        <v>2597265000</v>
      </c>
      <c r="H31" s="13" t="n">
        <v>0.2729</v>
      </c>
      <c r="I31" s="13" t="n">
        <v>0.7271</v>
      </c>
      <c r="J31" s="13" t="n">
        <v>0.0298</v>
      </c>
      <c r="K31" s="40" t="n">
        <v>2.3968</v>
      </c>
      <c r="L31" s="41" t="n">
        <v>12.63253185304518</v>
      </c>
      <c r="M31" s="41" t="n">
        <v>18.96174863387978</v>
      </c>
    </row>
    <row r="32" ht="18" customHeight="1">
      <c r="A32" s="12" t="inlineStr">
        <is>
          <t>shezan_international_limited</t>
        </is>
      </c>
      <c r="B32" s="39" t="n">
        <v>2019</v>
      </c>
      <c r="C32" s="24" t="n">
        <v>7704097000</v>
      </c>
      <c r="D32" s="24" t="n">
        <v>6172758000</v>
      </c>
      <c r="E32" s="24" t="n">
        <v>93535000</v>
      </c>
      <c r="F32" s="24" t="n">
        <v>220129000</v>
      </c>
      <c r="G32" s="24" t="n">
        <v>68195000</v>
      </c>
      <c r="H32" s="13" t="n">
        <v>0.1988</v>
      </c>
      <c r="I32" s="13" t="n">
        <v>0.8012</v>
      </c>
      <c r="J32" s="13" t="n">
        <v>0.0121</v>
      </c>
      <c r="K32" s="40" t="n">
        <v>3.228</v>
      </c>
      <c r="L32" s="41" t="n">
        <v>10.57836180045548</v>
      </c>
      <c r="M32" s="41" t="n">
        <v>11.99041095890411</v>
      </c>
    </row>
    <row r="33" ht="18" customHeight="1">
      <c r="A33" s="12" t="inlineStr">
        <is>
          <t>shezan_international_limited</t>
        </is>
      </c>
      <c r="B33" s="39" t="n">
        <v>2020</v>
      </c>
      <c r="C33" s="24" t="n">
        <v>7313042000</v>
      </c>
      <c r="D33" s="24" t="n">
        <v>6213833000</v>
      </c>
      <c r="E33" s="24" t="n">
        <v>21475000</v>
      </c>
      <c r="F33" s="24" t="n">
        <v>-95684000</v>
      </c>
      <c r="G33" s="24" t="n">
        <v>206986000</v>
      </c>
      <c r="H33" s="13" t="n">
        <v>0.1503</v>
      </c>
      <c r="I33" s="13" t="n">
        <v>0.8497</v>
      </c>
      <c r="J33" s="13" t="n">
        <v>0.0029</v>
      </c>
      <c r="K33" s="40" t="n">
        <v>-0.4623</v>
      </c>
      <c r="L33" s="41" t="n">
        <v>9.739993138981546</v>
      </c>
      <c r="M33" s="41" t="n">
        <v>8.936475409836065</v>
      </c>
    </row>
    <row r="34" ht="18" customHeight="1">
      <c r="A34" s="12" t="inlineStr">
        <is>
          <t>shezan_international_limited</t>
        </is>
      </c>
      <c r="B34" s="39" t="n">
        <v>2021</v>
      </c>
      <c r="C34" s="24" t="n">
        <v>6584452000</v>
      </c>
      <c r="D34" s="24" t="n">
        <v>5186645000</v>
      </c>
      <c r="E34" s="24" t="n">
        <v>17938000</v>
      </c>
      <c r="F34" s="24" t="n">
        <v>345384000</v>
      </c>
      <c r="G34" s="24" t="n">
        <v>124320000</v>
      </c>
      <c r="H34" s="13" t="n">
        <v>0.2123</v>
      </c>
      <c r="I34" s="13" t="n">
        <v>0.7877</v>
      </c>
      <c r="J34" s="13" t="n">
        <v>0.0027</v>
      </c>
      <c r="K34" s="40" t="n">
        <v>2.7782</v>
      </c>
      <c r="L34" s="41" t="n">
        <v>9.49621056124947</v>
      </c>
      <c r="M34" s="41" t="n">
        <v>7.280821917808219</v>
      </c>
    </row>
    <row r="35" ht="18" customHeight="1">
      <c r="A35" s="12" t="inlineStr">
        <is>
          <t>shezan_international_limited</t>
        </is>
      </c>
      <c r="B35" s="39" t="n">
        <v>2022</v>
      </c>
      <c r="C35" s="24" t="n">
        <v>8169271000</v>
      </c>
      <c r="D35" s="24" t="n">
        <v>6395873000</v>
      </c>
      <c r="E35" s="24" t="n">
        <v>31786000</v>
      </c>
      <c r="F35" s="24" t="n">
        <v>186403000</v>
      </c>
      <c r="G35" s="24" t="n">
        <v>119192000</v>
      </c>
      <c r="H35" s="13" t="n">
        <v>0.2171</v>
      </c>
      <c r="I35" s="13" t="n">
        <v>0.783</v>
      </c>
      <c r="J35" s="13" t="n">
        <v>0.0039</v>
      </c>
      <c r="K35" s="40" t="n">
        <v>1.564</v>
      </c>
      <c r="L35" s="41" t="n">
        <v>19.87385996466555</v>
      </c>
      <c r="M35" s="41" t="n">
        <v>11.99109589041096</v>
      </c>
    </row>
    <row r="36" ht="18" customHeight="1">
      <c r="A36" s="12" t="inlineStr">
        <is>
          <t>shezan_international_limited</t>
        </is>
      </c>
      <c r="B36" s="39" t="n">
        <v>2023</v>
      </c>
      <c r="C36" s="24" t="n">
        <v>8745424000</v>
      </c>
      <c r="D36" s="24" t="n">
        <v>6665173000</v>
      </c>
      <c r="E36" s="24" t="n">
        <v>22251000</v>
      </c>
      <c r="F36" s="24" t="n">
        <v>333318000</v>
      </c>
      <c r="G36" s="24" t="n">
        <v>279654000</v>
      </c>
      <c r="H36" s="13" t="n">
        <v>0.2379</v>
      </c>
      <c r="I36" s="13" t="n">
        <v>0.7621</v>
      </c>
      <c r="J36" s="13" t="n">
        <v>0.0025</v>
      </c>
      <c r="K36" s="40" t="n">
        <v>1.192</v>
      </c>
      <c r="L36" s="41" t="n">
        <v>30.76812806570052</v>
      </c>
      <c r="M36" s="41" t="n">
        <v>20.61369863013699</v>
      </c>
    </row>
    <row r="37" ht="18" customHeight="1">
      <c r="A37" s="12" t="inlineStr">
        <is>
          <t>shezan_international_limited</t>
        </is>
      </c>
      <c r="B37" s="39" t="n">
        <v>2024</v>
      </c>
      <c r="C37" s="24" t="n">
        <v>8154971000</v>
      </c>
      <c r="D37" s="24" t="n">
        <v>6544543000</v>
      </c>
      <c r="E37" s="24" t="n">
        <v>7970000</v>
      </c>
      <c r="F37" s="24" t="n">
        <v>-73547000</v>
      </c>
      <c r="G37" s="24" t="n">
        <v>332072000</v>
      </c>
      <c r="H37" s="13" t="n">
        <v>0.1975</v>
      </c>
      <c r="I37" s="13" t="n">
        <v>0.8025</v>
      </c>
      <c r="J37" s="13" t="n">
        <v>0.001</v>
      </c>
      <c r="K37" s="40" t="n">
        <v>-0.2215</v>
      </c>
      <c r="L37" s="41" t="n">
        <v>12.63253185304518</v>
      </c>
      <c r="M37" s="41" t="n">
        <v>18.96174863387978</v>
      </c>
    </row>
    <row r="38" ht="18" customHeight="1">
      <c r="A38" s="12" t="inlineStr">
        <is>
          <t>unilever_pakistan_foods_limited</t>
        </is>
      </c>
      <c r="B38" s="39" t="n">
        <v>2019</v>
      </c>
      <c r="C38" s="24" t="n">
        <v>13291424000</v>
      </c>
      <c r="D38" s="24" t="n">
        <v>7861105000</v>
      </c>
      <c r="E38" s="24" t="n">
        <v>873163000</v>
      </c>
      <c r="F38" s="24" t="n">
        <v>2942876000</v>
      </c>
      <c r="G38" s="24" t="n">
        <v>135076000</v>
      </c>
      <c r="H38" s="13" t="n">
        <v>0.4086</v>
      </c>
      <c r="I38" s="13" t="n">
        <v>0.5914</v>
      </c>
      <c r="J38" s="13" t="n">
        <v>0.06569999999999999</v>
      </c>
      <c r="K38" s="40" t="n">
        <v>21.787</v>
      </c>
      <c r="L38" s="41" t="n">
        <v>10.57836180045548</v>
      </c>
      <c r="M38" s="41" t="n">
        <v>11.99041095890411</v>
      </c>
    </row>
    <row r="39" ht="18" customHeight="1">
      <c r="A39" s="12" t="inlineStr">
        <is>
          <t>unilever_pakistan_foods_limited</t>
        </is>
      </c>
      <c r="B39" s="39" t="n">
        <v>2020</v>
      </c>
      <c r="C39" s="24" t="n">
        <v>15572747000</v>
      </c>
      <c r="D39" s="24" t="n">
        <v>8894178000</v>
      </c>
      <c r="E39" s="24" t="n">
        <v>794460000</v>
      </c>
      <c r="F39" s="24" t="n">
        <v>4077508000</v>
      </c>
      <c r="G39" s="24" t="n">
        <v>22550000</v>
      </c>
      <c r="H39" s="13" t="n">
        <v>0.4289</v>
      </c>
      <c r="I39" s="13" t="n">
        <v>0.5711000000000001</v>
      </c>
      <c r="J39" s="13" t="n">
        <v>0.051</v>
      </c>
      <c r="K39" s="40" t="n">
        <v>180.8208</v>
      </c>
      <c r="L39" s="41" t="n">
        <v>9.739993138981546</v>
      </c>
      <c r="M39" s="41" t="n">
        <v>8.936475409836065</v>
      </c>
    </row>
    <row r="40" ht="18" customHeight="1">
      <c r="A40" s="12" t="inlineStr">
        <is>
          <t>unilever_pakistan_foods_limited</t>
        </is>
      </c>
      <c r="B40" s="39" t="n">
        <v>2021</v>
      </c>
      <c r="C40" s="24" t="n">
        <v>19820946000</v>
      </c>
      <c r="D40" s="24" t="n">
        <v>10904750000</v>
      </c>
      <c r="E40" s="24" t="n">
        <v>1323062000</v>
      </c>
      <c r="F40" s="24" t="n">
        <v>5501987000</v>
      </c>
      <c r="G40" s="24" t="n">
        <v>79151000</v>
      </c>
      <c r="H40" s="13" t="n">
        <v>0.4499</v>
      </c>
      <c r="I40" s="13" t="n">
        <v>0.5502</v>
      </c>
      <c r="J40" s="13" t="n">
        <v>0.0668</v>
      </c>
      <c r="K40" s="40" t="n">
        <v>69.511</v>
      </c>
      <c r="L40" s="41" t="n">
        <v>9.49621056124947</v>
      </c>
      <c r="M40" s="41" t="n">
        <v>7.280821917808219</v>
      </c>
    </row>
    <row r="41" ht="18" customHeight="1">
      <c r="A41" s="12" t="inlineStr">
        <is>
          <t>unilever_pakistan_foods_limited</t>
        </is>
      </c>
      <c r="B41" s="39" t="n">
        <v>2022</v>
      </c>
      <c r="C41" s="24" t="n">
        <v>28309317000</v>
      </c>
      <c r="D41" s="24" t="n">
        <v>16359841000</v>
      </c>
      <c r="E41" s="24" t="n">
        <v>1477565000</v>
      </c>
      <c r="F41" s="24" t="n">
        <v>8506272000</v>
      </c>
      <c r="G41" s="24" t="n">
        <v>139905000</v>
      </c>
      <c r="H41" s="13" t="n">
        <v>0.4221</v>
      </c>
      <c r="I41" s="13" t="n">
        <v>0.578</v>
      </c>
      <c r="J41" s="13" t="n">
        <v>0.0522</v>
      </c>
      <c r="K41" s="40" t="n">
        <v>60.8</v>
      </c>
      <c r="L41" s="41" t="n">
        <v>19.87385996466555</v>
      </c>
      <c r="M41" s="41" t="n">
        <v>11.99109589041096</v>
      </c>
    </row>
    <row r="42" ht="18" customHeight="1">
      <c r="A42" s="12" t="inlineStr">
        <is>
          <t>unilever_pakistan_foods_limited</t>
        </is>
      </c>
      <c r="B42" s="39" t="n">
        <v>2023</v>
      </c>
      <c r="C42" s="24" t="n">
        <v>34586732000</v>
      </c>
      <c r="D42" s="24" t="n">
        <v>19777895000</v>
      </c>
      <c r="E42" s="24" t="n">
        <v>1915818000</v>
      </c>
      <c r="F42" s="24" t="n">
        <v>10472561000</v>
      </c>
      <c r="G42" s="24" t="n">
        <v>119461000</v>
      </c>
      <c r="H42" s="13" t="n">
        <v>0.4282</v>
      </c>
      <c r="I42" s="13" t="n">
        <v>0.5718</v>
      </c>
      <c r="J42" s="13" t="n">
        <v>0.0554</v>
      </c>
      <c r="K42" s="40" t="n">
        <v>87.667</v>
      </c>
      <c r="L42" s="41" t="n">
        <v>30.76812806570052</v>
      </c>
      <c r="M42" s="41" t="n">
        <v>20.61369863013699</v>
      </c>
    </row>
    <row r="43" ht="18" customHeight="1">
      <c r="A43" s="12" t="inlineStr">
        <is>
          <t>unilever_pakistan_foods_limited</t>
        </is>
      </c>
      <c r="B43" s="39" t="n">
        <v>2024</v>
      </c>
      <c r="C43" s="24" t="n">
        <v>33712049000</v>
      </c>
      <c r="D43" s="24" t="n">
        <v>20732024000</v>
      </c>
      <c r="E43" s="24" t="n">
        <v>1204328000</v>
      </c>
      <c r="F43" s="24" t="n">
        <v>10177013000</v>
      </c>
      <c r="G43" s="24" t="n">
        <v>35081000</v>
      </c>
      <c r="H43" s="13" t="n">
        <v>0.385</v>
      </c>
      <c r="I43" s="13" t="n">
        <v>0.615</v>
      </c>
      <c r="J43" s="13" t="n">
        <v>0.0357</v>
      </c>
      <c r="K43" s="40" t="n">
        <v>290.13</v>
      </c>
      <c r="L43" s="41" t="n">
        <v>12.63253185304518</v>
      </c>
      <c r="M43" s="41" t="n">
        <v>18.96174863387978</v>
      </c>
    </row>
    <row r="44" ht="18" customHeight="1">
      <c r="A44" s="12" t="inlineStr">
        <is>
          <t>fauji_foods_limited</t>
        </is>
      </c>
      <c r="B44" s="39" t="n">
        <v>2019</v>
      </c>
      <c r="C44" s="24" t="n">
        <v>5744872328</v>
      </c>
      <c r="D44" s="24" t="n">
        <v>6423699048</v>
      </c>
      <c r="E44" s="24" t="n">
        <v>780492580</v>
      </c>
      <c r="F44" s="24" t="n">
        <v>-2434379066</v>
      </c>
      <c r="G44" s="24" t="n">
        <v>1698166696</v>
      </c>
      <c r="H44" s="13" t="n">
        <v>-0.1182</v>
      </c>
      <c r="I44" s="13" t="n">
        <v>1.1182</v>
      </c>
      <c r="J44" s="13" t="n">
        <v>0.1359</v>
      </c>
      <c r="K44" s="40" t="n">
        <v>-1.4335</v>
      </c>
      <c r="L44" s="41" t="n">
        <v>10.57836180045548</v>
      </c>
      <c r="M44" s="41" t="n">
        <v>11.99041095890411</v>
      </c>
    </row>
    <row r="45" ht="18" customHeight="1">
      <c r="A45" s="12" t="inlineStr">
        <is>
          <t>fauji_foods_limited</t>
        </is>
      </c>
      <c r="B45" s="39" t="n">
        <v>2020</v>
      </c>
      <c r="C45" s="24" t="n">
        <v>7373162067</v>
      </c>
      <c r="D45" s="24" t="n">
        <v>7310900013</v>
      </c>
      <c r="E45" s="24" t="n">
        <v>465283240</v>
      </c>
      <c r="F45" s="24" t="n">
        <v>-1147313168</v>
      </c>
      <c r="G45" s="24" t="n">
        <v>1752267407</v>
      </c>
      <c r="H45" s="13" t="n">
        <v>0.008399999999999999</v>
      </c>
      <c r="I45" s="13" t="n">
        <v>0.9916</v>
      </c>
      <c r="J45" s="13" t="n">
        <v>0.0631</v>
      </c>
      <c r="K45" s="40" t="n">
        <v>-0.6548</v>
      </c>
      <c r="L45" s="41" t="n">
        <v>9.739993138981546</v>
      </c>
      <c r="M45" s="41" t="n">
        <v>8.936475409836065</v>
      </c>
    </row>
    <row r="46" ht="18" customHeight="1">
      <c r="A46" s="12" t="inlineStr">
        <is>
          <t>fauji_foods_limited</t>
        </is>
      </c>
      <c r="B46" s="39" t="n">
        <v>2021</v>
      </c>
      <c r="C46" s="24" t="n">
        <v>8586396344</v>
      </c>
      <c r="D46" s="24" t="n">
        <v>7665360235</v>
      </c>
      <c r="E46" s="24" t="n">
        <v>553182762</v>
      </c>
      <c r="F46" s="24" t="n">
        <v>-457147837</v>
      </c>
      <c r="G46" s="24" t="n">
        <v>1155050524</v>
      </c>
      <c r="H46" s="13" t="n">
        <v>0.1073</v>
      </c>
      <c r="I46" s="13" t="n">
        <v>0.8927</v>
      </c>
      <c r="J46" s="13" t="n">
        <v>0.0644</v>
      </c>
      <c r="K46" s="40" t="n">
        <v>-0.3958</v>
      </c>
      <c r="L46" s="41" t="n">
        <v>9.49621056124947</v>
      </c>
      <c r="M46" s="41" t="n">
        <v>7.280821917808219</v>
      </c>
    </row>
    <row r="47" ht="18" customHeight="1">
      <c r="A47" s="12" t="inlineStr">
        <is>
          <t>fauji_foods_limited</t>
        </is>
      </c>
      <c r="B47" s="39" t="n">
        <v>2022</v>
      </c>
      <c r="C47" s="24" t="n">
        <v>12350702418</v>
      </c>
      <c r="D47" s="24" t="n">
        <v>11380034184</v>
      </c>
      <c r="E47" s="24" t="n">
        <v>768783394</v>
      </c>
      <c r="F47" s="24" t="n">
        <v>-815763264</v>
      </c>
      <c r="G47" s="24" t="n">
        <v>1259766520</v>
      </c>
      <c r="H47" s="13" t="n">
        <v>0.0786</v>
      </c>
      <c r="I47" s="13" t="n">
        <v>0.9214</v>
      </c>
      <c r="J47" s="13" t="n">
        <v>0.0622</v>
      </c>
      <c r="K47" s="40" t="n">
        <v>-0.6475</v>
      </c>
      <c r="L47" s="41" t="n">
        <v>19.87385996466555</v>
      </c>
      <c r="M47" s="41" t="n">
        <v>11.99109589041096</v>
      </c>
    </row>
    <row r="48" ht="18" customHeight="1">
      <c r="A48" s="12" t="inlineStr">
        <is>
          <t>fauji_foods_limited</t>
        </is>
      </c>
      <c r="B48" s="39" t="n">
        <v>2023</v>
      </c>
      <c r="C48" s="24" t="n">
        <v>19809035759</v>
      </c>
      <c r="D48" s="24" t="n">
        <v>16826717108</v>
      </c>
      <c r="E48" s="24" t="n">
        <v>571515052</v>
      </c>
      <c r="F48" s="24" t="n">
        <v>936507296</v>
      </c>
      <c r="G48" s="24" t="n">
        <v>323792596</v>
      </c>
      <c r="H48" s="13" t="n">
        <v>0.1506</v>
      </c>
      <c r="I48" s="13" t="n">
        <v>0.8494</v>
      </c>
      <c r="J48" s="13" t="n">
        <v>0.0289</v>
      </c>
      <c r="K48" s="40" t="n">
        <v>2.8924</v>
      </c>
      <c r="L48" s="41" t="n">
        <v>30.76812806570052</v>
      </c>
      <c r="M48" s="41" t="n">
        <v>20.61369863013699</v>
      </c>
    </row>
    <row r="49" ht="18" customHeight="1">
      <c r="A49" s="12" t="inlineStr">
        <is>
          <t>fauji_foods_limited</t>
        </is>
      </c>
      <c r="B49" s="39" t="n">
        <v>2024</v>
      </c>
      <c r="C49" s="24" t="n">
        <v>23401680285</v>
      </c>
      <c r="D49" s="24" t="n">
        <v>19681000800</v>
      </c>
      <c r="E49" s="24" t="n">
        <v>811106860</v>
      </c>
      <c r="F49" s="24" t="n">
        <v>1055134508</v>
      </c>
      <c r="G49" s="24" t="n">
        <v>34934929</v>
      </c>
      <c r="H49" s="13" t="n">
        <v>0.159</v>
      </c>
      <c r="I49" s="13" t="n">
        <v>0.841</v>
      </c>
      <c r="J49" s="13" t="n">
        <v>0.0347</v>
      </c>
      <c r="K49" s="40" t="n">
        <v>30.1989</v>
      </c>
      <c r="L49" s="41" t="n">
        <v>12.63253185304518</v>
      </c>
      <c r="M49" s="41" t="n">
        <v>18.96174863387978</v>
      </c>
    </row>
    <row r="50" ht="18" customHeight="1">
      <c r="A50" s="12" t="inlineStr">
        <is>
          <t>ismail_industries_limited</t>
        </is>
      </c>
      <c r="B50" s="39" t="n">
        <v>2019</v>
      </c>
      <c r="C50" s="24" t="n">
        <v>30090888452</v>
      </c>
      <c r="D50" s="24" t="n">
        <v>23736870313</v>
      </c>
      <c r="E50" s="24" t="n">
        <v>993764195</v>
      </c>
      <c r="F50" s="24" t="n">
        <v>2223446084</v>
      </c>
      <c r="G50" s="24" t="n">
        <v>905629820</v>
      </c>
      <c r="H50" s="13" t="n">
        <v>0.2111</v>
      </c>
      <c r="I50" s="13" t="n">
        <v>0.79</v>
      </c>
      <c r="J50" s="13" t="n">
        <v>0.033</v>
      </c>
      <c r="K50" s="40" t="n">
        <v>2.455</v>
      </c>
      <c r="L50" s="41" t="n">
        <v>10.57836180045548</v>
      </c>
      <c r="M50" s="41" t="n">
        <v>11.99041095890411</v>
      </c>
    </row>
    <row r="51" ht="18" customHeight="1">
      <c r="A51" s="12" t="inlineStr">
        <is>
          <t>ismail_industries_limited</t>
        </is>
      </c>
      <c r="B51" s="39" t="n">
        <v>2020</v>
      </c>
      <c r="C51" s="24" t="n">
        <v>33424762422</v>
      </c>
      <c r="D51" s="24" t="n">
        <v>26592382801</v>
      </c>
      <c r="E51" s="24" t="n">
        <v>1387963803</v>
      </c>
      <c r="F51" s="24" t="n">
        <v>1360016823</v>
      </c>
      <c r="G51" s="24" t="n">
        <v>1211530291</v>
      </c>
      <c r="H51" s="13" t="n">
        <v>0.2044</v>
      </c>
      <c r="I51" s="13" t="n">
        <v>0.7956</v>
      </c>
      <c r="J51" s="13" t="n">
        <v>0.0415</v>
      </c>
      <c r="K51" s="40" t="n">
        <v>1.1226</v>
      </c>
      <c r="L51" s="41" t="n">
        <v>9.739993138981546</v>
      </c>
      <c r="M51" s="41" t="n">
        <v>8.936475409836065</v>
      </c>
    </row>
    <row r="52" ht="18" customHeight="1">
      <c r="A52" s="12" t="inlineStr">
        <is>
          <t>ismail_industries_limited</t>
        </is>
      </c>
      <c r="B52" s="39" t="n">
        <v>2021</v>
      </c>
      <c r="C52" s="24" t="n">
        <v>37524840569</v>
      </c>
      <c r="D52" s="24" t="n">
        <v>30354451977</v>
      </c>
      <c r="E52" s="24" t="n">
        <v>184747427</v>
      </c>
      <c r="F52" s="24" t="n">
        <v>1966268754</v>
      </c>
      <c r="G52" s="24" t="n">
        <v>726142880</v>
      </c>
      <c r="H52" s="13" t="n">
        <v>0.1911</v>
      </c>
      <c r="I52" s="13" t="n">
        <v>0.8089</v>
      </c>
      <c r="J52" s="13" t="n">
        <v>0.0049</v>
      </c>
      <c r="K52" s="40" t="n">
        <v>2.7078</v>
      </c>
      <c r="L52" s="41" t="n">
        <v>9.49621056124947</v>
      </c>
      <c r="M52" s="41" t="n">
        <v>7.280821917808219</v>
      </c>
    </row>
    <row r="53" ht="18" customHeight="1">
      <c r="A53" s="12" t="inlineStr">
        <is>
          <t>ismail_industries_limited</t>
        </is>
      </c>
      <c r="B53" s="39" t="n">
        <v>2022</v>
      </c>
      <c r="C53" s="24" t="n">
        <v>55260699195</v>
      </c>
      <c r="D53" s="24" t="n">
        <v>45415201624</v>
      </c>
      <c r="E53" s="24" t="n">
        <v>637006776</v>
      </c>
      <c r="F53" s="24" t="n">
        <v>4244301042</v>
      </c>
      <c r="G53" s="24" t="n">
        <v>1413989787</v>
      </c>
      <c r="H53" s="13" t="n">
        <v>0.1782</v>
      </c>
      <c r="I53" s="13" t="n">
        <v>0.8218</v>
      </c>
      <c r="J53" s="13" t="n">
        <v>0.0115</v>
      </c>
      <c r="K53" s="40" t="n">
        <v>2.9947</v>
      </c>
      <c r="L53" s="41" t="n">
        <v>19.87385996466555</v>
      </c>
      <c r="M53" s="41" t="n">
        <v>11.99109589041096</v>
      </c>
    </row>
    <row r="54" ht="18" customHeight="1">
      <c r="A54" s="12" t="inlineStr">
        <is>
          <t>ismail_industries_limited</t>
        </is>
      </c>
      <c r="B54" s="39" t="n">
        <v>2023</v>
      </c>
      <c r="C54" s="24" t="n">
        <v>89643543663</v>
      </c>
      <c r="D54" s="24" t="n">
        <v>71079444949</v>
      </c>
      <c r="E54" s="24" t="n">
        <v>886769354</v>
      </c>
      <c r="F54" s="24" t="n">
        <v>9813553853</v>
      </c>
      <c r="G54" s="24" t="n">
        <v>4459624481</v>
      </c>
      <c r="H54" s="13" t="n">
        <v>0.2071</v>
      </c>
      <c r="I54" s="13" t="n">
        <v>0.7929</v>
      </c>
      <c r="J54" s="13" t="n">
        <v>0.009900000000000001</v>
      </c>
      <c r="K54" s="40" t="n">
        <v>2.2007</v>
      </c>
      <c r="L54" s="41" t="n">
        <v>30.76812806570052</v>
      </c>
      <c r="M54" s="41" t="n">
        <v>20.61369863013699</v>
      </c>
    </row>
    <row r="55" ht="18" customHeight="1">
      <c r="A55" s="12" t="inlineStr">
        <is>
          <t>ismail_industries_limited</t>
        </is>
      </c>
      <c r="B55" s="39" t="n">
        <v>2024</v>
      </c>
      <c r="C55" s="24" t="n">
        <v>116967540849</v>
      </c>
      <c r="D55" s="24" t="n">
        <v>92647488472</v>
      </c>
      <c r="E55" s="24" t="n">
        <v>1212221388</v>
      </c>
      <c r="F55" s="24" t="n">
        <v>13420465937</v>
      </c>
      <c r="G55" s="24" t="n">
        <v>8038003682</v>
      </c>
      <c r="H55" s="13" t="n">
        <v>0.2079</v>
      </c>
      <c r="I55" s="13" t="n">
        <v>0.7921</v>
      </c>
      <c r="J55" s="13" t="n">
        <v>0.0104</v>
      </c>
      <c r="K55" s="40" t="n">
        <v>1.671</v>
      </c>
      <c r="L55" s="41" t="n">
        <v>12.63253185304518</v>
      </c>
      <c r="M55" s="41" t="n">
        <v>18.96174863387978</v>
      </c>
    </row>
    <row r="56" ht="18" customHeight="1">
      <c r="A56" s="12" t="inlineStr">
        <is>
          <t>shield_corporation_limited</t>
        </is>
      </c>
      <c r="B56" s="39" t="n">
        <v>2019</v>
      </c>
      <c r="C56" s="24" t="n">
        <v>1778794872</v>
      </c>
      <c r="D56" s="24" t="n">
        <v>1222057829</v>
      </c>
      <c r="E56" s="24" t="n">
        <v>116755409</v>
      </c>
      <c r="F56" s="24" t="n">
        <v>127213440</v>
      </c>
      <c r="G56" s="24" t="n">
        <v>41594682</v>
      </c>
      <c r="H56" s="13" t="n">
        <v>0.3131</v>
      </c>
      <c r="I56" s="13" t="n">
        <v>0.6870000000000001</v>
      </c>
      <c r="J56" s="13" t="n">
        <v>0.06560000000000001</v>
      </c>
      <c r="K56" s="40" t="n">
        <v>3.058</v>
      </c>
      <c r="L56" s="41" t="n">
        <v>10.57836180045548</v>
      </c>
      <c r="M56" s="41" t="n">
        <v>11.99041095890411</v>
      </c>
    </row>
    <row r="57" ht="18" customHeight="1">
      <c r="A57" s="12" t="inlineStr">
        <is>
          <t>shield_corporation_limited</t>
        </is>
      </c>
      <c r="B57" s="39" t="n">
        <v>2020</v>
      </c>
      <c r="C57" s="24" t="n">
        <v>1708620654</v>
      </c>
      <c r="D57" s="24" t="n">
        <v>1292601578</v>
      </c>
      <c r="E57" s="24" t="n">
        <v>57409241</v>
      </c>
      <c r="F57" s="24" t="n">
        <v>81532774</v>
      </c>
      <c r="G57" s="24" t="n">
        <v>100882938</v>
      </c>
      <c r="H57" s="13" t="n">
        <v>0.2435</v>
      </c>
      <c r="I57" s="13" t="n">
        <v>0.7565</v>
      </c>
      <c r="J57" s="13" t="n">
        <v>0.0336</v>
      </c>
      <c r="K57" s="40" t="n">
        <v>0.8080000000000001</v>
      </c>
      <c r="L57" s="41" t="n">
        <v>9.739993138981546</v>
      </c>
      <c r="M57" s="41" t="n">
        <v>8.936475409836065</v>
      </c>
    </row>
    <row r="58" ht="18" customHeight="1">
      <c r="A58" s="12" t="inlineStr">
        <is>
          <t>shield_corporation_limited</t>
        </is>
      </c>
      <c r="B58" s="39" t="n">
        <v>2021</v>
      </c>
      <c r="C58" s="24" t="n">
        <v>2148550393</v>
      </c>
      <c r="D58" s="24" t="n">
        <v>1484717849</v>
      </c>
      <c r="E58" s="24" t="n">
        <v>64460957</v>
      </c>
      <c r="F58" s="24" t="n">
        <v>280540681</v>
      </c>
      <c r="G58" s="24" t="n">
        <v>52491216</v>
      </c>
      <c r="H58" s="13" t="n">
        <v>0.309</v>
      </c>
      <c r="I58" s="13" t="n">
        <v>0.6909999999999999</v>
      </c>
      <c r="J58" s="13" t="n">
        <v>0.03</v>
      </c>
      <c r="K58" s="40" t="n">
        <v>5.344</v>
      </c>
      <c r="L58" s="41" t="n">
        <v>9.49621056124947</v>
      </c>
      <c r="M58" s="41" t="n">
        <v>7.280821917808219</v>
      </c>
    </row>
    <row r="59" ht="18" customHeight="1">
      <c r="A59" s="12" t="inlineStr">
        <is>
          <t>shield_corporation_limited</t>
        </is>
      </c>
      <c r="B59" s="39" t="n">
        <v>2022</v>
      </c>
      <c r="C59" s="24" t="n">
        <v>2662054711</v>
      </c>
      <c r="D59" s="24" t="n">
        <v>2023761461</v>
      </c>
      <c r="E59" s="24" t="n">
        <v>1314795044</v>
      </c>
      <c r="F59" s="24" t="n">
        <v>111728948</v>
      </c>
      <c r="G59" s="24" t="n">
        <v>85037887</v>
      </c>
      <c r="H59" s="13" t="n">
        <v>0.2398</v>
      </c>
      <c r="I59" s="13" t="n">
        <v>0.7599</v>
      </c>
      <c r="J59" s="13" t="n">
        <v>0.4939</v>
      </c>
      <c r="K59" s="40" t="n">
        <v>1.3139</v>
      </c>
      <c r="L59" s="41" t="n">
        <v>19.87385996466555</v>
      </c>
      <c r="M59" s="41" t="n">
        <v>11.99109589041096</v>
      </c>
    </row>
    <row r="60" ht="18" customHeight="1">
      <c r="A60" s="12" t="inlineStr">
        <is>
          <t>shield_corporation_limited</t>
        </is>
      </c>
      <c r="B60" s="39" t="n">
        <v>2023</v>
      </c>
      <c r="C60" s="24" t="n">
        <v>4357631431</v>
      </c>
      <c r="D60" s="24" t="n">
        <v>3225280381</v>
      </c>
      <c r="E60" s="24" t="n">
        <v>98360510</v>
      </c>
      <c r="F60" s="24" t="n">
        <v>430961447</v>
      </c>
      <c r="G60" s="24" t="n">
        <v>203126267</v>
      </c>
      <c r="H60" s="13" t="n">
        <v>0.2598</v>
      </c>
      <c r="I60" s="13" t="n">
        <v>0.74</v>
      </c>
      <c r="J60" s="13" t="n">
        <v>0.0226</v>
      </c>
      <c r="K60" s="40" t="n">
        <v>2.122</v>
      </c>
      <c r="L60" s="41" t="n">
        <v>30.76812806570052</v>
      </c>
      <c r="M60" s="41" t="n">
        <v>20.61369863013699</v>
      </c>
    </row>
    <row r="61" ht="18" customHeight="1">
      <c r="A61" s="12" t="inlineStr">
        <is>
          <t>shield_corporation_limited</t>
        </is>
      </c>
      <c r="B61" s="39" t="n">
        <v>2024</v>
      </c>
      <c r="C61" s="24" t="n">
        <v>3867121389</v>
      </c>
      <c r="D61" s="24" t="n">
        <v>2996365848</v>
      </c>
      <c r="E61" s="24" t="n">
        <v>201148390</v>
      </c>
      <c r="F61" s="24" t="n">
        <v>-66911037</v>
      </c>
      <c r="G61" s="24" t="n">
        <v>300970556</v>
      </c>
      <c r="H61" s="13" t="n">
        <v>0.2252</v>
      </c>
      <c r="I61" s="13" t="n">
        <v>0.7748</v>
      </c>
      <c r="J61" s="13" t="n">
        <v>0.052</v>
      </c>
      <c r="K61" s="40" t="n">
        <v>-0.2223</v>
      </c>
      <c r="L61" s="41" t="n">
        <v>12.63253185304518</v>
      </c>
      <c r="M61" s="41" t="n">
        <v>18.96174863387978</v>
      </c>
    </row>
    <row r="62" ht="18" customHeight="1">
      <c r="A62" s="12" t="inlineStr">
        <is>
          <t>unity_foods_limited</t>
        </is>
      </c>
      <c r="B62" s="39" t="n">
        <v>2019</v>
      </c>
      <c r="C62" s="24" t="n">
        <v>14097237284</v>
      </c>
      <c r="D62" s="24" t="n">
        <v>12820034063</v>
      </c>
      <c r="E62" s="24" t="n">
        <v>61393549</v>
      </c>
      <c r="F62" s="24" t="n">
        <v>562929180</v>
      </c>
      <c r="G62" s="24" t="n">
        <v>288207562</v>
      </c>
      <c r="H62" s="13" t="n">
        <v>0.0906</v>
      </c>
      <c r="I62" s="13" t="n">
        <v>0.9094</v>
      </c>
      <c r="J62" s="13" t="n">
        <v>0.0044</v>
      </c>
      <c r="K62" s="40" t="n">
        <v>1.9531</v>
      </c>
      <c r="L62" s="41" t="n">
        <v>10.57836180045548</v>
      </c>
      <c r="M62" s="41" t="n">
        <v>11.99041095890411</v>
      </c>
    </row>
    <row r="63" ht="18" customHeight="1">
      <c r="A63" s="12" t="inlineStr">
        <is>
          <t>unity_foods_limited</t>
        </is>
      </c>
      <c r="B63" s="39" t="n">
        <v>2020</v>
      </c>
      <c r="C63" s="24" t="n">
        <v>29872020642</v>
      </c>
      <c r="D63" s="24" t="n">
        <v>27842732989</v>
      </c>
      <c r="E63" s="24" t="n">
        <v>50415746</v>
      </c>
      <c r="F63" s="24" t="n">
        <v>739539011</v>
      </c>
      <c r="G63" s="24" t="n">
        <v>544988721</v>
      </c>
      <c r="H63" s="13" t="n">
        <v>0.0679</v>
      </c>
      <c r="I63" s="13" t="n">
        <v>0.9319</v>
      </c>
      <c r="J63" s="13" t="n">
        <v>0.0017</v>
      </c>
      <c r="K63" s="40" t="n">
        <v>1.3571</v>
      </c>
      <c r="L63" s="41" t="n">
        <v>9.739993138981546</v>
      </c>
      <c r="M63" s="41" t="n">
        <v>8.936475409836065</v>
      </c>
    </row>
    <row r="64" ht="18" customHeight="1">
      <c r="A64" s="12" t="inlineStr">
        <is>
          <t>unity_foods_limited</t>
        </is>
      </c>
      <c r="B64" s="39" t="n">
        <v>2021</v>
      </c>
      <c r="C64" s="24" t="n">
        <v>68831301040</v>
      </c>
      <c r="D64" s="24" t="n">
        <v>62180175227</v>
      </c>
      <c r="E64" s="24" t="n">
        <v>279989565</v>
      </c>
      <c r="F64" s="24" t="n">
        <v>4004000000</v>
      </c>
      <c r="G64" s="24" t="n">
        <v>960978338</v>
      </c>
      <c r="H64" s="13" t="n">
        <v>0.09660000000000001</v>
      </c>
      <c r="I64" s="13" t="n">
        <v>0.9034</v>
      </c>
      <c r="J64" s="13" t="n">
        <v>0.0041</v>
      </c>
      <c r="K64" s="40" t="n">
        <v>4.166</v>
      </c>
      <c r="L64" s="41" t="n">
        <v>9.49621056124947</v>
      </c>
      <c r="M64" s="41" t="n">
        <v>7.280821917808219</v>
      </c>
    </row>
    <row r="65" ht="18" customHeight="1">
      <c r="A65" s="12" t="inlineStr">
        <is>
          <t>unity_foods_limited</t>
        </is>
      </c>
      <c r="B65" s="39" t="n">
        <v>2022</v>
      </c>
      <c r="C65" s="24" t="n">
        <v>87713010270</v>
      </c>
      <c r="D65" s="24" t="n">
        <v>79475327120</v>
      </c>
      <c r="E65" s="24" t="n">
        <v>171241207</v>
      </c>
      <c r="F65" s="24" t="n">
        <v>3950071602</v>
      </c>
      <c r="G65" s="24" t="n">
        <v>1800963174</v>
      </c>
      <c r="H65" s="13" t="n">
        <v>0.0939</v>
      </c>
      <c r="I65" s="13" t="n">
        <v>0.9061</v>
      </c>
      <c r="J65" s="13" t="n">
        <v>0.002</v>
      </c>
      <c r="K65" s="40" t="n">
        <v>2.1933</v>
      </c>
      <c r="L65" s="41" t="n">
        <v>19.87385996466555</v>
      </c>
      <c r="M65" s="41" t="n">
        <v>11.99109589041096</v>
      </c>
    </row>
    <row r="66" ht="18" customHeight="1">
      <c r="A66" s="12" t="inlineStr">
        <is>
          <t>unity_foods_limited</t>
        </is>
      </c>
      <c r="B66" s="39" t="n">
        <v>2023</v>
      </c>
      <c r="C66" s="24" t="n">
        <v>100870351000</v>
      </c>
      <c r="D66" s="24" t="n">
        <v>87059117000</v>
      </c>
      <c r="E66" s="24" t="n">
        <v>197017000</v>
      </c>
      <c r="F66" s="24" t="n">
        <v>3878986000</v>
      </c>
      <c r="G66" s="24" t="n">
        <v>3564114000</v>
      </c>
      <c r="H66" s="13" t="n">
        <v>0.1369</v>
      </c>
      <c r="I66" s="13" t="n">
        <v>0.8631</v>
      </c>
      <c r="J66" s="13" t="n">
        <v>0.002</v>
      </c>
      <c r="K66" s="40" t="n">
        <v>1.088</v>
      </c>
      <c r="L66" s="41" t="n">
        <v>30.76812806570052</v>
      </c>
      <c r="M66" s="41" t="n">
        <v>20.61369863013699</v>
      </c>
    </row>
    <row r="67" ht="18" customHeight="1">
      <c r="A67" s="12" t="inlineStr">
        <is>
          <t>unity_foods_limited</t>
        </is>
      </c>
      <c r="B67" s="39" t="n">
        <v>2024</v>
      </c>
      <c r="C67" s="24" t="n">
        <v>83002785000</v>
      </c>
      <c r="D67" s="24" t="n">
        <v>75754488000</v>
      </c>
      <c r="E67" s="24" t="n">
        <v>254460000</v>
      </c>
      <c r="F67" s="24" t="n">
        <v>4805487000</v>
      </c>
      <c r="G67" s="24" t="n">
        <v>7440127000</v>
      </c>
      <c r="H67" s="13" t="n">
        <v>0.0873</v>
      </c>
      <c r="I67" s="13" t="n">
        <v>0.9127</v>
      </c>
      <c r="J67" s="13" t="n">
        <v>0.0031</v>
      </c>
      <c r="K67" s="40" t="n">
        <v>0.646</v>
      </c>
      <c r="L67" s="41" t="n">
        <v>12.63253185304518</v>
      </c>
      <c r="M67" s="41" t="n">
        <v>18.96174863387978</v>
      </c>
    </row>
    <row r="68" ht="18" customHeight="1">
      <c r="A68" s="12" t="inlineStr">
        <is>
          <t>zil_limited</t>
        </is>
      </c>
      <c r="B68" s="39" t="n">
        <v>2019</v>
      </c>
      <c r="C68" s="24" t="n">
        <v>2419329000</v>
      </c>
      <c r="D68" s="24" t="n">
        <v>1706308000</v>
      </c>
      <c r="E68" s="24" t="n">
        <v>149391000</v>
      </c>
      <c r="F68" s="24" t="n">
        <v>151529000</v>
      </c>
      <c r="G68" s="24" t="n">
        <v>25918000</v>
      </c>
      <c r="H68" s="13" t="n">
        <v>0.2947</v>
      </c>
      <c r="I68" s="13" t="n">
        <v>0.7053</v>
      </c>
      <c r="J68" s="13" t="n">
        <v>0.0618</v>
      </c>
      <c r="K68" s="40" t="n">
        <v>5.847</v>
      </c>
      <c r="L68" s="41" t="n">
        <v>10.57836180045548</v>
      </c>
      <c r="M68" s="41" t="n">
        <v>11.99041095890411</v>
      </c>
    </row>
    <row r="69" ht="18" customHeight="1">
      <c r="A69" s="12" t="inlineStr">
        <is>
          <t>zil_limited</t>
        </is>
      </c>
      <c r="B69" s="39" t="n">
        <v>2020</v>
      </c>
      <c r="C69" s="24" t="n">
        <v>2443461000</v>
      </c>
      <c r="D69" s="24" t="n">
        <v>1843796000</v>
      </c>
      <c r="E69" s="24" t="n">
        <v>64176000</v>
      </c>
      <c r="F69" s="24" t="n">
        <v>67515000</v>
      </c>
      <c r="G69" s="24" t="n">
        <v>16575000</v>
      </c>
      <c r="H69" s="13" t="n">
        <v>0.2454</v>
      </c>
      <c r="I69" s="13" t="n">
        <v>0.7546</v>
      </c>
      <c r="J69" s="13" t="n">
        <v>0.0263</v>
      </c>
      <c r="K69" s="40" t="n">
        <v>4.0732</v>
      </c>
      <c r="L69" s="41" t="n">
        <v>9.739993138981546</v>
      </c>
      <c r="M69" s="41" t="n">
        <v>8.936475409836065</v>
      </c>
    </row>
    <row r="70" ht="18" customHeight="1">
      <c r="A70" s="12" t="inlineStr">
        <is>
          <t>zil_limited</t>
        </is>
      </c>
      <c r="B70" s="39" t="n">
        <v>2021</v>
      </c>
      <c r="C70" s="24" t="n">
        <v>2737550000</v>
      </c>
      <c r="D70" s="24" t="n">
        <v>2451352000</v>
      </c>
      <c r="E70" s="24" t="n">
        <v>68325000</v>
      </c>
      <c r="F70" s="24" t="n">
        <v>-232089000</v>
      </c>
      <c r="G70" s="24" t="n">
        <v>25556000</v>
      </c>
      <c r="H70" s="13" t="n">
        <v>0.1045</v>
      </c>
      <c r="I70" s="13" t="n">
        <v>0.8955</v>
      </c>
      <c r="J70" s="13" t="n">
        <v>0.025</v>
      </c>
      <c r="K70" s="40" t="n">
        <v>-9.081099999999999</v>
      </c>
      <c r="L70" s="41" t="n">
        <v>9.49621056124947</v>
      </c>
      <c r="M70" s="41" t="n">
        <v>7.280821917808219</v>
      </c>
    </row>
    <row r="71" ht="18" customHeight="1">
      <c r="A71" s="12" t="inlineStr">
        <is>
          <t>zil_limited</t>
        </is>
      </c>
      <c r="B71" s="39" t="n">
        <v>2022</v>
      </c>
      <c r="C71" s="24" t="n">
        <v>4061842000</v>
      </c>
      <c r="D71" s="24" t="n">
        <v>3314497000</v>
      </c>
      <c r="E71" s="24" t="n">
        <v>20477000</v>
      </c>
      <c r="F71" s="24" t="n">
        <v>150700000</v>
      </c>
      <c r="G71" s="24" t="n">
        <v>81027000</v>
      </c>
      <c r="H71" s="13" t="n">
        <v>0.184</v>
      </c>
      <c r="I71" s="13" t="n">
        <v>0.8159999999999999</v>
      </c>
      <c r="J71" s="13" t="n">
        <v>0.005</v>
      </c>
      <c r="K71" s="40" t="n">
        <v>1.8599</v>
      </c>
      <c r="L71" s="41" t="n">
        <v>19.87385996466555</v>
      </c>
      <c r="M71" s="41" t="n">
        <v>11.99109589041096</v>
      </c>
    </row>
    <row r="72" ht="18" customHeight="1">
      <c r="A72" s="12" t="inlineStr">
        <is>
          <t>zil_limited</t>
        </is>
      </c>
      <c r="B72" s="39" t="n">
        <v>2023</v>
      </c>
      <c r="C72" s="24" t="n">
        <v>5674322000</v>
      </c>
      <c r="D72" s="24" t="n">
        <v>4064983000</v>
      </c>
      <c r="E72" s="24" t="n">
        <v>145524000</v>
      </c>
      <c r="F72" s="24" t="n">
        <v>485566000</v>
      </c>
      <c r="G72" s="24" t="n">
        <v>138783000</v>
      </c>
      <c r="H72" s="13" t="n">
        <v>0.2836</v>
      </c>
      <c r="I72" s="13" t="n">
        <v>0.7164</v>
      </c>
      <c r="J72" s="13" t="n">
        <v>0.0256</v>
      </c>
      <c r="K72" s="40" t="n">
        <v>3.499</v>
      </c>
      <c r="L72" s="41" t="n">
        <v>30.76812806570052</v>
      </c>
      <c r="M72" s="41" t="n">
        <v>20.61369863013699</v>
      </c>
    </row>
    <row r="73" ht="18" customHeight="1">
      <c r="A73" s="12" t="inlineStr">
        <is>
          <t>zil_limited</t>
        </is>
      </c>
      <c r="B73" s="39" t="n">
        <v>2024</v>
      </c>
      <c r="C73" s="24" t="n">
        <v>6364851000</v>
      </c>
      <c r="D73" s="24" t="n">
        <v>4603743000</v>
      </c>
      <c r="E73" s="24" t="n">
        <v>270055000</v>
      </c>
      <c r="F73" s="24" t="n">
        <v>211162000</v>
      </c>
      <c r="G73" s="24" t="n">
        <v>118959000</v>
      </c>
      <c r="H73" s="13" t="n">
        <v>0.2767</v>
      </c>
      <c r="I73" s="13" t="n">
        <v>0.7232</v>
      </c>
      <c r="J73" s="13" t="n">
        <v>0.0424</v>
      </c>
      <c r="K73" s="40" t="n">
        <v>1.775</v>
      </c>
      <c r="L73" s="41" t="n">
        <v>12.63253185304518</v>
      </c>
      <c r="M73" s="41" t="n">
        <v>18.96174863387978</v>
      </c>
    </row>
    <row r="74" ht="18" customHeight="1">
      <c r="A74" s="12" t="inlineStr">
        <is>
          <t>gilet_limited</t>
        </is>
      </c>
      <c r="B74" s="39" t="n">
        <v>2019</v>
      </c>
      <c r="C74" s="24" t="n">
        <v>1962721000</v>
      </c>
      <c r="D74" s="24" t="n">
        <v>1310766000</v>
      </c>
      <c r="E74" s="24" t="n">
        <v>217889000</v>
      </c>
      <c r="F74" s="24" t="n">
        <v>235820000</v>
      </c>
      <c r="G74" s="24" t="n">
        <v>7376000</v>
      </c>
      <c r="H74" s="13" t="n">
        <v>0.3322</v>
      </c>
      <c r="I74" s="13" t="n">
        <v>0.6677999999999999</v>
      </c>
      <c r="J74" s="13" t="n">
        <v>0.111</v>
      </c>
      <c r="K74" s="40" t="n">
        <v>31.9726</v>
      </c>
      <c r="L74" s="41" t="n">
        <v>10.57836180045548</v>
      </c>
      <c r="M74" s="41" t="n">
        <v>11.99041095890411</v>
      </c>
    </row>
    <row r="75" ht="18" customHeight="1">
      <c r="A75" s="12" t="inlineStr">
        <is>
          <t>gilet_limited</t>
        </is>
      </c>
      <c r="B75" s="39" t="n">
        <v>2020</v>
      </c>
      <c r="C75" s="24" t="n">
        <v>1971294000</v>
      </c>
      <c r="D75" s="24" t="n">
        <v>1313194000</v>
      </c>
      <c r="E75" s="24" t="n">
        <v>129505000</v>
      </c>
      <c r="F75" s="24" t="n">
        <v>351531000</v>
      </c>
      <c r="G75" s="24" t="n">
        <v>5530000</v>
      </c>
      <c r="H75" s="13" t="n">
        <v>0.3338</v>
      </c>
      <c r="I75" s="13" t="n">
        <v>0.6662</v>
      </c>
      <c r="J75" s="13" t="n">
        <v>0.06569999999999999</v>
      </c>
      <c r="K75" s="40" t="n">
        <v>63.568</v>
      </c>
      <c r="L75" s="41" t="n">
        <v>9.739993138981546</v>
      </c>
      <c r="M75" s="41" t="n">
        <v>8.936475409836065</v>
      </c>
    </row>
    <row r="76" ht="18" customHeight="1">
      <c r="A76" s="12" t="inlineStr">
        <is>
          <t>gilet_limited</t>
        </is>
      </c>
      <c r="B76" s="39" t="n">
        <v>2021</v>
      </c>
      <c r="C76" s="24" t="n">
        <v>2162727000</v>
      </c>
      <c r="D76" s="24" t="n">
        <v>1725063000</v>
      </c>
      <c r="E76" s="24" t="n">
        <v>166547000</v>
      </c>
      <c r="F76" s="24" t="n">
        <v>156367000</v>
      </c>
      <c r="G76" s="24" t="n">
        <v>3101000</v>
      </c>
      <c r="H76" s="13" t="n">
        <v>0.2024</v>
      </c>
      <c r="I76" s="13" t="n">
        <v>0.7976</v>
      </c>
      <c r="J76" s="13" t="n">
        <v>0.0769</v>
      </c>
      <c r="K76" s="40" t="n">
        <v>50.425</v>
      </c>
      <c r="L76" s="41" t="n">
        <v>9.49621056124947</v>
      </c>
      <c r="M76" s="41" t="n">
        <v>7.280821917808219</v>
      </c>
    </row>
    <row r="77" ht="18" customHeight="1">
      <c r="A77" s="12" t="inlineStr">
        <is>
          <t>gilet_limited</t>
        </is>
      </c>
      <c r="B77" s="39" t="n">
        <v>2022</v>
      </c>
      <c r="C77" s="24" t="n">
        <v>2453305000</v>
      </c>
      <c r="D77" s="24" t="n">
        <v>1834462000</v>
      </c>
      <c r="E77" s="24" t="n">
        <v>239971000</v>
      </c>
      <c r="F77" s="24" t="n">
        <v>239331000</v>
      </c>
      <c r="G77" s="24" t="n">
        <v>8251000</v>
      </c>
      <c r="H77" s="13" t="n">
        <v>0.2522</v>
      </c>
      <c r="I77" s="13" t="n">
        <v>0.7478</v>
      </c>
      <c r="J77" s="13" t="n">
        <v>0.0978</v>
      </c>
      <c r="K77" s="40" t="n">
        <v>29.0063</v>
      </c>
      <c r="L77" s="41" t="n">
        <v>19.87385996466555</v>
      </c>
      <c r="M77" s="41" t="n">
        <v>11.99109589041096</v>
      </c>
    </row>
    <row r="78" ht="18" customHeight="1">
      <c r="A78" s="12" t="inlineStr">
        <is>
          <t>gilet_limited</t>
        </is>
      </c>
      <c r="B78" s="39" t="n">
        <v>2023</v>
      </c>
      <c r="C78" s="24" t="n">
        <v>3024531000</v>
      </c>
      <c r="D78" s="24" t="n">
        <v>1434536000</v>
      </c>
      <c r="E78" s="24" t="n">
        <v>299678000</v>
      </c>
      <c r="F78" s="24" t="n">
        <v>1138110000</v>
      </c>
      <c r="G78" s="24" t="n">
        <v>153240000</v>
      </c>
      <c r="H78" s="13" t="n">
        <v>0.5256999999999999</v>
      </c>
      <c r="I78" s="13" t="n">
        <v>0.4743</v>
      </c>
      <c r="J78" s="13" t="n">
        <v>0.09909999999999999</v>
      </c>
      <c r="K78" s="40" t="n">
        <v>7.427</v>
      </c>
      <c r="L78" s="41" t="n">
        <v>30.76812806570052</v>
      </c>
      <c r="M78" s="41" t="n">
        <v>20.61369863013699</v>
      </c>
    </row>
    <row r="79" ht="18" customHeight="1">
      <c r="A79" s="12" t="inlineStr">
        <is>
          <t>gilet_limited</t>
        </is>
      </c>
      <c r="B79" s="39" t="n">
        <v>2024</v>
      </c>
      <c r="C79" s="24" t="n">
        <v>1502010000</v>
      </c>
      <c r="D79" s="24" t="n">
        <v>1008371000</v>
      </c>
      <c r="E79" s="24" t="n">
        <v>87350000</v>
      </c>
      <c r="F79" s="24" t="n">
        <v>371462000</v>
      </c>
      <c r="G79" s="24" t="n">
        <v>216299000</v>
      </c>
      <c r="H79" s="13" t="n">
        <v>0.3287</v>
      </c>
      <c r="I79" s="13" t="n">
        <v>0.6713</v>
      </c>
      <c r="J79" s="13" t="n">
        <v>0.0582</v>
      </c>
      <c r="K79" s="40" t="n">
        <v>1.7174</v>
      </c>
      <c r="L79" s="41" t="n">
        <v>12.63253185304518</v>
      </c>
      <c r="M79" s="41" t="n">
        <v>18.96174863387978</v>
      </c>
    </row>
    <row r="80" ht="18" customHeight="1">
      <c r="A80" s="12" t="inlineStr">
        <is>
          <t>bunny_limited</t>
        </is>
      </c>
      <c r="B80" s="39" t="n">
        <v>2019</v>
      </c>
      <c r="C80" s="24" t="n">
        <v>2568870049</v>
      </c>
      <c r="D80" s="24" t="n">
        <v>1880389030</v>
      </c>
      <c r="E80" s="24" t="n">
        <v>15350256</v>
      </c>
      <c r="F80" s="24" t="n">
        <v>223092332</v>
      </c>
      <c r="G80" s="24" t="n">
        <v>64819299</v>
      </c>
      <c r="H80" s="13" t="n">
        <v>0.2679</v>
      </c>
      <c r="I80" s="13" t="n">
        <v>0.732</v>
      </c>
      <c r="J80" s="13" t="n">
        <v>0.006</v>
      </c>
      <c r="K80" s="40" t="n">
        <v>3.4418</v>
      </c>
      <c r="L80" s="41" t="n">
        <v>10.57836180045548</v>
      </c>
      <c r="M80" s="41" t="n">
        <v>11.99041095890411</v>
      </c>
    </row>
    <row r="81" ht="18" customHeight="1">
      <c r="A81" s="12" t="inlineStr">
        <is>
          <t>bunny_limited</t>
        </is>
      </c>
      <c r="B81" s="39" t="n">
        <v>2020</v>
      </c>
      <c r="C81" s="24" t="n">
        <v>2791857589</v>
      </c>
      <c r="D81" s="24" t="n">
        <v>2025108694</v>
      </c>
      <c r="E81" s="24" t="n">
        <v>15428432</v>
      </c>
      <c r="F81" s="24" t="n">
        <v>278712470</v>
      </c>
      <c r="G81" s="24" t="n">
        <v>93547781</v>
      </c>
      <c r="H81" s="13" t="n">
        <v>0.2746</v>
      </c>
      <c r="I81" s="13" t="n">
        <v>0.7254</v>
      </c>
      <c r="J81" s="13" t="n">
        <v>0.0055</v>
      </c>
      <c r="K81" s="40" t="n">
        <v>2.9794</v>
      </c>
      <c r="L81" s="41" t="n">
        <v>9.739993138981546</v>
      </c>
      <c r="M81" s="41" t="n">
        <v>8.936475409836065</v>
      </c>
    </row>
    <row r="82" ht="18" customHeight="1">
      <c r="A82" s="12" t="inlineStr">
        <is>
          <t>bunny_limited</t>
        </is>
      </c>
      <c r="B82" s="39" t="n">
        <v>2021</v>
      </c>
      <c r="C82" s="24" t="n">
        <v>3570045254</v>
      </c>
      <c r="D82" s="24" t="n">
        <v>2627641418</v>
      </c>
      <c r="E82" s="24" t="n">
        <v>38246026</v>
      </c>
      <c r="F82" s="24" t="n">
        <v>332893690</v>
      </c>
      <c r="G82" s="24" t="n">
        <v>84042256</v>
      </c>
      <c r="H82" s="13" t="n">
        <v>0.264</v>
      </c>
      <c r="I82" s="13" t="n">
        <v>0.736</v>
      </c>
      <c r="J82" s="13" t="n">
        <v>0.0107</v>
      </c>
      <c r="K82" s="40" t="n">
        <v>3.961</v>
      </c>
      <c r="L82" s="41" t="n">
        <v>9.49621056124947</v>
      </c>
      <c r="M82" s="41" t="n">
        <v>7.280821917808219</v>
      </c>
    </row>
    <row r="83" ht="18" customHeight="1">
      <c r="A83" s="12" t="inlineStr">
        <is>
          <t>bunny_limited</t>
        </is>
      </c>
      <c r="B83" s="39" t="n">
        <v>2022</v>
      </c>
      <c r="C83" s="24" t="n">
        <v>4468902597</v>
      </c>
      <c r="D83" s="24" t="n">
        <v>3478245931</v>
      </c>
      <c r="E83" s="24" t="n">
        <v>27571815</v>
      </c>
      <c r="F83" s="24" t="n">
        <v>275822900</v>
      </c>
      <c r="G83" s="24" t="n">
        <v>111023710</v>
      </c>
      <c r="H83" s="13" t="n">
        <v>0.2217</v>
      </c>
      <c r="I83" s="13" t="n">
        <v>0.7784</v>
      </c>
      <c r="J83" s="13" t="n">
        <v>0.0062</v>
      </c>
      <c r="K83" s="40" t="n">
        <v>2.4844</v>
      </c>
      <c r="L83" s="41" t="n">
        <v>19.87385996466555</v>
      </c>
      <c r="M83" s="41" t="n">
        <v>11.99109589041096</v>
      </c>
    </row>
    <row r="84" ht="18" customHeight="1">
      <c r="A84" s="12" t="inlineStr">
        <is>
          <t>bunny_limited</t>
        </is>
      </c>
      <c r="B84" s="39" t="n">
        <v>2023</v>
      </c>
      <c r="C84" s="24" t="n">
        <v>5686622639</v>
      </c>
      <c r="D84" s="24" t="n">
        <v>4326891340</v>
      </c>
      <c r="E84" s="24" t="n">
        <v>8981714</v>
      </c>
      <c r="F84" s="24" t="n">
        <v>407742575</v>
      </c>
      <c r="G84" s="24" t="n">
        <v>208252412</v>
      </c>
      <c r="H84" s="13" t="n">
        <v>0.2391</v>
      </c>
      <c r="I84" s="13" t="n">
        <v>0.7609</v>
      </c>
      <c r="J84" s="13" t="n">
        <v>0.0016</v>
      </c>
      <c r="K84" s="40" t="n">
        <v>1.958</v>
      </c>
      <c r="L84" s="41" t="n">
        <v>30.76812806570052</v>
      </c>
      <c r="M84" s="41" t="n">
        <v>20.61369863013699</v>
      </c>
    </row>
    <row r="85" ht="18" customHeight="1">
      <c r="A85" s="12" t="inlineStr">
        <is>
          <t>bunny_limited</t>
        </is>
      </c>
      <c r="B85" s="39" t="n">
        <v>2024</v>
      </c>
      <c r="C85" s="24" t="n">
        <v>7009267774</v>
      </c>
      <c r="D85" s="24" t="n">
        <v>5585396742</v>
      </c>
      <c r="E85" s="24" t="n">
        <v>7300400</v>
      </c>
      <c r="F85" s="24" t="n">
        <v>249964513</v>
      </c>
      <c r="G85" s="24" t="n">
        <v>271850142</v>
      </c>
      <c r="H85" s="13" t="n">
        <v>0.2031</v>
      </c>
      <c r="I85" s="13" t="n">
        <v>0.7969000000000001</v>
      </c>
      <c r="J85" s="13" t="n">
        <v>0.001</v>
      </c>
      <c r="K85" s="40" t="n">
        <v>0.9195</v>
      </c>
      <c r="L85" s="41" t="n">
        <v>12.63253185304518</v>
      </c>
      <c r="M85" s="41" t="n">
        <v>18.96174863387978</v>
      </c>
    </row>
    <row r="86" ht="18" customHeight="1">
      <c r="A86" s="12" t="inlineStr">
        <is>
          <t>attahur_limited</t>
        </is>
      </c>
      <c r="B86" s="39" t="n">
        <v>2019</v>
      </c>
      <c r="C86" s="24" t="n">
        <v>1513288448</v>
      </c>
      <c r="D86" s="24" t="n">
        <v>722395311</v>
      </c>
      <c r="E86" s="24" t="n">
        <v>13766748</v>
      </c>
      <c r="F86" s="24" t="n">
        <v>271676992</v>
      </c>
      <c r="G86" s="24" t="n">
        <v>22464737</v>
      </c>
      <c r="H86" s="13" t="n">
        <v>0.5226</v>
      </c>
      <c r="I86" s="13" t="n">
        <v>0.4774</v>
      </c>
      <c r="J86" s="13" t="n">
        <v>0.0091</v>
      </c>
      <c r="K86" s="40" t="n">
        <v>12.093</v>
      </c>
      <c r="L86" s="41" t="n">
        <v>10.57836180045548</v>
      </c>
      <c r="M86" s="41" t="n">
        <v>11.99041095890411</v>
      </c>
    </row>
    <row r="87" ht="18" customHeight="1">
      <c r="A87" s="12" t="inlineStr">
        <is>
          <t>attahur_limited</t>
        </is>
      </c>
      <c r="B87" s="39" t="n">
        <v>2020</v>
      </c>
      <c r="C87" s="24" t="n">
        <v>1811537025</v>
      </c>
      <c r="D87" s="24" t="n">
        <v>1011403941</v>
      </c>
      <c r="E87" s="24" t="n">
        <v>14829295</v>
      </c>
      <c r="F87" s="24" t="n">
        <v>172255337</v>
      </c>
      <c r="G87" s="24" t="n">
        <v>53651597</v>
      </c>
      <c r="H87" s="13" t="n">
        <v>0.4417</v>
      </c>
      <c r="I87" s="13" t="n">
        <v>0.5583</v>
      </c>
      <c r="J87" s="13" t="n">
        <v>0.008200000000000001</v>
      </c>
      <c r="K87" s="40" t="n">
        <v>3.2105</v>
      </c>
      <c r="L87" s="41" t="n">
        <v>9.739993138981546</v>
      </c>
      <c r="M87" s="41" t="n">
        <v>8.936475409836065</v>
      </c>
    </row>
    <row r="88" ht="18" customHeight="1">
      <c r="A88" s="12" t="inlineStr">
        <is>
          <t>attahur_limited</t>
        </is>
      </c>
      <c r="B88" s="39" t="n">
        <v>2021</v>
      </c>
      <c r="C88" s="24" t="n">
        <v>2558360057</v>
      </c>
      <c r="D88" s="24" t="n">
        <v>1443852444</v>
      </c>
      <c r="E88" s="24" t="n">
        <v>16718583</v>
      </c>
      <c r="F88" s="24" t="n">
        <v>421536054</v>
      </c>
      <c r="G88" s="24" t="n">
        <v>58096897</v>
      </c>
      <c r="H88" s="13" t="n">
        <v>0.4356</v>
      </c>
      <c r="I88" s="13" t="n">
        <v>0.5644</v>
      </c>
      <c r="J88" s="13" t="n">
        <v>0.0065</v>
      </c>
      <c r="K88" s="40" t="n">
        <v>7.2552</v>
      </c>
      <c r="L88" s="41" t="n">
        <v>9.49621056124947</v>
      </c>
      <c r="M88" s="41" t="n">
        <v>7.280821917808219</v>
      </c>
    </row>
    <row r="89" ht="18" customHeight="1">
      <c r="A89" s="12" t="inlineStr">
        <is>
          <t>attahur_limited</t>
        </is>
      </c>
      <c r="B89" s="39" t="n">
        <v>2022</v>
      </c>
      <c r="C89" s="24" t="n">
        <v>3285913000</v>
      </c>
      <c r="D89" s="24" t="n">
        <v>1312003000</v>
      </c>
      <c r="E89" s="24" t="n">
        <v>20516000</v>
      </c>
      <c r="F89" s="24" t="n">
        <v>1026838000</v>
      </c>
      <c r="G89" s="24" t="n">
        <v>114683000</v>
      </c>
      <c r="H89" s="13" t="n">
        <v>0.6007</v>
      </c>
      <c r="I89" s="13" t="n">
        <v>0.3993</v>
      </c>
      <c r="J89" s="13" t="n">
        <v>0.0062</v>
      </c>
      <c r="K89" s="40" t="n">
        <v>8.9535</v>
      </c>
      <c r="L89" s="41" t="n">
        <v>19.87385996466555</v>
      </c>
      <c r="M89" s="41" t="n">
        <v>11.99109589041096</v>
      </c>
    </row>
    <row r="90" ht="18" customHeight="1">
      <c r="A90" s="12" t="inlineStr">
        <is>
          <t>attahur_limited</t>
        </is>
      </c>
      <c r="B90" s="39" t="n">
        <v>2023</v>
      </c>
      <c r="C90" s="24" t="n">
        <v>4899692000</v>
      </c>
      <c r="D90" s="24" t="n">
        <v>2047933000</v>
      </c>
      <c r="E90" s="24" t="n">
        <v>27441000</v>
      </c>
      <c r="F90" s="24" t="n">
        <v>1450295000</v>
      </c>
      <c r="G90" s="24" t="n">
        <v>225995000</v>
      </c>
      <c r="H90" s="13" t="n">
        <v>0.582</v>
      </c>
      <c r="I90" s="13" t="n">
        <v>0.418</v>
      </c>
      <c r="J90" s="13" t="n">
        <v>0.0056</v>
      </c>
      <c r="K90" s="40" t="n">
        <v>6.417</v>
      </c>
      <c r="L90" s="41" t="n">
        <v>30.76812806570052</v>
      </c>
      <c r="M90" s="41" t="n">
        <v>20.61369863013699</v>
      </c>
    </row>
    <row r="91" ht="18" customHeight="1">
      <c r="A91" s="12" t="inlineStr">
        <is>
          <t>attahur_limited</t>
        </is>
      </c>
      <c r="B91" s="39" t="n">
        <v>2024</v>
      </c>
      <c r="C91" s="24" t="n">
        <v>5845443000</v>
      </c>
      <c r="D91" s="24" t="n">
        <v>3438553000</v>
      </c>
      <c r="E91" s="24" t="n">
        <v>48964000</v>
      </c>
      <c r="F91" s="24" t="n">
        <v>832359000</v>
      </c>
      <c r="G91" s="24" t="n">
        <v>282540000</v>
      </c>
      <c r="H91" s="13" t="n">
        <v>0.4118</v>
      </c>
      <c r="I91" s="13" t="n">
        <v>0.5881999999999999</v>
      </c>
      <c r="J91" s="13" t="n">
        <v>0.008399999999999999</v>
      </c>
      <c r="K91" s="40" t="n">
        <v>2.946</v>
      </c>
      <c r="L91" s="41" t="n">
        <v>12.63253185304518</v>
      </c>
      <c r="M91" s="41" t="n">
        <v>18.96174863387978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2026-05-24T05:13:33Z</dcterms:created>
  <dcterms:modified xmlns:dcterms="http://purl.org/dc/terms/" xmlns:xsi="http://www.w3.org/2001/XMLSchema-instance" xsi:type="dcterms:W3CDTF">2026-05-24T05:13:34Z</dcterms:modified>
</cp:coreProperties>
</file>